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1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164.83\phcd\2020 CPH Population Counts\For Web\Statistical Table_for  web\"/>
    </mc:Choice>
  </mc:AlternateContent>
  <xr:revisionPtr revIDLastSave="0" documentId="13_ncr:1_{178DAC5C-B959-4843-ABE6-688586D9407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eg07" sheetId="47" r:id="rId1"/>
    <sheet name="bohol" sheetId="33" r:id="rId2"/>
    <sheet name="cebu" sheetId="42" r:id="rId3"/>
    <sheet name="city of cebu" sheetId="44" r:id="rId4"/>
    <sheet name="city of lapu lapu" sheetId="45" r:id="rId5"/>
    <sheet name="city of mandaue" sheetId="46" r:id="rId6"/>
    <sheet name="neg or" sheetId="48" r:id="rId7"/>
    <sheet name="siquijor" sheetId="43" r:id="rId8"/>
  </sheets>
  <definedNames>
    <definedName name="_xlnm._FilterDatabase" localSheetId="1" hidden="1">bohol!$A$7:$G$7</definedName>
    <definedName name="_xlnm._FilterDatabase" localSheetId="2" hidden="1">cebu!$B$7:$D$1174</definedName>
    <definedName name="_xlnm._FilterDatabase" localSheetId="3" hidden="1">'city of cebu'!$C$6:$D$6</definedName>
    <definedName name="_xlnm._FilterDatabase" localSheetId="6" hidden="1">'neg or'!$A$7:$G$620</definedName>
    <definedName name="_xlnm._FilterDatabase" localSheetId="0" hidden="1">'reg07'!$A$9:$IS$120</definedName>
    <definedName name="_xlnm._FilterDatabase" localSheetId="7" hidden="1">siquijor!$B$7:$D$153</definedName>
    <definedName name="_xlnm.Print_Area" localSheetId="1">bohol!$C$1:$D$1218</definedName>
    <definedName name="_xlnm.Print_Area" localSheetId="2">cebu!$C$1:$D$1182</definedName>
    <definedName name="_xlnm.Print_Area" localSheetId="3">'city of cebu'!$C$1:$D$91</definedName>
    <definedName name="_xlnm.Print_Area" localSheetId="4">'city of lapu lapu'!$C$1:$D$41</definedName>
    <definedName name="_xlnm.Print_Area" localSheetId="5">'city of mandaue'!$C$1:$D$38</definedName>
    <definedName name="_xlnm.Print_Area" localSheetId="6">'neg or'!$C$1:$D$630</definedName>
    <definedName name="_xlnm.Print_Area" localSheetId="0">'reg07'!$B$1:$C$168</definedName>
    <definedName name="_xlnm.Print_Area" localSheetId="7">siquijor!$C$1:$D$157</definedName>
    <definedName name="_xlnm.Print_Titles" localSheetId="1">bohol!$1:$6</definedName>
    <definedName name="_xlnm.Print_Titles" localSheetId="2">cebu!$1:$6</definedName>
    <definedName name="_xlnm.Print_Titles" localSheetId="3">'city of cebu'!$1:$6</definedName>
    <definedName name="_xlnm.Print_Titles" localSheetId="4">'city of lapu lapu'!$1:$6</definedName>
    <definedName name="_xlnm.Print_Titles" localSheetId="5">'city of mandaue'!$1:$6</definedName>
    <definedName name="_xlnm.Print_Titles" localSheetId="6">'neg or'!$1:$6</definedName>
    <definedName name="_xlnm.Print_Titles" localSheetId="0">'reg07'!$1:$6</definedName>
    <definedName name="_xlnm.Print_Titles" localSheetId="7">siquijor!$1:$6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94" i="43" l="1"/>
  <c r="D70" i="43"/>
  <c r="D50" i="43"/>
  <c r="D9" i="43"/>
  <c r="D593" i="48"/>
  <c r="D567" i="48"/>
  <c r="D537" i="48"/>
  <c r="D511" i="48"/>
  <c r="D491" i="48"/>
  <c r="D463" i="48"/>
  <c r="D439" i="48"/>
  <c r="D421" i="48"/>
  <c r="D403" i="48"/>
  <c r="D374" i="48"/>
  <c r="D340" i="48"/>
  <c r="D309" i="48"/>
  <c r="D279" i="48"/>
  <c r="D244" i="48"/>
  <c r="D212" i="48"/>
  <c r="D187" i="48"/>
  <c r="D172" i="48"/>
  <c r="D148" i="48"/>
  <c r="D118" i="48"/>
  <c r="D106" i="48"/>
  <c r="D69" i="48"/>
  <c r="D45" i="48"/>
  <c r="D19" i="48"/>
  <c r="D9" i="48"/>
  <c r="D1107" i="42"/>
  <c r="D1067" i="42"/>
  <c r="D1043" i="42"/>
  <c r="D1029" i="42"/>
  <c r="D1002" i="42"/>
  <c r="D982" i="42"/>
  <c r="D955" i="42"/>
  <c r="D943" i="42"/>
  <c r="D931" i="42"/>
  <c r="D902" i="42"/>
  <c r="D885" i="42"/>
  <c r="D862" i="42"/>
  <c r="D845" i="42"/>
  <c r="D829" i="42"/>
  <c r="D810" i="42"/>
  <c r="D782" i="42"/>
  <c r="D767" i="42"/>
  <c r="D744" i="42"/>
  <c r="D714" i="42"/>
  <c r="D697" i="42"/>
  <c r="D676" i="42"/>
  <c r="D655" i="42"/>
  <c r="D638" i="42"/>
  <c r="D622" i="42"/>
  <c r="D606" i="42"/>
  <c r="D590" i="42"/>
  <c r="D551" i="42"/>
  <c r="D472" i="42"/>
  <c r="D450" i="42"/>
  <c r="D435" i="42"/>
  <c r="D412" i="42"/>
  <c r="D393" i="42"/>
  <c r="D371" i="42"/>
  <c r="D348" i="42"/>
  <c r="D331" i="42"/>
  <c r="D311" i="42"/>
  <c r="D298" i="42"/>
  <c r="D267" i="42"/>
  <c r="D223" i="42"/>
  <c r="D195" i="42"/>
  <c r="D165" i="42"/>
  <c r="D134" i="42"/>
  <c r="D105" i="42"/>
  <c r="D58" i="42"/>
  <c r="D41" i="42"/>
  <c r="D30" i="42"/>
  <c r="D20" i="42"/>
  <c r="D9" i="42"/>
  <c r="D1195" i="33"/>
  <c r="D1159" i="33"/>
  <c r="D1113" i="33"/>
  <c r="D1077" i="33"/>
  <c r="D1055" i="33"/>
  <c r="D1028" i="33"/>
  <c r="D1011" i="33"/>
  <c r="D999" i="33"/>
  <c r="D975" i="33"/>
  <c r="D960" i="33"/>
  <c r="D940" i="33"/>
  <c r="D926" i="33"/>
  <c r="D900" i="33"/>
  <c r="D875" i="33"/>
  <c r="D852" i="33"/>
  <c r="D840" i="33"/>
  <c r="D816" i="33"/>
  <c r="D792" i="33"/>
  <c r="D723" i="33"/>
  <c r="D693" i="33"/>
  <c r="D667" i="33"/>
  <c r="D647" i="33"/>
  <c r="D621" i="33"/>
  <c r="D586" i="33"/>
  <c r="D534" i="33"/>
  <c r="D513" i="33"/>
  <c r="D481" i="33"/>
  <c r="D458" i="33"/>
  <c r="D421" i="33"/>
  <c r="D407" i="33"/>
  <c r="D388" i="33"/>
  <c r="D371" i="33"/>
  <c r="D355" i="33"/>
  <c r="D345" i="33"/>
  <c r="D319" i="33"/>
  <c r="D295" i="33"/>
  <c r="D264" i="33"/>
  <c r="D241" i="33"/>
  <c r="D206" i="33"/>
  <c r="D169" i="33"/>
  <c r="D148" i="33"/>
  <c r="D131" i="33"/>
  <c r="D98" i="33"/>
  <c r="D79" i="33"/>
  <c r="D57" i="33"/>
  <c r="D39" i="33"/>
  <c r="D22" i="33"/>
  <c r="D9" i="33"/>
  <c r="D610" i="48" l="1"/>
  <c r="C146" i="47" s="1"/>
  <c r="C128" i="47"/>
  <c r="C126" i="47"/>
  <c r="C125" i="47"/>
  <c r="C142" i="47"/>
  <c r="C141" i="47"/>
  <c r="C139" i="47"/>
  <c r="C123" i="47"/>
  <c r="C132" i="47"/>
  <c r="C145" i="47"/>
  <c r="C138" i="47"/>
  <c r="C134" i="47"/>
  <c r="C122" i="47"/>
  <c r="C131" i="47"/>
  <c r="C144" i="47"/>
  <c r="C137" i="47"/>
  <c r="C136" i="47"/>
  <c r="C133" i="47"/>
  <c r="C127" i="47"/>
  <c r="C129" i="47"/>
  <c r="C124" i="47"/>
  <c r="C130" i="47"/>
  <c r="C143" i="47"/>
  <c r="C140" i="47"/>
  <c r="C135" i="47"/>
  <c r="C121" i="47" l="1"/>
  <c r="D7" i="48"/>
  <c r="D7" i="46" l="1"/>
  <c r="C119" i="47" s="1"/>
  <c r="C50" i="47"/>
  <c r="D1163" i="42"/>
  <c r="C109" i="47" s="1"/>
  <c r="C24" i="47"/>
  <c r="C83" i="47"/>
  <c r="D7" i="45"/>
  <c r="C117" i="47" s="1"/>
  <c r="D25" i="43"/>
  <c r="C92" i="47"/>
  <c r="D7" i="44"/>
  <c r="C115" i="47" s="1"/>
  <c r="C150" i="47" l="1"/>
  <c r="C46" i="47" l="1"/>
  <c r="C152" i="47"/>
  <c r="C71" i="47"/>
  <c r="C153" i="47" l="1"/>
  <c r="C48" i="47" l="1"/>
  <c r="C151" i="47"/>
  <c r="D111" i="43"/>
  <c r="C154" i="47" s="1"/>
  <c r="C149" i="47"/>
  <c r="C101" i="47"/>
  <c r="D7" i="43" l="1"/>
  <c r="C36" i="47"/>
  <c r="C148" i="47"/>
  <c r="C86" i="47"/>
  <c r="C29" i="47" l="1"/>
  <c r="C16" i="47"/>
  <c r="C95" i="47"/>
  <c r="C38" i="47" l="1"/>
  <c r="C13" i="47"/>
  <c r="C96" i="47"/>
  <c r="C37" i="47" l="1"/>
  <c r="C25" i="47" l="1"/>
  <c r="C94" i="47"/>
  <c r="C30" i="47" l="1"/>
  <c r="C17" i="47"/>
  <c r="C105" i="47"/>
  <c r="C27" i="47" l="1"/>
  <c r="C15" i="47"/>
  <c r="C91" i="47"/>
  <c r="C12" i="47" l="1"/>
  <c r="C100" i="47"/>
  <c r="C26" i="47" l="1"/>
  <c r="C75" i="47"/>
  <c r="C23" i="47" l="1"/>
  <c r="C89" i="47"/>
  <c r="C41" i="47" l="1"/>
  <c r="C14" i="47"/>
  <c r="C63" i="47"/>
  <c r="C45" i="47" l="1"/>
  <c r="C103" i="47"/>
  <c r="C22" i="47" l="1"/>
  <c r="C72" i="47"/>
  <c r="C44" i="47" l="1"/>
  <c r="C85" i="47"/>
  <c r="C47" i="47" l="1"/>
  <c r="C66" i="47"/>
  <c r="C31" i="47" l="1"/>
  <c r="C104" i="47"/>
  <c r="C49" i="47" l="1"/>
  <c r="C65" i="47"/>
  <c r="C57" i="47" l="1"/>
  <c r="C76" i="47"/>
  <c r="C56" i="47" l="1"/>
  <c r="C102" i="47"/>
  <c r="C40" i="47" l="1"/>
  <c r="C82" i="47"/>
  <c r="C43" i="47" l="1"/>
  <c r="C74" i="47"/>
  <c r="C62" i="47"/>
  <c r="C20" i="47" l="1"/>
  <c r="C18" i="47"/>
  <c r="C11" i="47"/>
  <c r="C98" i="47"/>
  <c r="C19" i="47" l="1"/>
  <c r="C87" i="47"/>
  <c r="C35" i="47" l="1"/>
  <c r="C99" i="47"/>
  <c r="C53" i="47" l="1"/>
  <c r="C78" i="47"/>
  <c r="C32" i="47" l="1"/>
  <c r="C108" i="47"/>
  <c r="C42" i="47" l="1"/>
  <c r="C93" i="47"/>
  <c r="C34" i="47" l="1"/>
  <c r="C97" i="47"/>
  <c r="C39" i="47" l="1"/>
  <c r="C80" i="47"/>
  <c r="C28" i="47" l="1"/>
  <c r="C64" i="47"/>
  <c r="C33" i="47" l="1"/>
  <c r="C69" i="47"/>
  <c r="C61" i="47"/>
  <c r="C54" i="47" l="1"/>
  <c r="C70" i="47"/>
  <c r="C21" i="47" l="1"/>
  <c r="C68" i="47"/>
  <c r="C52" i="47" l="1"/>
  <c r="C79" i="47"/>
  <c r="C55" i="47" l="1"/>
  <c r="C51" i="47"/>
  <c r="C10" i="47"/>
  <c r="C67" i="47"/>
  <c r="D7" i="33" l="1"/>
  <c r="C9" i="47"/>
  <c r="C90" i="47"/>
  <c r="C84" i="47" l="1"/>
  <c r="C73" i="47" l="1"/>
  <c r="C77" i="47" l="1"/>
  <c r="C88" i="47" l="1"/>
  <c r="D507" i="42"/>
  <c r="C81" i="47" l="1"/>
  <c r="C107" i="47" l="1"/>
  <c r="C106" i="47"/>
  <c r="C60" i="47"/>
  <c r="D7" i="42"/>
  <c r="C59" i="47" l="1"/>
  <c r="C7" i="47" s="1"/>
</calcChain>
</file>

<file path=xl/sharedStrings.xml><?xml version="1.0" encoding="utf-8"?>
<sst xmlns="http://schemas.openxmlformats.org/spreadsheetml/2006/main" count="3359" uniqueCount="2427">
  <si>
    <t>and Barangay</t>
  </si>
  <si>
    <t>Population</t>
  </si>
  <si>
    <t>Poblacion</t>
  </si>
  <si>
    <t>San Antonio</t>
  </si>
  <si>
    <t>San Miguel</t>
  </si>
  <si>
    <t>San Isidro</t>
  </si>
  <si>
    <t>San Jose</t>
  </si>
  <si>
    <t>San Francisco</t>
  </si>
  <si>
    <t>San Carlos</t>
  </si>
  <si>
    <t>San Juan</t>
  </si>
  <si>
    <t>San Vicente</t>
  </si>
  <si>
    <t>San Pedro</t>
  </si>
  <si>
    <t>Magsaysay</t>
  </si>
  <si>
    <t>Santa Cruz</t>
  </si>
  <si>
    <t>Santiago</t>
  </si>
  <si>
    <t>Santo Niño</t>
  </si>
  <si>
    <t>San Agustin</t>
  </si>
  <si>
    <t>San Roque</t>
  </si>
  <si>
    <t>Concepcion</t>
  </si>
  <si>
    <t>San Rafael</t>
  </si>
  <si>
    <t>Rizal</t>
  </si>
  <si>
    <t>Barangay I (Pob.)</t>
  </si>
  <si>
    <t>Barangay II (Pob.)</t>
  </si>
  <si>
    <t>Barangay III (Pob.)</t>
  </si>
  <si>
    <t>Barangay IV (Pob.)</t>
  </si>
  <si>
    <t>Mabini</t>
  </si>
  <si>
    <t>Buenavista</t>
  </si>
  <si>
    <t>Ipil</t>
  </si>
  <si>
    <t>Burgos</t>
  </si>
  <si>
    <t>Del Pilar</t>
  </si>
  <si>
    <t>Quezon</t>
  </si>
  <si>
    <t>Barangay V (Pob.)</t>
  </si>
  <si>
    <t>Sabang</t>
  </si>
  <si>
    <t>Talisay</t>
  </si>
  <si>
    <t>Calumpang</t>
  </si>
  <si>
    <t>Antipolo</t>
  </si>
  <si>
    <t>Cawayan</t>
  </si>
  <si>
    <t>Pandan</t>
  </si>
  <si>
    <t>Dao</t>
  </si>
  <si>
    <t>Sawang</t>
  </si>
  <si>
    <t>Mainit</t>
  </si>
  <si>
    <t>Barangay VI (Pob.)</t>
  </si>
  <si>
    <t>Bagacay</t>
  </si>
  <si>
    <t>Bonbon</t>
  </si>
  <si>
    <t>Pili</t>
  </si>
  <si>
    <t>Malbog</t>
  </si>
  <si>
    <t>Pawa</t>
  </si>
  <si>
    <t>Pangi</t>
  </si>
  <si>
    <t>Danao</t>
  </si>
  <si>
    <t>Pitogo</t>
  </si>
  <si>
    <t>Libertad</t>
  </si>
  <si>
    <t>Malitbog</t>
  </si>
  <si>
    <t>Guinobatan</t>
  </si>
  <si>
    <t>Guadalupe</t>
  </si>
  <si>
    <t>Cabayugan</t>
  </si>
  <si>
    <t>Linao</t>
  </si>
  <si>
    <t>Alegria</t>
  </si>
  <si>
    <t>Busay</t>
  </si>
  <si>
    <t>Bonga</t>
  </si>
  <si>
    <t>Bagumbayan</t>
  </si>
  <si>
    <t>San Ramon</t>
  </si>
  <si>
    <t>Villahermosa</t>
  </si>
  <si>
    <t>San Pascual</t>
  </si>
  <si>
    <t>Bacong</t>
  </si>
  <si>
    <t>Fatima</t>
  </si>
  <si>
    <t>Camambugan</t>
  </si>
  <si>
    <t>Barangay VII (Pob.)</t>
  </si>
  <si>
    <t>Barangay VIII (Pob.)</t>
  </si>
  <si>
    <t>Bayabas</t>
  </si>
  <si>
    <t>Pangpang</t>
  </si>
  <si>
    <t>Poblacion Norte</t>
  </si>
  <si>
    <t>Poblacion Sur</t>
  </si>
  <si>
    <t>Cabanbanan</t>
  </si>
  <si>
    <t>Lanipga</t>
  </si>
  <si>
    <t>San Vicente (Pob.)</t>
  </si>
  <si>
    <t>Sua</t>
  </si>
  <si>
    <t>San Sebastian</t>
  </si>
  <si>
    <t>Patag</t>
  </si>
  <si>
    <t>Buenasuerte</t>
  </si>
  <si>
    <t>Casay</t>
  </si>
  <si>
    <t>Santa Rosa</t>
  </si>
  <si>
    <t>Poblacion East</t>
  </si>
  <si>
    <t>Poblacion West</t>
  </si>
  <si>
    <t>Gabi</t>
  </si>
  <si>
    <t>Vito</t>
  </si>
  <si>
    <t>Union</t>
  </si>
  <si>
    <t>Cabungahan</t>
  </si>
  <si>
    <t>Katipunan</t>
  </si>
  <si>
    <t>Paraiso</t>
  </si>
  <si>
    <t>Progreso</t>
  </si>
  <si>
    <t>Roxas</t>
  </si>
  <si>
    <t>Valencia</t>
  </si>
  <si>
    <t>Tigbao</t>
  </si>
  <si>
    <t>Lipata</t>
  </si>
  <si>
    <t>Ilaya</t>
  </si>
  <si>
    <t>Pajo</t>
  </si>
  <si>
    <t>Abaca</t>
  </si>
  <si>
    <t>Badiang</t>
  </si>
  <si>
    <t>Liong</t>
  </si>
  <si>
    <t>Santa Fe</t>
  </si>
  <si>
    <t>Cagay</t>
  </si>
  <si>
    <t>Bugang</t>
  </si>
  <si>
    <t>Tubigan</t>
  </si>
  <si>
    <t>Taboc</t>
  </si>
  <si>
    <t>Tubod</t>
  </si>
  <si>
    <t>Candelaria</t>
  </si>
  <si>
    <t>Dapdap</t>
  </si>
  <si>
    <t>Cogon</t>
  </si>
  <si>
    <t>La Union</t>
  </si>
  <si>
    <t>Banban</t>
  </si>
  <si>
    <t>Malapoc</t>
  </si>
  <si>
    <t>Santa Ana</t>
  </si>
  <si>
    <t>Sulangan</t>
  </si>
  <si>
    <t>Tugas</t>
  </si>
  <si>
    <t>Esperanza</t>
  </si>
  <si>
    <t>Mercedes</t>
  </si>
  <si>
    <t>Catmon</t>
  </si>
  <si>
    <t>Lupo</t>
  </si>
  <si>
    <t>Odiong</t>
  </si>
  <si>
    <t>Polo</t>
  </si>
  <si>
    <t>Taba-ao</t>
  </si>
  <si>
    <t>Bay-ang</t>
  </si>
  <si>
    <t>Tabon</t>
  </si>
  <si>
    <t>El Progreso</t>
  </si>
  <si>
    <t>Santander</t>
  </si>
  <si>
    <t>Janlud</t>
  </si>
  <si>
    <t>Cabangahan</t>
  </si>
  <si>
    <t>Tigbawan</t>
  </si>
  <si>
    <t>Calangcang</t>
  </si>
  <si>
    <t>Cabulihan</t>
  </si>
  <si>
    <t>Dumlog</t>
  </si>
  <si>
    <t>Lilo-an</t>
  </si>
  <si>
    <t>Rosario</t>
  </si>
  <si>
    <t>Unidos</t>
  </si>
  <si>
    <t>Bulwang</t>
  </si>
  <si>
    <t>Lanas</t>
  </si>
  <si>
    <t>Mojon</t>
  </si>
  <si>
    <t>Caridad</t>
  </si>
  <si>
    <t>Atabay</t>
  </si>
  <si>
    <t>Balud</t>
  </si>
  <si>
    <t>Santo Tomas</t>
  </si>
  <si>
    <t>Villaflor</t>
  </si>
  <si>
    <t>La Paz</t>
  </si>
  <si>
    <t>Paz</t>
  </si>
  <si>
    <t>Carmen</t>
  </si>
  <si>
    <t>Santo Rosario</t>
  </si>
  <si>
    <t>Mabasa</t>
  </si>
  <si>
    <t>SAN REMIGIO</t>
  </si>
  <si>
    <t>Cabunga-an</t>
  </si>
  <si>
    <t>Trinidad</t>
  </si>
  <si>
    <t>Luyang</t>
  </si>
  <si>
    <t>Pasong</t>
  </si>
  <si>
    <t>Consolacion</t>
  </si>
  <si>
    <t>Santa Rita</t>
  </si>
  <si>
    <t>Bayog</t>
  </si>
  <si>
    <t>Lawaan</t>
  </si>
  <si>
    <t>Basiao</t>
  </si>
  <si>
    <t>Baye</t>
  </si>
  <si>
    <t>Bunga</t>
  </si>
  <si>
    <t>Libo-o</t>
  </si>
  <si>
    <t>Bato</t>
  </si>
  <si>
    <t>Lomboy</t>
  </si>
  <si>
    <t>Guba</t>
  </si>
  <si>
    <t>Ilaya (Pob.)</t>
  </si>
  <si>
    <t>Pondol</t>
  </si>
  <si>
    <t>Adlawan</t>
  </si>
  <si>
    <t>Bago</t>
  </si>
  <si>
    <t>Lonoy</t>
  </si>
  <si>
    <t>Dayhagon</t>
  </si>
  <si>
    <t>Parian</t>
  </si>
  <si>
    <t>Garcia</t>
  </si>
  <si>
    <t>Guiwanon</t>
  </si>
  <si>
    <t>Luca</t>
  </si>
  <si>
    <t>Dalid</t>
  </si>
  <si>
    <t>Botong</t>
  </si>
  <si>
    <t>Lawis</t>
  </si>
  <si>
    <t>Maya</t>
  </si>
  <si>
    <t>Zaragosa</t>
  </si>
  <si>
    <t>Carmelo</t>
  </si>
  <si>
    <t>Cruz</t>
  </si>
  <si>
    <t>Lico-an</t>
  </si>
  <si>
    <t>Sohoton</t>
  </si>
  <si>
    <t>Tiwi</t>
  </si>
  <si>
    <t>California</t>
  </si>
  <si>
    <t>La Fortuna</t>
  </si>
  <si>
    <t>Nangka</t>
  </si>
  <si>
    <t>Lutac</t>
  </si>
  <si>
    <t>Pungtod</t>
  </si>
  <si>
    <t>Owak</t>
  </si>
  <si>
    <t>Poblacion Centro</t>
  </si>
  <si>
    <t>Buaya</t>
  </si>
  <si>
    <t>Granada</t>
  </si>
  <si>
    <t>Tarong</t>
  </si>
  <si>
    <t>Tiguib</t>
  </si>
  <si>
    <t>Jaguimit</t>
  </si>
  <si>
    <t>Tipolo</t>
  </si>
  <si>
    <t>Bagay</t>
  </si>
  <si>
    <t>Taytay</t>
  </si>
  <si>
    <t>Bankal</t>
  </si>
  <si>
    <t>Tabunan</t>
  </si>
  <si>
    <t>Anonang</t>
  </si>
  <si>
    <t>Cabutongan</t>
  </si>
  <si>
    <t>Bug-ot</t>
  </si>
  <si>
    <t>Cawayanan</t>
  </si>
  <si>
    <t>Olango</t>
  </si>
  <si>
    <t>Guibuangan</t>
  </si>
  <si>
    <t>Baclayan</t>
  </si>
  <si>
    <t>Pasil</t>
  </si>
  <si>
    <t>Poblacion North</t>
  </si>
  <si>
    <t>Poblacion South</t>
  </si>
  <si>
    <t>Bongco</t>
  </si>
  <si>
    <t>Dapitan</t>
  </si>
  <si>
    <t>Tuble</t>
  </si>
  <si>
    <t>Doldol</t>
  </si>
  <si>
    <t>SAN MIGUEL</t>
  </si>
  <si>
    <t>Lupa</t>
  </si>
  <si>
    <t>Victoria</t>
  </si>
  <si>
    <t>Dawis Norte</t>
  </si>
  <si>
    <t>Dawis Sur</t>
  </si>
  <si>
    <t>Sambag</t>
  </si>
  <si>
    <t>Kauswagan</t>
  </si>
  <si>
    <t>Mohon</t>
  </si>
  <si>
    <t>Santa Filomena</t>
  </si>
  <si>
    <t>Malingin</t>
  </si>
  <si>
    <t>Sagasa</t>
  </si>
  <si>
    <t>Payao</t>
  </si>
  <si>
    <t>Santo Rosario (Pob.)</t>
  </si>
  <si>
    <t>Marcelo</t>
  </si>
  <si>
    <t>Suba (Pob.)</t>
  </si>
  <si>
    <t>Basak</t>
  </si>
  <si>
    <t>Inayawan</t>
  </si>
  <si>
    <t>Molobolo</t>
  </si>
  <si>
    <t>Tuyom</t>
  </si>
  <si>
    <t>Canlusong</t>
  </si>
  <si>
    <t>Japitan</t>
  </si>
  <si>
    <t>Langub</t>
  </si>
  <si>
    <t>Cabadiangan</t>
  </si>
  <si>
    <t>Consuelo</t>
  </si>
  <si>
    <t>Riverside</t>
  </si>
  <si>
    <t>Sikatuna</t>
  </si>
  <si>
    <t>Camugao</t>
  </si>
  <si>
    <t>Pandanon</t>
  </si>
  <si>
    <t>Zamora</t>
  </si>
  <si>
    <t>Bagtic</t>
  </si>
  <si>
    <t>CITY OF TALISAY</t>
  </si>
  <si>
    <t>Matab-ang</t>
  </si>
  <si>
    <t>Salamanca</t>
  </si>
  <si>
    <t>Cabug</t>
  </si>
  <si>
    <t>Taculing</t>
  </si>
  <si>
    <t>Tangub</t>
  </si>
  <si>
    <t xml:space="preserve">BOHOL </t>
  </si>
  <si>
    <t>ALBURQUERQUE</t>
  </si>
  <si>
    <t>Bahi</t>
  </si>
  <si>
    <t>Basacdacu</t>
  </si>
  <si>
    <t>Cantiguib</t>
  </si>
  <si>
    <t>Dangay</t>
  </si>
  <si>
    <t>East Poblacion</t>
  </si>
  <si>
    <t>Ponong</t>
  </si>
  <si>
    <t>Tagbuane</t>
  </si>
  <si>
    <t>Toril</t>
  </si>
  <si>
    <t>West Poblacion</t>
  </si>
  <si>
    <t>Cabatang</t>
  </si>
  <si>
    <t>Cagongcagong</t>
  </si>
  <si>
    <t>Cambaol</t>
  </si>
  <si>
    <t>Cayacay</t>
  </si>
  <si>
    <t>Del Monte</t>
  </si>
  <si>
    <t>La Hacienda</t>
  </si>
  <si>
    <t>Mahayag</t>
  </si>
  <si>
    <t>Napo</t>
  </si>
  <si>
    <t>Pagahat</t>
  </si>
  <si>
    <t>Poblacion (Calingganay)</t>
  </si>
  <si>
    <t>Putlongcam</t>
  </si>
  <si>
    <t>Sudlon (Omhor)</t>
  </si>
  <si>
    <t>Untaga</t>
  </si>
  <si>
    <t>ANDA</t>
  </si>
  <si>
    <t>Almaria</t>
  </si>
  <si>
    <t>Candabong</t>
  </si>
  <si>
    <t>Casica</t>
  </si>
  <si>
    <t>Linawan</t>
  </si>
  <si>
    <t>Lundag</t>
  </si>
  <si>
    <t>Suba</t>
  </si>
  <si>
    <t>Tanod</t>
  </si>
  <si>
    <t>Tawid</t>
  </si>
  <si>
    <t>Virgen</t>
  </si>
  <si>
    <t>ANTEQUERA</t>
  </si>
  <si>
    <t>Angilan</t>
  </si>
  <si>
    <t>Bantolinao</t>
  </si>
  <si>
    <t>Bicahan</t>
  </si>
  <si>
    <t>Bitaugan</t>
  </si>
  <si>
    <t>Bungahan</t>
  </si>
  <si>
    <t>Canlaas</t>
  </si>
  <si>
    <t>Cansibuan</t>
  </si>
  <si>
    <t>Can-omay</t>
  </si>
  <si>
    <t>Celing</t>
  </si>
  <si>
    <t>Danicop</t>
  </si>
  <si>
    <t>Mag-aso</t>
  </si>
  <si>
    <t>Quinapon-an</t>
  </si>
  <si>
    <t>Tabuan</t>
  </si>
  <si>
    <t>Tagubaas</t>
  </si>
  <si>
    <t>Tupas</t>
  </si>
  <si>
    <t>Ubojan</t>
  </si>
  <si>
    <t>Viga</t>
  </si>
  <si>
    <t>Villa Aurora (Canoc-oc)</t>
  </si>
  <si>
    <t>BACLAYON</t>
  </si>
  <si>
    <t>Cambanac</t>
  </si>
  <si>
    <t>Dasitam</t>
  </si>
  <si>
    <t>Buenaventura</t>
  </si>
  <si>
    <t>Landican</t>
  </si>
  <si>
    <t>Laya</t>
  </si>
  <si>
    <t>Montana</t>
  </si>
  <si>
    <t>Pamilacan</t>
  </si>
  <si>
    <t>Payahan</t>
  </si>
  <si>
    <t>Taguihon</t>
  </si>
  <si>
    <t>Tanday</t>
  </si>
  <si>
    <t>Baucan Norte</t>
  </si>
  <si>
    <t>Baucan Sur</t>
  </si>
  <si>
    <t>Boctol</t>
  </si>
  <si>
    <t>Boyog Norte</t>
  </si>
  <si>
    <t>Boyog Proper</t>
  </si>
  <si>
    <t>Boyog Sur</t>
  </si>
  <si>
    <t>Cabad</t>
  </si>
  <si>
    <t>Candasig</t>
  </si>
  <si>
    <t>Cantalid</t>
  </si>
  <si>
    <t>Cantomimbo</t>
  </si>
  <si>
    <t>Datag Norte</t>
  </si>
  <si>
    <t>Datag Sur</t>
  </si>
  <si>
    <t>Del Carmen Este (Pob.)</t>
  </si>
  <si>
    <t>Del Carmen Norte (Pob.)</t>
  </si>
  <si>
    <t>Del Carmen Weste (Pob.)</t>
  </si>
  <si>
    <t>Del Carmen Sur (Pob.)</t>
  </si>
  <si>
    <t>Del Rosario</t>
  </si>
  <si>
    <t>Dorol</t>
  </si>
  <si>
    <t>Haguilanan Grande</t>
  </si>
  <si>
    <t>Hanopol Este</t>
  </si>
  <si>
    <t>Hanopol Norte</t>
  </si>
  <si>
    <t>Hanopol Weste</t>
  </si>
  <si>
    <t>Magsija</t>
  </si>
  <si>
    <t>Maslog</t>
  </si>
  <si>
    <t>Sal-ing</t>
  </si>
  <si>
    <t>Tagustusan</t>
  </si>
  <si>
    <t>BATUAN</t>
  </si>
  <si>
    <t>Aloja</t>
  </si>
  <si>
    <t>Cabacnitan</t>
  </si>
  <si>
    <t>Cambacay</t>
  </si>
  <si>
    <t>Cantigdas</t>
  </si>
  <si>
    <t>Poblacion Vieja (Longsudaan)</t>
  </si>
  <si>
    <t>Quirino</t>
  </si>
  <si>
    <t>Rosariohan</t>
  </si>
  <si>
    <t>Behind The Clouds (San Jose)</t>
  </si>
  <si>
    <t>Bonifacio</t>
  </si>
  <si>
    <t>Bugang Norte</t>
  </si>
  <si>
    <t>Bugang Sur</t>
  </si>
  <si>
    <t>Cabacnitan (Magsaysay)</t>
  </si>
  <si>
    <t>Cambigsi</t>
  </si>
  <si>
    <t>Campagao</t>
  </si>
  <si>
    <t>Cansumbol</t>
  </si>
  <si>
    <t>Dagohoy</t>
  </si>
  <si>
    <t>Owac</t>
  </si>
  <si>
    <t>Subayon</t>
  </si>
  <si>
    <t>Villa Aurora</t>
  </si>
  <si>
    <t>Villa Suerte</t>
  </si>
  <si>
    <t>Yanaya</t>
  </si>
  <si>
    <t>Asinan</t>
  </si>
  <si>
    <t>Baluarte</t>
  </si>
  <si>
    <t>Bantuan</t>
  </si>
  <si>
    <t>Bonotbonot</t>
  </si>
  <si>
    <t>Bugaong</t>
  </si>
  <si>
    <t>Cambuhat</t>
  </si>
  <si>
    <t>Cambus-oc</t>
  </si>
  <si>
    <t>Cangawa</t>
  </si>
  <si>
    <t>Cantomugcad</t>
  </si>
  <si>
    <t>Cantores</t>
  </si>
  <si>
    <t>Cantuba</t>
  </si>
  <si>
    <t>Catigbian</t>
  </si>
  <si>
    <t>Cawag</t>
  </si>
  <si>
    <t>Dait</t>
  </si>
  <si>
    <t>Eastern Cabul-an</t>
  </si>
  <si>
    <t>Hunan</t>
  </si>
  <si>
    <t>Lapacan Norte</t>
  </si>
  <si>
    <t>Lapacan Sur</t>
  </si>
  <si>
    <t>Lubang</t>
  </si>
  <si>
    <t>Lusong (Plateau)</t>
  </si>
  <si>
    <t>Magkaya</t>
  </si>
  <si>
    <t>Merryland</t>
  </si>
  <si>
    <t>Nueva Granada</t>
  </si>
  <si>
    <t>Nueva Montana</t>
  </si>
  <si>
    <t>Overland</t>
  </si>
  <si>
    <t>Panghagban</t>
  </si>
  <si>
    <t>Puting Bato</t>
  </si>
  <si>
    <t>Rufo Hill</t>
  </si>
  <si>
    <t>Sweetland</t>
  </si>
  <si>
    <t>Western Cabul-an</t>
  </si>
  <si>
    <t>CALAPE</t>
  </si>
  <si>
    <t>Abucayan Norte</t>
  </si>
  <si>
    <t>Abucayan Sur</t>
  </si>
  <si>
    <t>Banlasan</t>
  </si>
  <si>
    <t>Bentig</t>
  </si>
  <si>
    <t>Binogawan</t>
  </si>
  <si>
    <t>Cabudburan</t>
  </si>
  <si>
    <t>Calunasan</t>
  </si>
  <si>
    <t>Camias</t>
  </si>
  <si>
    <t>Canguha</t>
  </si>
  <si>
    <t>Catmonan</t>
  </si>
  <si>
    <t>Desamparados (Pob.)</t>
  </si>
  <si>
    <t>Kahayag</t>
  </si>
  <si>
    <t>Kinabag-an</t>
  </si>
  <si>
    <t>Labuon</t>
  </si>
  <si>
    <t>Liboron</t>
  </si>
  <si>
    <t>Lo-oc</t>
  </si>
  <si>
    <t>Lucob</t>
  </si>
  <si>
    <t>Madangog</t>
  </si>
  <si>
    <t>Magtongtong</t>
  </si>
  <si>
    <t>Mandaug</t>
  </si>
  <si>
    <t>Mantatao</t>
  </si>
  <si>
    <t>Sampoangon</t>
  </si>
  <si>
    <t>Santa Cruz (Pob.)</t>
  </si>
  <si>
    <t>Sojoton</t>
  </si>
  <si>
    <t>Tinibgan</t>
  </si>
  <si>
    <t>Tultugan</t>
  </si>
  <si>
    <t>Ulbujan</t>
  </si>
  <si>
    <t>CANDIJAY</t>
  </si>
  <si>
    <t>Abihilan</t>
  </si>
  <si>
    <t>Anoling</t>
  </si>
  <si>
    <t>Boyo-an</t>
  </si>
  <si>
    <t>Cadapdapan</t>
  </si>
  <si>
    <t>Cambane</t>
  </si>
  <si>
    <t>Can-olin</t>
  </si>
  <si>
    <t>Canawa</t>
  </si>
  <si>
    <t>Cogtong</t>
  </si>
  <si>
    <t>Luan</t>
  </si>
  <si>
    <t>Lungsoda-an</t>
  </si>
  <si>
    <t>Mahangin</t>
  </si>
  <si>
    <t>Panadtaran</t>
  </si>
  <si>
    <t>Panas</t>
  </si>
  <si>
    <t>Tambongan</t>
  </si>
  <si>
    <t>Tubod (Tres Rosas)</t>
  </si>
  <si>
    <t>CARMEN</t>
  </si>
  <si>
    <t>Bicao</t>
  </si>
  <si>
    <t>Buenos Aires</t>
  </si>
  <si>
    <t>Calatrava</t>
  </si>
  <si>
    <t>El Salvador</t>
  </si>
  <si>
    <t>La Libertad</t>
  </si>
  <si>
    <t>La Salvacion</t>
  </si>
  <si>
    <t>La Victoria</t>
  </si>
  <si>
    <t>Matin-ao</t>
  </si>
  <si>
    <t>Montehermoso</t>
  </si>
  <si>
    <t>Montesuerte</t>
  </si>
  <si>
    <t>Montesunting</t>
  </si>
  <si>
    <t>Montevideo</t>
  </si>
  <si>
    <t>Nueva Fuerza</t>
  </si>
  <si>
    <t>Nueva Vida Este</t>
  </si>
  <si>
    <t>Nueva Vida Sur</t>
  </si>
  <si>
    <t>Nueva Vida Norte</t>
  </si>
  <si>
    <t>Tambo-an</t>
  </si>
  <si>
    <t>Vallehermoso</t>
  </si>
  <si>
    <t>Villafuerte</t>
  </si>
  <si>
    <t>Villarcayo</t>
  </si>
  <si>
    <t>Ambuan</t>
  </si>
  <si>
    <t>Baang</t>
  </si>
  <si>
    <t>Bongbong</t>
  </si>
  <si>
    <t>Cambailan</t>
  </si>
  <si>
    <t>Candumayao</t>
  </si>
  <si>
    <t>Kang-iras</t>
  </si>
  <si>
    <t>Causwagan Norte</t>
  </si>
  <si>
    <t>Hagbuaya</t>
  </si>
  <si>
    <t>Haguilanan</t>
  </si>
  <si>
    <t>Libertad Sur</t>
  </si>
  <si>
    <t>Mahayag Norte</t>
  </si>
  <si>
    <t>Mahayag Sur</t>
  </si>
  <si>
    <t>Maitum</t>
  </si>
  <si>
    <t>Mantasida</t>
  </si>
  <si>
    <t>Sinakayanan</t>
  </si>
  <si>
    <t>Triple Union</t>
  </si>
  <si>
    <t>Poblacion Weste</t>
  </si>
  <si>
    <t>Bacani</t>
  </si>
  <si>
    <t>Bogtongbod</t>
  </si>
  <si>
    <t>Bontud</t>
  </si>
  <si>
    <t>Buacao</t>
  </si>
  <si>
    <t>Buangan</t>
  </si>
  <si>
    <t>Cabog</t>
  </si>
  <si>
    <t>Caboy</t>
  </si>
  <si>
    <t>Caluwasan</t>
  </si>
  <si>
    <t>Candajec</t>
  </si>
  <si>
    <t>Cantoyoc</t>
  </si>
  <si>
    <t>Comaang</t>
  </si>
  <si>
    <t>Danahao</t>
  </si>
  <si>
    <t>Lajog</t>
  </si>
  <si>
    <t>Mataub</t>
  </si>
  <si>
    <t>Nahawan</t>
  </si>
  <si>
    <t>Tangaran</t>
  </si>
  <si>
    <t>Tontunan</t>
  </si>
  <si>
    <t>CORELLA</t>
  </si>
  <si>
    <t>Anislag</t>
  </si>
  <si>
    <t>Canangca-an</t>
  </si>
  <si>
    <t>Canapnapan</t>
  </si>
  <si>
    <t>Cancatac</t>
  </si>
  <si>
    <t>Pandol</t>
  </si>
  <si>
    <t>Sambog</t>
  </si>
  <si>
    <t>CORTES</t>
  </si>
  <si>
    <t>De la Paz</t>
  </si>
  <si>
    <t>Loreto</t>
  </si>
  <si>
    <t>Lourdes</t>
  </si>
  <si>
    <t>Malayo Norte</t>
  </si>
  <si>
    <t>Malayo Sur</t>
  </si>
  <si>
    <t>Monserrat</t>
  </si>
  <si>
    <t>New Lourdes</t>
  </si>
  <si>
    <t>Patrocinio</t>
  </si>
  <si>
    <t>Salvador</t>
  </si>
  <si>
    <t>Upper de la Paz</t>
  </si>
  <si>
    <t>Babag</t>
  </si>
  <si>
    <t>Can-oling</t>
  </si>
  <si>
    <t>Estaca</t>
  </si>
  <si>
    <t>Cagawasan</t>
  </si>
  <si>
    <t>Cagawitan</t>
  </si>
  <si>
    <t>Caluasan</t>
  </si>
  <si>
    <t>La Esperanza</t>
  </si>
  <si>
    <t>DANAO</t>
  </si>
  <si>
    <t>Cabatuan</t>
  </si>
  <si>
    <t>Cantubod</t>
  </si>
  <si>
    <t>Carbon</t>
  </si>
  <si>
    <t>Hibale</t>
  </si>
  <si>
    <t>Magtangtang</t>
  </si>
  <si>
    <t>Nahud</t>
  </si>
  <si>
    <t>Remedios</t>
  </si>
  <si>
    <t>Tabok</t>
  </si>
  <si>
    <t>Taming</t>
  </si>
  <si>
    <t>Villa Anunciado</t>
  </si>
  <si>
    <t>DAUIS</t>
  </si>
  <si>
    <t>Biking</t>
  </si>
  <si>
    <t>San Isidro (Canlongon)</t>
  </si>
  <si>
    <t>Catarman</t>
  </si>
  <si>
    <t>Mayacabac</t>
  </si>
  <si>
    <t>Songculan</t>
  </si>
  <si>
    <t>Tinago</t>
  </si>
  <si>
    <t>Totolan</t>
  </si>
  <si>
    <t>Mariveles</t>
  </si>
  <si>
    <t>DIMIAO</t>
  </si>
  <si>
    <t>Abihid</t>
  </si>
  <si>
    <t>Alemania</t>
  </si>
  <si>
    <t>Baguhan</t>
  </si>
  <si>
    <t>Bakilid</t>
  </si>
  <si>
    <t>Balbalan</t>
  </si>
  <si>
    <t>Bauhugan</t>
  </si>
  <si>
    <t>Bilisan</t>
  </si>
  <si>
    <t>Cabagakian</t>
  </si>
  <si>
    <t>Cadap-agan</t>
  </si>
  <si>
    <t>Cambacol</t>
  </si>
  <si>
    <t>Cambayaon</t>
  </si>
  <si>
    <t>Canhayupon</t>
  </si>
  <si>
    <t>Canlambong</t>
  </si>
  <si>
    <t>Casingan</t>
  </si>
  <si>
    <t>Catugasan</t>
  </si>
  <si>
    <t>Datag</t>
  </si>
  <si>
    <t>Guindaguitan</t>
  </si>
  <si>
    <t>Guingoyuran</t>
  </si>
  <si>
    <t>Ile</t>
  </si>
  <si>
    <t>Lapsaon</t>
  </si>
  <si>
    <t>Limokon Ilaod</t>
  </si>
  <si>
    <t>Limokon Ilaya</t>
  </si>
  <si>
    <t>Luyo</t>
  </si>
  <si>
    <t>Malijao</t>
  </si>
  <si>
    <t>Oac</t>
  </si>
  <si>
    <t>Pagsa</t>
  </si>
  <si>
    <t>Pangihawan</t>
  </si>
  <si>
    <t>Puangyuta</t>
  </si>
  <si>
    <t>Tangohay</t>
  </si>
  <si>
    <t>Taongon Cabatuan</t>
  </si>
  <si>
    <t>Tawid Bitaog</t>
  </si>
  <si>
    <t>Taongon Can-andam</t>
  </si>
  <si>
    <t>DUERO</t>
  </si>
  <si>
    <t>Alejawan</t>
  </si>
  <si>
    <t>Anibongan</t>
  </si>
  <si>
    <t>Bangwalog</t>
  </si>
  <si>
    <t>Cansuhay</t>
  </si>
  <si>
    <t>Duay</t>
  </si>
  <si>
    <t>Guinsularan</t>
  </si>
  <si>
    <t>Itum</t>
  </si>
  <si>
    <t>Langkis</t>
  </si>
  <si>
    <t>Lobogon</t>
  </si>
  <si>
    <t>Madua Norte</t>
  </si>
  <si>
    <t>Madua Sur</t>
  </si>
  <si>
    <t>Mambool</t>
  </si>
  <si>
    <t>Mawi</t>
  </si>
  <si>
    <t>San Antonio (Pob.)</t>
  </si>
  <si>
    <t>Imelda</t>
  </si>
  <si>
    <t>Abijilan</t>
  </si>
  <si>
    <t>Cagwang</t>
  </si>
  <si>
    <t>Calma</t>
  </si>
  <si>
    <t>Cambuyo</t>
  </si>
  <si>
    <t>Canayaon East</t>
  </si>
  <si>
    <t>Canayaon West</t>
  </si>
  <si>
    <t>Candanas</t>
  </si>
  <si>
    <t>Candulao</t>
  </si>
  <si>
    <t>Cayam</t>
  </si>
  <si>
    <t>Cupa</t>
  </si>
  <si>
    <t>Lungsodaan East</t>
  </si>
  <si>
    <t>Lungsodaan West</t>
  </si>
  <si>
    <t>Malinao</t>
  </si>
  <si>
    <t>Manaba</t>
  </si>
  <si>
    <t>Sacaon</t>
  </si>
  <si>
    <t>Sampong</t>
  </si>
  <si>
    <t>Togbongon</t>
  </si>
  <si>
    <t>Ulbujan East</t>
  </si>
  <si>
    <t>Ulbujan West</t>
  </si>
  <si>
    <t>Basdio</t>
  </si>
  <si>
    <t>Bayong</t>
  </si>
  <si>
    <t>Biabas</t>
  </si>
  <si>
    <t>Bulawan</t>
  </si>
  <si>
    <t>Cabantian</t>
  </si>
  <si>
    <t>Canhaway</t>
  </si>
  <si>
    <t>Cansiwang</t>
  </si>
  <si>
    <t>Casbu</t>
  </si>
  <si>
    <t>Catungawan Sur</t>
  </si>
  <si>
    <t>Catungawan Norte</t>
  </si>
  <si>
    <t>Guinacot</t>
  </si>
  <si>
    <t>Guio-ang</t>
  </si>
  <si>
    <t>Lombog</t>
  </si>
  <si>
    <t>Mayuga</t>
  </si>
  <si>
    <t>Sawang (Pob.)</t>
  </si>
  <si>
    <t>Tabajan (Pob.)</t>
  </si>
  <si>
    <t>Tabunok</t>
  </si>
  <si>
    <t>Bahan</t>
  </si>
  <si>
    <t>Banahao</t>
  </si>
  <si>
    <t>Baogo</t>
  </si>
  <si>
    <t>Cagayan</t>
  </si>
  <si>
    <t>Cambitoon</t>
  </si>
  <si>
    <t>Canlinte</t>
  </si>
  <si>
    <t>Cuaming</t>
  </si>
  <si>
    <t>Dagnawan</t>
  </si>
  <si>
    <t>Dait Sur</t>
  </si>
  <si>
    <t>Hambongan</t>
  </si>
  <si>
    <t>Ilaud (Pob.)</t>
  </si>
  <si>
    <t>Ilihan</t>
  </si>
  <si>
    <t>Liloan Norte</t>
  </si>
  <si>
    <t>Liloan Sur</t>
  </si>
  <si>
    <t>Lonoy Cainsican</t>
  </si>
  <si>
    <t>Lonoy Roma</t>
  </si>
  <si>
    <t>Lutao</t>
  </si>
  <si>
    <t>Mabuhay</t>
  </si>
  <si>
    <t>Maria Rosario</t>
  </si>
  <si>
    <t>Nabuad</t>
  </si>
  <si>
    <t>Ondol</t>
  </si>
  <si>
    <t>Saa</t>
  </si>
  <si>
    <t>Tambook</t>
  </si>
  <si>
    <t>Tungod</t>
  </si>
  <si>
    <t>U-og</t>
  </si>
  <si>
    <t>Ubujan</t>
  </si>
  <si>
    <t>Balili</t>
  </si>
  <si>
    <t>Buyog</t>
  </si>
  <si>
    <t>Bunga Ilaya</t>
  </si>
  <si>
    <t>Bunga Mar</t>
  </si>
  <si>
    <t>Calabacita</t>
  </si>
  <si>
    <t>Cambugason</t>
  </si>
  <si>
    <t>Can-ipol</t>
  </si>
  <si>
    <t>Canjulao</t>
  </si>
  <si>
    <t>Cantagay</t>
  </si>
  <si>
    <t>Cantuyoc</t>
  </si>
  <si>
    <t>Can-uba</t>
  </si>
  <si>
    <t>Can-upao</t>
  </si>
  <si>
    <t>Faraon</t>
  </si>
  <si>
    <t>Kinagbaan</t>
  </si>
  <si>
    <t>Laca</t>
  </si>
  <si>
    <t>Larapan</t>
  </si>
  <si>
    <t>Looc</t>
  </si>
  <si>
    <t>Mayana</t>
  </si>
  <si>
    <t>Naatang</t>
  </si>
  <si>
    <t>Nausok</t>
  </si>
  <si>
    <t>Pagina</t>
  </si>
  <si>
    <t>Pangdan</t>
  </si>
  <si>
    <t>Poblacion (Pondol)</t>
  </si>
  <si>
    <t>Tejero</t>
  </si>
  <si>
    <t>Tubod Mar</t>
  </si>
  <si>
    <t>Tubod Monte</t>
  </si>
  <si>
    <t>Alumar</t>
  </si>
  <si>
    <t>Banacon</t>
  </si>
  <si>
    <t>Cabasakan</t>
  </si>
  <si>
    <t>Campao Occidental</t>
  </si>
  <si>
    <t>Campao Oriental</t>
  </si>
  <si>
    <t>Cangmundo</t>
  </si>
  <si>
    <t>Carlos P. Garcia</t>
  </si>
  <si>
    <t>Corte Baud</t>
  </si>
  <si>
    <t>Handumon</t>
  </si>
  <si>
    <t>Jagoliao</t>
  </si>
  <si>
    <t>Jandayan Norte</t>
  </si>
  <si>
    <t>Jandayan Sur</t>
  </si>
  <si>
    <t>Mahanay (Mahanay Island)</t>
  </si>
  <si>
    <t>Nasingin</t>
  </si>
  <si>
    <t>Saguise</t>
  </si>
  <si>
    <t>Salog</t>
  </si>
  <si>
    <t>Tulang</t>
  </si>
  <si>
    <t>LILA</t>
  </si>
  <si>
    <t>Bonkokan Ilaya</t>
  </si>
  <si>
    <t>Bonkokan Ubos</t>
  </si>
  <si>
    <t>Calvario</t>
  </si>
  <si>
    <t>Candulang</t>
  </si>
  <si>
    <t>Cayupo</t>
  </si>
  <si>
    <t>Jambawan</t>
  </si>
  <si>
    <t>Lomanoy</t>
  </si>
  <si>
    <t>Macalingan</t>
  </si>
  <si>
    <t>Malinao East</t>
  </si>
  <si>
    <t>Malinao West</t>
  </si>
  <si>
    <t>Nagsulay</t>
  </si>
  <si>
    <t>Taug</t>
  </si>
  <si>
    <t>Tiguis</t>
  </si>
  <si>
    <t>Agape</t>
  </si>
  <si>
    <t>Alegria Norte</t>
  </si>
  <si>
    <t>Alegria Sur</t>
  </si>
  <si>
    <t>Botoc Occidental</t>
  </si>
  <si>
    <t>Botoc Oriental</t>
  </si>
  <si>
    <t>Hinawanan</t>
  </si>
  <si>
    <t>Las Salinas Norte</t>
  </si>
  <si>
    <t>Las Salinas Sur</t>
  </si>
  <si>
    <t>Palo</t>
  </si>
  <si>
    <t>Poblacion Ibabao</t>
  </si>
  <si>
    <t>Poblacion Ubos</t>
  </si>
  <si>
    <t>Sagnap</t>
  </si>
  <si>
    <t>Tambangan</t>
  </si>
  <si>
    <t>Tangcasan Norte</t>
  </si>
  <si>
    <t>Tangcasan Sur</t>
  </si>
  <si>
    <t>Tayong Occidental</t>
  </si>
  <si>
    <t>Tayong Oriental</t>
  </si>
  <si>
    <t>Tocdog Dacu</t>
  </si>
  <si>
    <t>Tocdog Ilaya</t>
  </si>
  <si>
    <t>Villalimpia</t>
  </si>
  <si>
    <t>Yanangan</t>
  </si>
  <si>
    <t>Bahian</t>
  </si>
  <si>
    <t>Bonbon Lower</t>
  </si>
  <si>
    <t>Bonbon Upper</t>
  </si>
  <si>
    <t>Bugho</t>
  </si>
  <si>
    <t>Calunasan Norte</t>
  </si>
  <si>
    <t>Calunasan Sur</t>
  </si>
  <si>
    <t>Camayaan</t>
  </si>
  <si>
    <t>Cambance</t>
  </si>
  <si>
    <t>Candasag</t>
  </si>
  <si>
    <t>Canlasid</t>
  </si>
  <si>
    <t>Gon-ob</t>
  </si>
  <si>
    <t>Gotozon</t>
  </si>
  <si>
    <t>Jimilian</t>
  </si>
  <si>
    <t>Oy</t>
  </si>
  <si>
    <t>Poblacion Sawang</t>
  </si>
  <si>
    <t>Poblacion Ondol</t>
  </si>
  <si>
    <t>Quinoguitan</t>
  </si>
  <si>
    <t>Ugpong</t>
  </si>
  <si>
    <t>Valladolid</t>
  </si>
  <si>
    <t>Agsoso</t>
  </si>
  <si>
    <t>Badbad Occidental</t>
  </si>
  <si>
    <t>Badbad Oriental</t>
  </si>
  <si>
    <t>Bagacay Katipunan</t>
  </si>
  <si>
    <t>Bagacay Kawayan</t>
  </si>
  <si>
    <t>Bagacay Saong</t>
  </si>
  <si>
    <t>Basac</t>
  </si>
  <si>
    <t>Basdacu</t>
  </si>
  <si>
    <t>Biasong</t>
  </si>
  <si>
    <t>Cabacongan</t>
  </si>
  <si>
    <t>Cabadug</t>
  </si>
  <si>
    <t>Calayugan Norte</t>
  </si>
  <si>
    <t>Calayugan Sur</t>
  </si>
  <si>
    <t>Canmaag</t>
  </si>
  <si>
    <t>Cambaquiz</t>
  </si>
  <si>
    <t>Campatud</t>
  </si>
  <si>
    <t>Candaigan</t>
  </si>
  <si>
    <t>Canhangdon Occidental</t>
  </si>
  <si>
    <t>Canhangdon Oriental</t>
  </si>
  <si>
    <t>Canigaan</t>
  </si>
  <si>
    <t>Canmanoc</t>
  </si>
  <si>
    <t>Cansuagwit</t>
  </si>
  <si>
    <t>Cansubayon</t>
  </si>
  <si>
    <t>Catagbacan Handig</t>
  </si>
  <si>
    <t>Catagbacan Norte</t>
  </si>
  <si>
    <t>Catagbacan Sur</t>
  </si>
  <si>
    <t>Cantam-is Bago</t>
  </si>
  <si>
    <t>Cantaongon</t>
  </si>
  <si>
    <t>Cantumocad</t>
  </si>
  <si>
    <t>Cantam-is Baslay</t>
  </si>
  <si>
    <t>Cogon Norte (Pob.)</t>
  </si>
  <si>
    <t>Cogon Sur</t>
  </si>
  <si>
    <t>Cuasi</t>
  </si>
  <si>
    <t>Genomoan</t>
  </si>
  <si>
    <t>Lintuan</t>
  </si>
  <si>
    <t>Mocpoc Norte</t>
  </si>
  <si>
    <t>Mocpoc Sur</t>
  </si>
  <si>
    <t>Nagtuang</t>
  </si>
  <si>
    <t>Napo (Pob.)</t>
  </si>
  <si>
    <t>Nueva Vida</t>
  </si>
  <si>
    <t>Panangquilon</t>
  </si>
  <si>
    <t>Pantudlan</t>
  </si>
  <si>
    <t>Pig-ot</t>
  </si>
  <si>
    <t>Moto Norte (Pob.)</t>
  </si>
  <si>
    <t>Moto Sur (Pob.)</t>
  </si>
  <si>
    <t>Quinobcoban</t>
  </si>
  <si>
    <t>Sondol</t>
  </si>
  <si>
    <t>Song-on</t>
  </si>
  <si>
    <t>Tan-awan</t>
  </si>
  <si>
    <t>Tangnan</t>
  </si>
  <si>
    <t>Ticugan</t>
  </si>
  <si>
    <t>Tontonan</t>
  </si>
  <si>
    <t>Tubodacu</t>
  </si>
  <si>
    <t>Tubodio</t>
  </si>
  <si>
    <t>Tubuan</t>
  </si>
  <si>
    <t>Ubayon</t>
  </si>
  <si>
    <t>Abad Santos</t>
  </si>
  <si>
    <t>Aguipo</t>
  </si>
  <si>
    <t>Concepcion (Banlas)</t>
  </si>
  <si>
    <t>Baybayon</t>
  </si>
  <si>
    <t>Cabidian</t>
  </si>
  <si>
    <t>Del Mar</t>
  </si>
  <si>
    <t>Minol</t>
  </si>
  <si>
    <t>Poblacion I</t>
  </si>
  <si>
    <t>Poblacion II</t>
  </si>
  <si>
    <t>San Roque (Cabulao)</t>
  </si>
  <si>
    <t>Tambo</t>
  </si>
  <si>
    <t>Tangkigan</t>
  </si>
  <si>
    <t>Valaga</t>
  </si>
  <si>
    <t>MARIBOJOC</t>
  </si>
  <si>
    <t>San Roque (Aghao)</t>
  </si>
  <si>
    <t>Agahay</t>
  </si>
  <si>
    <t>Aliguay</t>
  </si>
  <si>
    <t>Bayacabac</t>
  </si>
  <si>
    <t>Bood</t>
  </si>
  <si>
    <t>Busao</t>
  </si>
  <si>
    <t>Cabawan</t>
  </si>
  <si>
    <t>Candavid</t>
  </si>
  <si>
    <t>Dipatlong</t>
  </si>
  <si>
    <t>Jandig</t>
  </si>
  <si>
    <t>Lagtangon</t>
  </si>
  <si>
    <t>Lincod</t>
  </si>
  <si>
    <t>Pagnitoan</t>
  </si>
  <si>
    <t>Punsod</t>
  </si>
  <si>
    <t>Punta Cruz</t>
  </si>
  <si>
    <t>Bil-isan</t>
  </si>
  <si>
    <t>Bolod</t>
  </si>
  <si>
    <t>Doljo</t>
  </si>
  <si>
    <t>Libaong</t>
  </si>
  <si>
    <t>Tawala</t>
  </si>
  <si>
    <t>Aurora</t>
  </si>
  <si>
    <t>Cansungay</t>
  </si>
  <si>
    <t>Catagda-an</t>
  </si>
  <si>
    <t>Ilaud</t>
  </si>
  <si>
    <t>Inaghuban</t>
  </si>
  <si>
    <t>La Suerte</t>
  </si>
  <si>
    <t>Lumbay</t>
  </si>
  <si>
    <t>Pamacsalan</t>
  </si>
  <si>
    <t>PRES. CARLOS P. GARCIA (PITOGO)</t>
  </si>
  <si>
    <t>Aguining</t>
  </si>
  <si>
    <t>Baud</t>
  </si>
  <si>
    <t>Bogo</t>
  </si>
  <si>
    <t>Bonbonon</t>
  </si>
  <si>
    <t>Canmangao</t>
  </si>
  <si>
    <t>Campamanog</t>
  </si>
  <si>
    <t>Gaus</t>
  </si>
  <si>
    <t>Kabangkalan</t>
  </si>
  <si>
    <t>Lapinig</t>
  </si>
  <si>
    <t>Popoo</t>
  </si>
  <si>
    <t>San Jose (Tawid)</t>
  </si>
  <si>
    <t>Tilmobo</t>
  </si>
  <si>
    <t>Tugnao</t>
  </si>
  <si>
    <t>Villa Milagrosa</t>
  </si>
  <si>
    <t>Butan</t>
  </si>
  <si>
    <t>SAGBAYAN (BORJA)</t>
  </si>
  <si>
    <t>Calangahan</t>
  </si>
  <si>
    <t>Canmano</t>
  </si>
  <si>
    <t>Canmaya Centro</t>
  </si>
  <si>
    <t>Canmaya Diot</t>
  </si>
  <si>
    <t>Kabasacan</t>
  </si>
  <si>
    <t>Kagawasan</t>
  </si>
  <si>
    <t>Langtad</t>
  </si>
  <si>
    <t>Libertad Norte</t>
  </si>
  <si>
    <t>Mantalongon</t>
  </si>
  <si>
    <t>Sagbayan Sur</t>
  </si>
  <si>
    <t>San Vicente Norte</t>
  </si>
  <si>
    <t>San Vicente Sur</t>
  </si>
  <si>
    <t>Santa Catalina</t>
  </si>
  <si>
    <t>SAN ISIDRO</t>
  </si>
  <si>
    <t>Abehilan</t>
  </si>
  <si>
    <t>Baunos</t>
  </si>
  <si>
    <t>Cabanugan</t>
  </si>
  <si>
    <t>Caimbang</t>
  </si>
  <si>
    <t>Cambansag</t>
  </si>
  <si>
    <t>Candungao</t>
  </si>
  <si>
    <t>Cansague Norte</t>
  </si>
  <si>
    <t>Cansague Sur</t>
  </si>
  <si>
    <t>Causwagan Sur</t>
  </si>
  <si>
    <t>Masonoy</t>
  </si>
  <si>
    <t>Baryong Daan</t>
  </si>
  <si>
    <t>Bayongan</t>
  </si>
  <si>
    <t>Camanaga</t>
  </si>
  <si>
    <t>Cambangay Norte</t>
  </si>
  <si>
    <t>Capayas</t>
  </si>
  <si>
    <t>Corazon</t>
  </si>
  <si>
    <t>Hagbuyo</t>
  </si>
  <si>
    <t>Tomoc</t>
  </si>
  <si>
    <t>SEVILLA</t>
  </si>
  <si>
    <t>Bayawahan</t>
  </si>
  <si>
    <t>Cabancalan</t>
  </si>
  <si>
    <t>Calinga-an</t>
  </si>
  <si>
    <t>Calinginan Norte</t>
  </si>
  <si>
    <t>Calinginan Sur</t>
  </si>
  <si>
    <t>Cambagui</t>
  </si>
  <si>
    <t>Ewon</t>
  </si>
  <si>
    <t>Guinob-an</t>
  </si>
  <si>
    <t>Lagtangan</t>
  </si>
  <si>
    <t>Licolico</t>
  </si>
  <si>
    <t>Lobgob</t>
  </si>
  <si>
    <t>Abachanan</t>
  </si>
  <si>
    <t>Bugsoc</t>
  </si>
  <si>
    <t>Canlangit</t>
  </si>
  <si>
    <t>Canta-ub</t>
  </si>
  <si>
    <t>Casilay</t>
  </si>
  <si>
    <t>Dusita</t>
  </si>
  <si>
    <t>Cahayag</t>
  </si>
  <si>
    <t>Lataban</t>
  </si>
  <si>
    <t>Man-od</t>
  </si>
  <si>
    <t>Villa Garcia</t>
  </si>
  <si>
    <t>SIKATUNA</t>
  </si>
  <si>
    <t>Abucay Norte</t>
  </si>
  <si>
    <t>Abucay Sur</t>
  </si>
  <si>
    <t>Bahaybahay</t>
  </si>
  <si>
    <t>Cambuac Norte</t>
  </si>
  <si>
    <t>Cambuac Sur</t>
  </si>
  <si>
    <t>Canagong</t>
  </si>
  <si>
    <t>Libjo</t>
  </si>
  <si>
    <t>Bool</t>
  </si>
  <si>
    <t>Booy</t>
  </si>
  <si>
    <t>Dampas</t>
  </si>
  <si>
    <t>Manga</t>
  </si>
  <si>
    <t>Mansasa</t>
  </si>
  <si>
    <t>Poblacion III</t>
  </si>
  <si>
    <t>Taloto</t>
  </si>
  <si>
    <t>Tiptip</t>
  </si>
  <si>
    <t>TALIBON</t>
  </si>
  <si>
    <t>Balintawak</t>
  </si>
  <si>
    <t>Busalian</t>
  </si>
  <si>
    <t>Calituban</t>
  </si>
  <si>
    <t>Cataban</t>
  </si>
  <si>
    <t>Guindacpan</t>
  </si>
  <si>
    <t>Mahanay</t>
  </si>
  <si>
    <t>Nocnocan</t>
  </si>
  <si>
    <t>Sag</t>
  </si>
  <si>
    <t>Tanghaligue</t>
  </si>
  <si>
    <t>Catoogan</t>
  </si>
  <si>
    <t>Hinlayagan Ilaud</t>
  </si>
  <si>
    <t>Hinlayagan Ilaya</t>
  </si>
  <si>
    <t>Kinan-oan</t>
  </si>
  <si>
    <t>Mabuhay Cabigohan</t>
  </si>
  <si>
    <t>Mahagbu</t>
  </si>
  <si>
    <t>Manuel M. Roxas</t>
  </si>
  <si>
    <t>Soom</t>
  </si>
  <si>
    <t>Tagum Norte</t>
  </si>
  <si>
    <t>Tagum Sur</t>
  </si>
  <si>
    <t>TUBIGON</t>
  </si>
  <si>
    <t>Bagongbanwa</t>
  </si>
  <si>
    <t>Bunacan</t>
  </si>
  <si>
    <t>Batasan (Batasan Island)</t>
  </si>
  <si>
    <t>Bilangbilangan (Bilangbilangan Island)</t>
  </si>
  <si>
    <t>Bosongon</t>
  </si>
  <si>
    <t>Centro (Pob.)</t>
  </si>
  <si>
    <t>Genonocan</t>
  </si>
  <si>
    <t>Ilihan Norte</t>
  </si>
  <si>
    <t>Ilihan Sur</t>
  </si>
  <si>
    <t>Macaas</t>
  </si>
  <si>
    <t>Mocaboc Island</t>
  </si>
  <si>
    <t>Matabao</t>
  </si>
  <si>
    <t>Panaytayon</t>
  </si>
  <si>
    <t>Pangapasan (Pangapasan Island)</t>
  </si>
  <si>
    <t>Pinayagan Norte</t>
  </si>
  <si>
    <t>Pinayagan Sur</t>
  </si>
  <si>
    <t>Pooc Occidental (Pob.)</t>
  </si>
  <si>
    <t>Pooc Oriental (Pob.)</t>
  </si>
  <si>
    <t>Potohan</t>
  </si>
  <si>
    <t>Talenceras</t>
  </si>
  <si>
    <t>Tinangnan</t>
  </si>
  <si>
    <t>Ubay Island</t>
  </si>
  <si>
    <t>Villanueva</t>
  </si>
  <si>
    <t>UBAY</t>
  </si>
  <si>
    <t>Achila</t>
  </si>
  <si>
    <t>Benliw</t>
  </si>
  <si>
    <t>Cagting</t>
  </si>
  <si>
    <t>Camali-an</t>
  </si>
  <si>
    <t>Casate</t>
  </si>
  <si>
    <t>Katarungan</t>
  </si>
  <si>
    <t>Cuya</t>
  </si>
  <si>
    <t>Governor Boyles</t>
  </si>
  <si>
    <t>Guintabo-an</t>
  </si>
  <si>
    <t>Hambabauran</t>
  </si>
  <si>
    <t>Humayhumay</t>
  </si>
  <si>
    <t>Juagdan</t>
  </si>
  <si>
    <t>Calanggaman</t>
  </si>
  <si>
    <t>Los Angeles</t>
  </si>
  <si>
    <t>Lomangog</t>
  </si>
  <si>
    <t>Pag-asa</t>
  </si>
  <si>
    <t>Sentinila</t>
  </si>
  <si>
    <t>Sinandigan</t>
  </si>
  <si>
    <t>Tapal</t>
  </si>
  <si>
    <t>Tapon</t>
  </si>
  <si>
    <t>Tintinan</t>
  </si>
  <si>
    <t>Tubog</t>
  </si>
  <si>
    <t>Tuboran</t>
  </si>
  <si>
    <t>Villa Teresita</t>
  </si>
  <si>
    <t>Bulilis</t>
  </si>
  <si>
    <t>VALENCIA</t>
  </si>
  <si>
    <t>Anas</t>
  </si>
  <si>
    <t>Anoyon</t>
  </si>
  <si>
    <t>Balingasao</t>
  </si>
  <si>
    <t>Canduao Occidental</t>
  </si>
  <si>
    <t>Canduao Oriental</t>
  </si>
  <si>
    <t>Canmanico</t>
  </si>
  <si>
    <t>Cansibao</t>
  </si>
  <si>
    <t>Catug-a</t>
  </si>
  <si>
    <t>Cutcutan</t>
  </si>
  <si>
    <t>Genoveva</t>
  </si>
  <si>
    <t>Ginopolan (Ginopolan Proper)</t>
  </si>
  <si>
    <t>Lantang</t>
  </si>
  <si>
    <t>Limocon</t>
  </si>
  <si>
    <t>Loctob</t>
  </si>
  <si>
    <t>Marawis</t>
  </si>
  <si>
    <t>Maubo</t>
  </si>
  <si>
    <t>Nailo</t>
  </si>
  <si>
    <t>Omjon</t>
  </si>
  <si>
    <t>Pangi-an</t>
  </si>
  <si>
    <t>Poblacion Occidental</t>
  </si>
  <si>
    <t>Poblacion Oriental</t>
  </si>
  <si>
    <t>Simang</t>
  </si>
  <si>
    <t>Tausion</t>
  </si>
  <si>
    <t>Ticum</t>
  </si>
  <si>
    <t>Banderahan (Upper Ginopolan)</t>
  </si>
  <si>
    <t>BIEN UNIDO</t>
  </si>
  <si>
    <t>Bilangbilangan Dako</t>
  </si>
  <si>
    <t>Bilangbilangan Diot</t>
  </si>
  <si>
    <t>Hingotanan East</t>
  </si>
  <si>
    <t>Hingotanan West</t>
  </si>
  <si>
    <t>Liberty</t>
  </si>
  <si>
    <t>Mandawa</t>
  </si>
  <si>
    <t>Maomawan</t>
  </si>
  <si>
    <t>Nueva Esperanza</t>
  </si>
  <si>
    <t>Nueva Estrella</t>
  </si>
  <si>
    <t>Pinamgo</t>
  </si>
  <si>
    <t>Poblacion (Bien Unido)</t>
  </si>
  <si>
    <t>Puerto San Pedro</t>
  </si>
  <si>
    <t>CEBU *</t>
  </si>
  <si>
    <t>ALCANTARA</t>
  </si>
  <si>
    <t>Cabil-isan</t>
  </si>
  <si>
    <t>Palanas</t>
  </si>
  <si>
    <t>Salagmaya</t>
  </si>
  <si>
    <t>ALCOY</t>
  </si>
  <si>
    <t>Daan-Lungsod</t>
  </si>
  <si>
    <t>Guiwang</t>
  </si>
  <si>
    <t>Nug-as</t>
  </si>
  <si>
    <t>Pasol</t>
  </si>
  <si>
    <t>Pugalo</t>
  </si>
  <si>
    <t>ALEGRIA</t>
  </si>
  <si>
    <t>Compostela</t>
  </si>
  <si>
    <t>Legaspi</t>
  </si>
  <si>
    <t>Lepanto</t>
  </si>
  <si>
    <t>Madridejos</t>
  </si>
  <si>
    <t>Montpeller</t>
  </si>
  <si>
    <t>ALOGUINSAN</t>
  </si>
  <si>
    <t>Bojo</t>
  </si>
  <si>
    <t>Kandingan</t>
  </si>
  <si>
    <t>Kantabogon</t>
  </si>
  <si>
    <t>Kawasan</t>
  </si>
  <si>
    <t>Punay</t>
  </si>
  <si>
    <t>Saksak</t>
  </si>
  <si>
    <t>Tampa-an</t>
  </si>
  <si>
    <t>Toyokon</t>
  </si>
  <si>
    <t>ARGAO</t>
  </si>
  <si>
    <t>Alambijud</t>
  </si>
  <si>
    <t>Anajao</t>
  </si>
  <si>
    <t>Apo</t>
  </si>
  <si>
    <t>Balaas</t>
  </si>
  <si>
    <t>Balisong</t>
  </si>
  <si>
    <t>Binlod</t>
  </si>
  <si>
    <t>Butong</t>
  </si>
  <si>
    <t>Bulasa</t>
  </si>
  <si>
    <t>Calagasan</t>
  </si>
  <si>
    <t>Canbantug</t>
  </si>
  <si>
    <t>Canbanua</t>
  </si>
  <si>
    <t>Cansuje</t>
  </si>
  <si>
    <t>Capio-an</t>
  </si>
  <si>
    <t>Catang</t>
  </si>
  <si>
    <t>Colawin</t>
  </si>
  <si>
    <t>Conalum</t>
  </si>
  <si>
    <t>Gutlang</t>
  </si>
  <si>
    <t>Jampang</t>
  </si>
  <si>
    <t>Jomgao</t>
  </si>
  <si>
    <t>Lamacan</t>
  </si>
  <si>
    <t>Lapay</t>
  </si>
  <si>
    <t>Lengigon</t>
  </si>
  <si>
    <t>Linut-od</t>
  </si>
  <si>
    <t>Mandilikit</t>
  </si>
  <si>
    <t>Mompeller</t>
  </si>
  <si>
    <t>Sumaguan</t>
  </si>
  <si>
    <t>Tabayag</t>
  </si>
  <si>
    <t>Talaga</t>
  </si>
  <si>
    <t>Talaytay</t>
  </si>
  <si>
    <t>Talo-ot</t>
  </si>
  <si>
    <t>Tulic</t>
  </si>
  <si>
    <t>Ubaub</t>
  </si>
  <si>
    <t>Usmad</t>
  </si>
  <si>
    <t>ASTURIAS</t>
  </si>
  <si>
    <t>Agbanga</t>
  </si>
  <si>
    <t>Agtugop</t>
  </si>
  <si>
    <t>Bairan</t>
  </si>
  <si>
    <t>Bog-o</t>
  </si>
  <si>
    <t>Kaluangan</t>
  </si>
  <si>
    <t>Lanao</t>
  </si>
  <si>
    <t>Looc Norte</t>
  </si>
  <si>
    <t>Lunas</t>
  </si>
  <si>
    <t>Magcalape</t>
  </si>
  <si>
    <t>Manguiao</t>
  </si>
  <si>
    <t>New Bago</t>
  </si>
  <si>
    <t>Santa Lucia</t>
  </si>
  <si>
    <t>Tag-amakan</t>
  </si>
  <si>
    <t>Tagbubonga</t>
  </si>
  <si>
    <t>Tubigagmanok</t>
  </si>
  <si>
    <t>Ubogon</t>
  </si>
  <si>
    <t>BADIAN</t>
  </si>
  <si>
    <t>Alawijao</t>
  </si>
  <si>
    <t>Balhaan</t>
  </si>
  <si>
    <t>Banhigan</t>
  </si>
  <si>
    <t>Bugas</t>
  </si>
  <si>
    <t>Candiis</t>
  </si>
  <si>
    <t>Dagatan</t>
  </si>
  <si>
    <t>Dobdob</t>
  </si>
  <si>
    <t>Ginablan</t>
  </si>
  <si>
    <t>Lambug</t>
  </si>
  <si>
    <t>Malabago</t>
  </si>
  <si>
    <t>Malhiao</t>
  </si>
  <si>
    <t>Manduyong</t>
  </si>
  <si>
    <t>Matutinao</t>
  </si>
  <si>
    <t>Patong</t>
  </si>
  <si>
    <t>Sanlagan</t>
  </si>
  <si>
    <t>Santicon</t>
  </si>
  <si>
    <t>Sulsugan</t>
  </si>
  <si>
    <t>Talayong</t>
  </si>
  <si>
    <t>BALAMBAN</t>
  </si>
  <si>
    <t>Abucayan</t>
  </si>
  <si>
    <t>Aliwanay</t>
  </si>
  <si>
    <t>Arpili</t>
  </si>
  <si>
    <t>Buanoy</t>
  </si>
  <si>
    <t>Cabagdalan</t>
  </si>
  <si>
    <t>Cabasiangan</t>
  </si>
  <si>
    <t>Cambuhawe</t>
  </si>
  <si>
    <t>Cansomoroy</t>
  </si>
  <si>
    <t>Cantibas</t>
  </si>
  <si>
    <t>Cantuod</t>
  </si>
  <si>
    <t>Duangan</t>
  </si>
  <si>
    <t>Gaas</t>
  </si>
  <si>
    <t>Ginatilan</t>
  </si>
  <si>
    <t>Hingatmonan</t>
  </si>
  <si>
    <t>Lamesa</t>
  </si>
  <si>
    <t>Liki</t>
  </si>
  <si>
    <t>Matun-og</t>
  </si>
  <si>
    <t>Prenza</t>
  </si>
  <si>
    <t>Singsing</t>
  </si>
  <si>
    <t>Sunog</t>
  </si>
  <si>
    <t>Baliwagan (Pob.)</t>
  </si>
  <si>
    <t>Santa Cruz-Santo Niño (Pob.)</t>
  </si>
  <si>
    <t>BANTAYAN</t>
  </si>
  <si>
    <t>Atop-atop</t>
  </si>
  <si>
    <t>Baigad</t>
  </si>
  <si>
    <t>Baod</t>
  </si>
  <si>
    <t>Binaobao (Pob.)</t>
  </si>
  <si>
    <t>Botigues</t>
  </si>
  <si>
    <t>Kabac</t>
  </si>
  <si>
    <t>Doong</t>
  </si>
  <si>
    <t>Hilotongan</t>
  </si>
  <si>
    <t>Kabangbang</t>
  </si>
  <si>
    <t>Kampingganon</t>
  </si>
  <si>
    <t>Kangkaibe</t>
  </si>
  <si>
    <t>Lipayran</t>
  </si>
  <si>
    <t>Luyongbaybay</t>
  </si>
  <si>
    <t>Obo-ob</t>
  </si>
  <si>
    <t>Patao</t>
  </si>
  <si>
    <t>Putian</t>
  </si>
  <si>
    <t>Sillon</t>
  </si>
  <si>
    <t>Sungko</t>
  </si>
  <si>
    <t>Tamiao</t>
  </si>
  <si>
    <t>Bantigue (Pob.)</t>
  </si>
  <si>
    <t>Ticad (Pob.)</t>
  </si>
  <si>
    <t>BARILI</t>
  </si>
  <si>
    <t>Azucena</t>
  </si>
  <si>
    <t>Bagakay</t>
  </si>
  <si>
    <t>Balao</t>
  </si>
  <si>
    <t>Bolocboloc</t>
  </si>
  <si>
    <t>Budbud</t>
  </si>
  <si>
    <t>Bugtong Kawayan</t>
  </si>
  <si>
    <t>Cabcaban</t>
  </si>
  <si>
    <t>Campangga</t>
  </si>
  <si>
    <t>Dakit</t>
  </si>
  <si>
    <t>Giloctog</t>
  </si>
  <si>
    <t>Giwanon</t>
  </si>
  <si>
    <t>Gunting</t>
  </si>
  <si>
    <t>Hilasgasan</t>
  </si>
  <si>
    <t>Kalubihan</t>
  </si>
  <si>
    <t>Kangdampas</t>
  </si>
  <si>
    <t>Candugay</t>
  </si>
  <si>
    <t>Luhod</t>
  </si>
  <si>
    <t>Maghanoy</t>
  </si>
  <si>
    <t>Maigang</t>
  </si>
  <si>
    <t>Malolos</t>
  </si>
  <si>
    <t>Mantayupan</t>
  </si>
  <si>
    <t>Minolos</t>
  </si>
  <si>
    <t>Nabunturan</t>
  </si>
  <si>
    <t>Nasipit</t>
  </si>
  <si>
    <t>Pancil</t>
  </si>
  <si>
    <t>Paril</t>
  </si>
  <si>
    <t>Patupat</t>
  </si>
  <si>
    <t>Sayaw</t>
  </si>
  <si>
    <t>Tal-ot</t>
  </si>
  <si>
    <t>Cogon (Pob.)</t>
  </si>
  <si>
    <t>Anonang Norte</t>
  </si>
  <si>
    <t>Anonang Sur</t>
  </si>
  <si>
    <t>Binabag</t>
  </si>
  <si>
    <t>Bungtod (Pob.)</t>
  </si>
  <si>
    <t>Carbon (Pob.)</t>
  </si>
  <si>
    <t>Cayang</t>
  </si>
  <si>
    <t>Don Pedro Rodriguez</t>
  </si>
  <si>
    <t>Gairan</t>
  </si>
  <si>
    <t>La Purisima Concepcion (Pob.)</t>
  </si>
  <si>
    <t>Lourdes (Pob.)</t>
  </si>
  <si>
    <t>Marangog</t>
  </si>
  <si>
    <t>Nailon</t>
  </si>
  <si>
    <t>Odlot</t>
  </si>
  <si>
    <t>Pandan (Pandan Heights)</t>
  </si>
  <si>
    <t>Polambato</t>
  </si>
  <si>
    <t>Sambag (Pob.)</t>
  </si>
  <si>
    <t>Siocon</t>
  </si>
  <si>
    <t>Taytayan</t>
  </si>
  <si>
    <t>Sudlonon</t>
  </si>
  <si>
    <t>BOLJOON</t>
  </si>
  <si>
    <t>El Pardo</t>
  </si>
  <si>
    <t>Lower Becerril</t>
  </si>
  <si>
    <t>Upper Becerril</t>
  </si>
  <si>
    <t>Arbor</t>
  </si>
  <si>
    <t>Lunop</t>
  </si>
  <si>
    <t>South Granada</t>
  </si>
  <si>
    <t>BORBON</t>
  </si>
  <si>
    <t>Bili</t>
  </si>
  <si>
    <t>Bingay</t>
  </si>
  <si>
    <t>Bongdo</t>
  </si>
  <si>
    <t>Bongdo Gua</t>
  </si>
  <si>
    <t>Bongoyan</t>
  </si>
  <si>
    <t>Cadaruhan</t>
  </si>
  <si>
    <t>Cajel</t>
  </si>
  <si>
    <t>Campusong</t>
  </si>
  <si>
    <t>Clavera</t>
  </si>
  <si>
    <t>Don Gregorio Antigua (Taytayan)</t>
  </si>
  <si>
    <t>Laaw</t>
  </si>
  <si>
    <t>Lugo</t>
  </si>
  <si>
    <t>Managase</t>
  </si>
  <si>
    <t>Sagay</t>
  </si>
  <si>
    <t>Tagnucan</t>
  </si>
  <si>
    <t>Bolinawan</t>
  </si>
  <si>
    <t>Calidngan</t>
  </si>
  <si>
    <t>Can-asujan</t>
  </si>
  <si>
    <t>Liburon</t>
  </si>
  <si>
    <t>Ocana</t>
  </si>
  <si>
    <t>Perrelos</t>
  </si>
  <si>
    <t>Baring</t>
  </si>
  <si>
    <t>Cantipay</t>
  </si>
  <si>
    <t>Cantumog</t>
  </si>
  <si>
    <t>Cantukong</t>
  </si>
  <si>
    <t>Caurasan</t>
  </si>
  <si>
    <t>Corte</t>
  </si>
  <si>
    <t>Cogon East</t>
  </si>
  <si>
    <t>Hagnaya</t>
  </si>
  <si>
    <t>Lower Natimao-an</t>
  </si>
  <si>
    <t>Puente</t>
  </si>
  <si>
    <t>Sac-on</t>
  </si>
  <si>
    <t>Triumfo</t>
  </si>
  <si>
    <t>Upper Natimao-an</t>
  </si>
  <si>
    <t>Cogon West</t>
  </si>
  <si>
    <t>CATMON</t>
  </si>
  <si>
    <t>Agsuwao</t>
  </si>
  <si>
    <t>Amancion</t>
  </si>
  <si>
    <t>Anapog</t>
  </si>
  <si>
    <t>Bactas</t>
  </si>
  <si>
    <t>Bongyas</t>
  </si>
  <si>
    <t>Binongkalan</t>
  </si>
  <si>
    <t>Cabungaan</t>
  </si>
  <si>
    <t>Cambangkaya</t>
  </si>
  <si>
    <t>Can-ibuang</t>
  </si>
  <si>
    <t>Catmondaan</t>
  </si>
  <si>
    <t>Duyan</t>
  </si>
  <si>
    <t>Ginabucan</t>
  </si>
  <si>
    <t>Panalipan</t>
  </si>
  <si>
    <t>Tabili</t>
  </si>
  <si>
    <t>Tinabyonan</t>
  </si>
  <si>
    <t>San Jose Pob. (Catadman)</t>
  </si>
  <si>
    <t>Corazon (Pob.)</t>
  </si>
  <si>
    <t>Flores (Pob.)</t>
  </si>
  <si>
    <t>COMPOSTELA</t>
  </si>
  <si>
    <t>Bagalnga</t>
  </si>
  <si>
    <t>Buluang</t>
  </si>
  <si>
    <t>Cambayog</t>
  </si>
  <si>
    <t>Canamucan</t>
  </si>
  <si>
    <t>Magay</t>
  </si>
  <si>
    <t>Mulao</t>
  </si>
  <si>
    <t>Panangban</t>
  </si>
  <si>
    <t>Tag-ube</t>
  </si>
  <si>
    <t>CONSOLACION</t>
  </si>
  <si>
    <t>Cansaga</t>
  </si>
  <si>
    <t>Casili</t>
  </si>
  <si>
    <t>Danglag</t>
  </si>
  <si>
    <t>Garing</t>
  </si>
  <si>
    <t>Jugan</t>
  </si>
  <si>
    <t>Lamac</t>
  </si>
  <si>
    <t>Panoypoy</t>
  </si>
  <si>
    <t>Polog</t>
  </si>
  <si>
    <t>Pulpogan</t>
  </si>
  <si>
    <t>Sacsac</t>
  </si>
  <si>
    <t>Tayud</t>
  </si>
  <si>
    <t>Tilhaong</t>
  </si>
  <si>
    <t>Tolotolo</t>
  </si>
  <si>
    <t>Tugbongan</t>
  </si>
  <si>
    <t>Bangbang</t>
  </si>
  <si>
    <t>Buagsong</t>
  </si>
  <si>
    <t>Day-as</t>
  </si>
  <si>
    <t>Gilutongan</t>
  </si>
  <si>
    <t>Ibabao</t>
  </si>
  <si>
    <t>Pilipog</t>
  </si>
  <si>
    <t>DAANBANTAYAN</t>
  </si>
  <si>
    <t>Aguho</t>
  </si>
  <si>
    <t>Bakhawan</t>
  </si>
  <si>
    <t>Bateria</t>
  </si>
  <si>
    <t>Bitoon</t>
  </si>
  <si>
    <t>Calape</t>
  </si>
  <si>
    <t>Carnaza</t>
  </si>
  <si>
    <t>Dalingding</t>
  </si>
  <si>
    <t>Logon</t>
  </si>
  <si>
    <t>Malbago</t>
  </si>
  <si>
    <t>Paypay</t>
  </si>
  <si>
    <t>Tapilon</t>
  </si>
  <si>
    <t>Tinubdan</t>
  </si>
  <si>
    <t>Tominjao</t>
  </si>
  <si>
    <t>DALAGUETE</t>
  </si>
  <si>
    <t>Ablayan</t>
  </si>
  <si>
    <t>Babayongan</t>
  </si>
  <si>
    <t>Bulak</t>
  </si>
  <si>
    <t>Caliongan</t>
  </si>
  <si>
    <t>Caleriohan</t>
  </si>
  <si>
    <t>Catolohan</t>
  </si>
  <si>
    <t>Coro</t>
  </si>
  <si>
    <t>Dugyan</t>
  </si>
  <si>
    <t>Dumalan</t>
  </si>
  <si>
    <t>Jolomaynon</t>
  </si>
  <si>
    <t>Langkas</t>
  </si>
  <si>
    <t>Lumbang</t>
  </si>
  <si>
    <t>Malones</t>
  </si>
  <si>
    <t>Maloray</t>
  </si>
  <si>
    <t>Mananggal</t>
  </si>
  <si>
    <t>Manlapay</t>
  </si>
  <si>
    <t>Nalhub</t>
  </si>
  <si>
    <t>Obo</t>
  </si>
  <si>
    <t>Obong</t>
  </si>
  <si>
    <t>Tapun</t>
  </si>
  <si>
    <t>Tuba</t>
  </si>
  <si>
    <t>Salug</t>
  </si>
  <si>
    <t>DANAO CITY</t>
  </si>
  <si>
    <t>Baliang</t>
  </si>
  <si>
    <t>Binaliw</t>
  </si>
  <si>
    <t>Cagat-Lamac</t>
  </si>
  <si>
    <t>Cahumayan</t>
  </si>
  <si>
    <t>Cambanay</t>
  </si>
  <si>
    <t>Cambubho</t>
  </si>
  <si>
    <t>Cogon-Cruz</t>
  </si>
  <si>
    <t>Danasan</t>
  </si>
  <si>
    <t>Dungga</t>
  </si>
  <si>
    <t>Dunggoan</t>
  </si>
  <si>
    <t>Guinsay</t>
  </si>
  <si>
    <t>Ibo</t>
  </si>
  <si>
    <t>Langosig</t>
  </si>
  <si>
    <t>Licos</t>
  </si>
  <si>
    <t>Magtagobtob</t>
  </si>
  <si>
    <t>Manlayag</t>
  </si>
  <si>
    <t>Mantija</t>
  </si>
  <si>
    <t>Masaba</t>
  </si>
  <si>
    <t>Oguis</t>
  </si>
  <si>
    <t>Quisol</t>
  </si>
  <si>
    <t>Sandayong Norte</t>
  </si>
  <si>
    <t>Sandayong Sur</t>
  </si>
  <si>
    <t>Santican</t>
  </si>
  <si>
    <t>Sibacan</t>
  </si>
  <si>
    <t>Togonon</t>
  </si>
  <si>
    <t>Tuburan Sur</t>
  </si>
  <si>
    <t>DUMANJUG</t>
  </si>
  <si>
    <t>Balaygtiki</t>
  </si>
  <si>
    <t>Bullogan</t>
  </si>
  <si>
    <t>Kabalaasnan</t>
  </si>
  <si>
    <t>Kabatbatan</t>
  </si>
  <si>
    <t>Calaboon</t>
  </si>
  <si>
    <t>Kambanog</t>
  </si>
  <si>
    <t>Camboang</t>
  </si>
  <si>
    <t>Kang-actol</t>
  </si>
  <si>
    <t>Kanghalo</t>
  </si>
  <si>
    <t>Kanghumaod</t>
  </si>
  <si>
    <t>Kanguha</t>
  </si>
  <si>
    <t>Kantangkas</t>
  </si>
  <si>
    <t>Kanyuko</t>
  </si>
  <si>
    <t>Kolabtingon</t>
  </si>
  <si>
    <t>Cotcoton</t>
  </si>
  <si>
    <t>Lamak</t>
  </si>
  <si>
    <t>Masa</t>
  </si>
  <si>
    <t>Matalao</t>
  </si>
  <si>
    <t>Paculob</t>
  </si>
  <si>
    <t>Panlaan</t>
  </si>
  <si>
    <t>Poblacion Looc</t>
  </si>
  <si>
    <t>Poblacion Sima</t>
  </si>
  <si>
    <t>Tangil</t>
  </si>
  <si>
    <t>Tubod-Bitoon</t>
  </si>
  <si>
    <t>Tubod-Dugoan</t>
  </si>
  <si>
    <t>Poblacion Central</t>
  </si>
  <si>
    <t>GINATILAN</t>
  </si>
  <si>
    <t>Anao</t>
  </si>
  <si>
    <t>Cagsing</t>
  </si>
  <si>
    <t>Calabawan</t>
  </si>
  <si>
    <t>Cambagte</t>
  </si>
  <si>
    <t>Campisong</t>
  </si>
  <si>
    <t>Canorong</t>
  </si>
  <si>
    <t>Malatbo</t>
  </si>
  <si>
    <t>Mangaco</t>
  </si>
  <si>
    <t>LILOAN</t>
  </si>
  <si>
    <t>Calero</t>
  </si>
  <si>
    <t>Cotcot</t>
  </si>
  <si>
    <t>Jubay</t>
  </si>
  <si>
    <t>Tabla</t>
  </si>
  <si>
    <t>Yati</t>
  </si>
  <si>
    <t>MADRIDEJOS</t>
  </si>
  <si>
    <t>Bunakan</t>
  </si>
  <si>
    <t>Kangwayan</t>
  </si>
  <si>
    <t>Kaongkod</t>
  </si>
  <si>
    <t>Kodia</t>
  </si>
  <si>
    <t>Maalat</t>
  </si>
  <si>
    <t>Mancilang</t>
  </si>
  <si>
    <t>Tabagak</t>
  </si>
  <si>
    <t>Talangnan</t>
  </si>
  <si>
    <t>MALABUYOC</t>
  </si>
  <si>
    <t>Armeña (Cansilongan)</t>
  </si>
  <si>
    <t>Tolosa (Calatagan)</t>
  </si>
  <si>
    <t>Cerdeña (Ansan)</t>
  </si>
  <si>
    <t>Labrador (Bulod)</t>
  </si>
  <si>
    <t>Lombo</t>
  </si>
  <si>
    <t>Mahanlud</t>
  </si>
  <si>
    <t>Mindanao (Pajo)</t>
  </si>
  <si>
    <t>Montañeza (Inamlang)</t>
  </si>
  <si>
    <t>Salmeron (Bulak)</t>
  </si>
  <si>
    <t>Sorsogon (Balimaya)</t>
  </si>
  <si>
    <t>MEDELLIN</t>
  </si>
  <si>
    <t>Curva</t>
  </si>
  <si>
    <t>Daanlungsod</t>
  </si>
  <si>
    <t>Dalingding Sur</t>
  </si>
  <si>
    <t>Gibitngil</t>
  </si>
  <si>
    <t>Canhabagat</t>
  </si>
  <si>
    <t>Caputatan Norte</t>
  </si>
  <si>
    <t>Caputatan Sur</t>
  </si>
  <si>
    <t>Kawit</t>
  </si>
  <si>
    <t>Lamintak Norte</t>
  </si>
  <si>
    <t>Luy-a</t>
  </si>
  <si>
    <t>Panugnawan</t>
  </si>
  <si>
    <t>Tindog</t>
  </si>
  <si>
    <t>Don Virgilio Gonzales</t>
  </si>
  <si>
    <t>Lamintak Sur</t>
  </si>
  <si>
    <t>Maharuhay</t>
  </si>
  <si>
    <t>Mahawak</t>
  </si>
  <si>
    <t>MINGLANILLA</t>
  </si>
  <si>
    <t>Cadulawan</t>
  </si>
  <si>
    <t>Calajo-an</t>
  </si>
  <si>
    <t>Camp 7</t>
  </si>
  <si>
    <t>Camp 8</t>
  </si>
  <si>
    <t>Cuanos</t>
  </si>
  <si>
    <t>Guindaruhan</t>
  </si>
  <si>
    <t>Manduang</t>
  </si>
  <si>
    <t>Pakigne</t>
  </si>
  <si>
    <t>Poblacion Ward I</t>
  </si>
  <si>
    <t>Poblacion Ward II</t>
  </si>
  <si>
    <t>Poblacion Ward III</t>
  </si>
  <si>
    <t>Poblacion Ward IV</t>
  </si>
  <si>
    <t>Tulay</t>
  </si>
  <si>
    <t>Tunghaan</t>
  </si>
  <si>
    <t>Tungkop</t>
  </si>
  <si>
    <t>Tungkil</t>
  </si>
  <si>
    <t>MOALBOAL</t>
  </si>
  <si>
    <t>Agbalanga</t>
  </si>
  <si>
    <t>Bala</t>
  </si>
  <si>
    <t>Balabagon</t>
  </si>
  <si>
    <t>Basdiot</t>
  </si>
  <si>
    <t>Batadbatad</t>
  </si>
  <si>
    <t>Buguil</t>
  </si>
  <si>
    <t>Saavedra</t>
  </si>
  <si>
    <t>Tomonoy</t>
  </si>
  <si>
    <t>Tunga</t>
  </si>
  <si>
    <t>Alfaco</t>
  </si>
  <si>
    <t>Balirong</t>
  </si>
  <si>
    <t>Cantao-an</t>
  </si>
  <si>
    <t>Central Poblacion</t>
  </si>
  <si>
    <t>Colon</t>
  </si>
  <si>
    <t>Inoburan</t>
  </si>
  <si>
    <t>Inayagan</t>
  </si>
  <si>
    <t>Naalad</t>
  </si>
  <si>
    <t>North Poblacion</t>
  </si>
  <si>
    <t>South Poblacion</t>
  </si>
  <si>
    <t>Tagjaguimit</t>
  </si>
  <si>
    <t>Tangke</t>
  </si>
  <si>
    <t>Tinaan</t>
  </si>
  <si>
    <t>Tuyan</t>
  </si>
  <si>
    <t>Uling</t>
  </si>
  <si>
    <t>OSLOB</t>
  </si>
  <si>
    <t>Alo</t>
  </si>
  <si>
    <t>Bangcogon</t>
  </si>
  <si>
    <t>Cañang</t>
  </si>
  <si>
    <t>Can-ukban</t>
  </si>
  <si>
    <t>Cansalo-ay</t>
  </si>
  <si>
    <t>Gawi</t>
  </si>
  <si>
    <t>Hagdan</t>
  </si>
  <si>
    <t>Lagunde</t>
  </si>
  <si>
    <t>Luka</t>
  </si>
  <si>
    <t>Manlum</t>
  </si>
  <si>
    <t>Nueva Caceres</t>
  </si>
  <si>
    <t>Tumalog</t>
  </si>
  <si>
    <t>PILAR</t>
  </si>
  <si>
    <t>Cawit</t>
  </si>
  <si>
    <t>Lower Poblacion</t>
  </si>
  <si>
    <t>Moabog</t>
  </si>
  <si>
    <t>Montserrat</t>
  </si>
  <si>
    <t>Upper Poblacion</t>
  </si>
  <si>
    <t>Anopog</t>
  </si>
  <si>
    <t>Buhingtubig</t>
  </si>
  <si>
    <t>Cabiangon</t>
  </si>
  <si>
    <t>Guimbawian</t>
  </si>
  <si>
    <t>Lut-od</t>
  </si>
  <si>
    <t>Mangoto</t>
  </si>
  <si>
    <t>Opao</t>
  </si>
  <si>
    <t>Pandacan</t>
  </si>
  <si>
    <t>Punod</t>
  </si>
  <si>
    <t>Sambagon</t>
  </si>
  <si>
    <t>Sibago</t>
  </si>
  <si>
    <t>Tajao</t>
  </si>
  <si>
    <t>Tanibag</t>
  </si>
  <si>
    <t>PORO</t>
  </si>
  <si>
    <t>Adela</t>
  </si>
  <si>
    <t>Altavista</t>
  </si>
  <si>
    <t>Cagcagan</t>
  </si>
  <si>
    <t>Cansabusab</t>
  </si>
  <si>
    <t>Daan Paz</t>
  </si>
  <si>
    <t>Eastern Poblacion</t>
  </si>
  <si>
    <t>Teguis</t>
  </si>
  <si>
    <t>Western Poblacion</t>
  </si>
  <si>
    <t>RONDA</t>
  </si>
  <si>
    <t>Can-abuhon</t>
  </si>
  <si>
    <t>Canduling</t>
  </si>
  <si>
    <t>Cansalonoy</t>
  </si>
  <si>
    <t>Cansayahon</t>
  </si>
  <si>
    <t>Langin</t>
  </si>
  <si>
    <t>Malalay</t>
  </si>
  <si>
    <t>Vive</t>
  </si>
  <si>
    <t>SAMBOAN</t>
  </si>
  <si>
    <t>Bulangsuran</t>
  </si>
  <si>
    <t>Calatagan</t>
  </si>
  <si>
    <t>Cambigong</t>
  </si>
  <si>
    <t>Colase</t>
  </si>
  <si>
    <t>Dalahikan</t>
  </si>
  <si>
    <t>Jumangpas</t>
  </si>
  <si>
    <t>Camburoy</t>
  </si>
  <si>
    <t>Tangbo</t>
  </si>
  <si>
    <t>Monteverde</t>
  </si>
  <si>
    <t>SAN FERNANDO</t>
  </si>
  <si>
    <t>Balungag</t>
  </si>
  <si>
    <t>Cabatbatan</t>
  </si>
  <si>
    <t>Greenhills</t>
  </si>
  <si>
    <t>Lantawan</t>
  </si>
  <si>
    <t>Magsico</t>
  </si>
  <si>
    <t>Pitalo</t>
  </si>
  <si>
    <t>Sangat</t>
  </si>
  <si>
    <t>Tabionan</t>
  </si>
  <si>
    <t>Tananas</t>
  </si>
  <si>
    <t>Tonggo</t>
  </si>
  <si>
    <t>SAN FRANCISCO</t>
  </si>
  <si>
    <t>Montealegre</t>
  </si>
  <si>
    <t>Campo</t>
  </si>
  <si>
    <t>Himensulan</t>
  </si>
  <si>
    <t>Northern Poblacion</t>
  </si>
  <si>
    <t>Sonog</t>
  </si>
  <si>
    <t>Southern Poblacion</t>
  </si>
  <si>
    <t>Argawanon</t>
  </si>
  <si>
    <t>Bancasan</t>
  </si>
  <si>
    <t>Batad</t>
  </si>
  <si>
    <t>Busogon</t>
  </si>
  <si>
    <t>Calambua</t>
  </si>
  <si>
    <t>Canagahan</t>
  </si>
  <si>
    <t>Gawaygaway</t>
  </si>
  <si>
    <t>Kayam</t>
  </si>
  <si>
    <t>Kinawahan</t>
  </si>
  <si>
    <t>Lambusan</t>
  </si>
  <si>
    <t>Mano</t>
  </si>
  <si>
    <t>Punta</t>
  </si>
  <si>
    <t>Sab-a</t>
  </si>
  <si>
    <t>Tacup</t>
  </si>
  <si>
    <t>Tambongon</t>
  </si>
  <si>
    <t>To-ong</t>
  </si>
  <si>
    <t>SANTA FE</t>
  </si>
  <si>
    <t>Hilantagaan</t>
  </si>
  <si>
    <t>Kinatarkan</t>
  </si>
  <si>
    <t>Maricaban</t>
  </si>
  <si>
    <t>Okoy</t>
  </si>
  <si>
    <t>Balidbid</t>
  </si>
  <si>
    <t>Pooc</t>
  </si>
  <si>
    <t>SANTANDER</t>
  </si>
  <si>
    <t>Bunlan</t>
  </si>
  <si>
    <t>Candamiang</t>
  </si>
  <si>
    <t>Liloan</t>
  </si>
  <si>
    <t>Lip-tong</t>
  </si>
  <si>
    <t>Canlumacad</t>
  </si>
  <si>
    <t>SIBONGA</t>
  </si>
  <si>
    <t>Abugon</t>
  </si>
  <si>
    <t>Bae</t>
  </si>
  <si>
    <t>Bahay</t>
  </si>
  <si>
    <t>Banlot</t>
  </si>
  <si>
    <t>Can-aga</t>
  </si>
  <si>
    <t>Candaguit</t>
  </si>
  <si>
    <t>Cantolaroy</t>
  </si>
  <si>
    <t>Dugoan</t>
  </si>
  <si>
    <t>Guimbangco-an</t>
  </si>
  <si>
    <t>Libo</t>
  </si>
  <si>
    <t>Lindogon</t>
  </si>
  <si>
    <t>Magcagong</t>
  </si>
  <si>
    <t>Manatad</t>
  </si>
  <si>
    <t>Mangyan</t>
  </si>
  <si>
    <t>Papan</t>
  </si>
  <si>
    <t>Sayao</t>
  </si>
  <si>
    <t>Simala</t>
  </si>
  <si>
    <t>SOGOD</t>
  </si>
  <si>
    <t>Ampongol</t>
  </si>
  <si>
    <t>Bagatayam</t>
  </si>
  <si>
    <t>Bawo</t>
  </si>
  <si>
    <t>Cabalawan</t>
  </si>
  <si>
    <t>Calumboyan</t>
  </si>
  <si>
    <t>Damolog</t>
  </si>
  <si>
    <t>Lubo</t>
  </si>
  <si>
    <t>Nahus-an</t>
  </si>
  <si>
    <t>Takay</t>
  </si>
  <si>
    <t>Pansoy</t>
  </si>
  <si>
    <t>TABOGON</t>
  </si>
  <si>
    <t>Alang-alang</t>
  </si>
  <si>
    <t>Caduawan</t>
  </si>
  <si>
    <t>Kal-anan</t>
  </si>
  <si>
    <t>Camoboan</t>
  </si>
  <si>
    <t>Canaocanao</t>
  </si>
  <si>
    <t>Combado</t>
  </si>
  <si>
    <t>Daantabogon</t>
  </si>
  <si>
    <t>Labangon</t>
  </si>
  <si>
    <t>Loong</t>
  </si>
  <si>
    <t>Mabuli</t>
  </si>
  <si>
    <t>Manlagtang</t>
  </si>
  <si>
    <t>Muabog</t>
  </si>
  <si>
    <t>Pio</t>
  </si>
  <si>
    <t>Salag</t>
  </si>
  <si>
    <t>Somosa</t>
  </si>
  <si>
    <t>Tapul</t>
  </si>
  <si>
    <t>TABUELAN</t>
  </si>
  <si>
    <t>Bongon</t>
  </si>
  <si>
    <t>Kanlim-ao</t>
  </si>
  <si>
    <t>Kanluhangon</t>
  </si>
  <si>
    <t>Kantubaon</t>
  </si>
  <si>
    <t>Mabunao</t>
  </si>
  <si>
    <t>Maravilla</t>
  </si>
  <si>
    <t>Olivo</t>
  </si>
  <si>
    <t>Bulacao</t>
  </si>
  <si>
    <t>Cansojong</t>
  </si>
  <si>
    <t>Jaclupan</t>
  </si>
  <si>
    <t>Lagtang</t>
  </si>
  <si>
    <t>Lawaan I</t>
  </si>
  <si>
    <t>Maghaway</t>
  </si>
  <si>
    <t>Manipis</t>
  </si>
  <si>
    <t>Tabunoc</t>
  </si>
  <si>
    <t>Camp IV</t>
  </si>
  <si>
    <t>Lawaan II</t>
  </si>
  <si>
    <t>Lawaan III</t>
  </si>
  <si>
    <t>Awihao</t>
  </si>
  <si>
    <t>Biga</t>
  </si>
  <si>
    <t>Bulongan</t>
  </si>
  <si>
    <t>Cabitoonan</t>
  </si>
  <si>
    <t>Calongcalong</t>
  </si>
  <si>
    <t>Cambang-ug</t>
  </si>
  <si>
    <t>Canlumampao</t>
  </si>
  <si>
    <t>Cantabaco</t>
  </si>
  <si>
    <t>Capitan Claudio</t>
  </si>
  <si>
    <t>Daanglungsod</t>
  </si>
  <si>
    <t>Don Andres Soriano (Lutopan)</t>
  </si>
  <si>
    <t>Landahan</t>
  </si>
  <si>
    <t>Loay</t>
  </si>
  <si>
    <t>Luray II</t>
  </si>
  <si>
    <t>Juan Climaco, Sr. (Magdugo)</t>
  </si>
  <si>
    <t>Gen. Climaco (Malubog)</t>
  </si>
  <si>
    <t>Media Once</t>
  </si>
  <si>
    <t>Pangamihan</t>
  </si>
  <si>
    <t>Poog</t>
  </si>
  <si>
    <t>Putingbato</t>
  </si>
  <si>
    <t>Sam-ang</t>
  </si>
  <si>
    <t>Sangi</t>
  </si>
  <si>
    <t>Santo Niño (Mainggit)</t>
  </si>
  <si>
    <t>Talavera</t>
  </si>
  <si>
    <t>Tungkay</t>
  </si>
  <si>
    <t>TUBURAN</t>
  </si>
  <si>
    <t>Amatugan</t>
  </si>
  <si>
    <t>Apalan</t>
  </si>
  <si>
    <t>Bagasawe</t>
  </si>
  <si>
    <t>Bakyawan</t>
  </si>
  <si>
    <t>Bangkito</t>
  </si>
  <si>
    <t>Kalangahan</t>
  </si>
  <si>
    <t>Kamansi</t>
  </si>
  <si>
    <t>Kan-an</t>
  </si>
  <si>
    <t>Kanlunsing</t>
  </si>
  <si>
    <t>Kansi</t>
  </si>
  <si>
    <t>Colonia</t>
  </si>
  <si>
    <t>Daan Lungsod</t>
  </si>
  <si>
    <t>Fortaliza</t>
  </si>
  <si>
    <t>Ga-ang</t>
  </si>
  <si>
    <t>Gimama-a</t>
  </si>
  <si>
    <t>Jagbuaya</t>
  </si>
  <si>
    <t>Kabkaban</t>
  </si>
  <si>
    <t>Kagba-o</t>
  </si>
  <si>
    <t>Kampoot</t>
  </si>
  <si>
    <t>Kaorasan</t>
  </si>
  <si>
    <t>Lusong</t>
  </si>
  <si>
    <t>Macupa</t>
  </si>
  <si>
    <t>Mag-alwa</t>
  </si>
  <si>
    <t>Mag-antoy</t>
  </si>
  <si>
    <t>Mag-atubang</t>
  </si>
  <si>
    <t>Maghan-ay</t>
  </si>
  <si>
    <t>Mangga</t>
  </si>
  <si>
    <t>Marmol</t>
  </si>
  <si>
    <t>Putat</t>
  </si>
  <si>
    <t>Sandayong</t>
  </si>
  <si>
    <t>Siotes</t>
  </si>
  <si>
    <t>Sumon</t>
  </si>
  <si>
    <t>Tomugpa</t>
  </si>
  <si>
    <t>TUDELA</t>
  </si>
  <si>
    <t>Calmante</t>
  </si>
  <si>
    <t>Daan Secante</t>
  </si>
  <si>
    <t>General</t>
  </si>
  <si>
    <t>McArthur</t>
  </si>
  <si>
    <t>Puertobello</t>
  </si>
  <si>
    <t>Secante Bag-o</t>
  </si>
  <si>
    <t>Adlaon</t>
  </si>
  <si>
    <t>Agsungot</t>
  </si>
  <si>
    <t>Apas</t>
  </si>
  <si>
    <t>Basak Pardo</t>
  </si>
  <si>
    <t>Bacayan</t>
  </si>
  <si>
    <t>Banilad</t>
  </si>
  <si>
    <t>Basak San Nicolas</t>
  </si>
  <si>
    <t>Budla-an (Pob.)</t>
  </si>
  <si>
    <t>Buhisan</t>
  </si>
  <si>
    <t>Buot-Taup Pardo</t>
  </si>
  <si>
    <t>Busay (Pob.)</t>
  </si>
  <si>
    <t>Calamba</t>
  </si>
  <si>
    <t>Cambinocot</t>
  </si>
  <si>
    <t>Capitol Site (Pob.)</t>
  </si>
  <si>
    <t>Carreta</t>
  </si>
  <si>
    <t>Central (Pob.)</t>
  </si>
  <si>
    <t>Cogon Ramos (Pob.)</t>
  </si>
  <si>
    <t>Cogon Pardo</t>
  </si>
  <si>
    <t>Duljo (Pob.)</t>
  </si>
  <si>
    <t>Ermita (Pob.)</t>
  </si>
  <si>
    <t>Hippodromo</t>
  </si>
  <si>
    <t>Kalubihan (Pob.)</t>
  </si>
  <si>
    <t>Kalunasan</t>
  </si>
  <si>
    <t>Kamagayan (Pob.)</t>
  </si>
  <si>
    <t>Camputhaw (Pob.)</t>
  </si>
  <si>
    <t>Kasambagan</t>
  </si>
  <si>
    <t>Kinasang-an Pardo</t>
  </si>
  <si>
    <t>Lahug (Pob.)</t>
  </si>
  <si>
    <t>Lorega (Lorega San Miguel)</t>
  </si>
  <si>
    <t>Lusaran</t>
  </si>
  <si>
    <t>Luz</t>
  </si>
  <si>
    <t>Mabolo</t>
  </si>
  <si>
    <t>Malubog</t>
  </si>
  <si>
    <t>Mambaling</t>
  </si>
  <si>
    <t>Pahina Central (Pob.)</t>
  </si>
  <si>
    <t>Pahina San Nicolas</t>
  </si>
  <si>
    <t>Pamutan</t>
  </si>
  <si>
    <t>Pardo (Pob.)</t>
  </si>
  <si>
    <t>Pari-an</t>
  </si>
  <si>
    <t>Pit-os</t>
  </si>
  <si>
    <t>Pulangbato</t>
  </si>
  <si>
    <t>Pung-ol-Sibugay</t>
  </si>
  <si>
    <t>Punta Princesa</t>
  </si>
  <si>
    <t>Quiot Pardo</t>
  </si>
  <si>
    <t>Sambag I (Pob.)</t>
  </si>
  <si>
    <t>Sambag II (Pob.)</t>
  </si>
  <si>
    <t>San Nicolas Central</t>
  </si>
  <si>
    <t>San Roque (Ciudad)</t>
  </si>
  <si>
    <t>Sawang Calero (Pob.)</t>
  </si>
  <si>
    <t>Sinsin</t>
  </si>
  <si>
    <t>Sirao</t>
  </si>
  <si>
    <t>Suba Pob. (Suba San Nicolas)</t>
  </si>
  <si>
    <t>Sudlon I</t>
  </si>
  <si>
    <t>Sapangdaku</t>
  </si>
  <si>
    <t>T. Padilla</t>
  </si>
  <si>
    <t>Tagbao</t>
  </si>
  <si>
    <t>Talamban</t>
  </si>
  <si>
    <t>Taptap</t>
  </si>
  <si>
    <t>Tejero (Villa Gonzalo)</t>
  </si>
  <si>
    <t>Tisa</t>
  </si>
  <si>
    <t>To-ong Pardo</t>
  </si>
  <si>
    <t>Zapatera</t>
  </si>
  <si>
    <t>Sudlon II</t>
  </si>
  <si>
    <t>Agus</t>
  </si>
  <si>
    <t>Calawisan</t>
  </si>
  <si>
    <t>Caw-oy</t>
  </si>
  <si>
    <t>Cawhagan</t>
  </si>
  <si>
    <t>Caubian</t>
  </si>
  <si>
    <t>Gun-ob</t>
  </si>
  <si>
    <t>Mactan</t>
  </si>
  <si>
    <t>Maribago</t>
  </si>
  <si>
    <t>Marigondon</t>
  </si>
  <si>
    <t>Pajac</t>
  </si>
  <si>
    <t>Pangan-an</t>
  </si>
  <si>
    <t>Punta Engaño</t>
  </si>
  <si>
    <t>Pusok</t>
  </si>
  <si>
    <t>Subabasbas</t>
  </si>
  <si>
    <t>Talima</t>
  </si>
  <si>
    <t>Tingo</t>
  </si>
  <si>
    <t>Tungasan</t>
  </si>
  <si>
    <t>Cambaro</t>
  </si>
  <si>
    <t>Canduman</t>
  </si>
  <si>
    <t>Casuntingan</t>
  </si>
  <si>
    <t>Cubacub</t>
  </si>
  <si>
    <t>Guizo</t>
  </si>
  <si>
    <t>Ibabao-Estancia</t>
  </si>
  <si>
    <t>Jagobiao</t>
  </si>
  <si>
    <t>Labogon</t>
  </si>
  <si>
    <t>Maguikay</t>
  </si>
  <si>
    <t>Mantuyong</t>
  </si>
  <si>
    <t>Pakna-an</t>
  </si>
  <si>
    <t>Pagsabungan</t>
  </si>
  <si>
    <t>Subangdaku</t>
  </si>
  <si>
    <t>Tawason</t>
  </si>
  <si>
    <t>Tingub</t>
  </si>
  <si>
    <t>Umapad</t>
  </si>
  <si>
    <t>Caticugan</t>
  </si>
  <si>
    <t>SIQUIJOR</t>
  </si>
  <si>
    <t>ENRIQUE VILLANUEVA</t>
  </si>
  <si>
    <t>Balolong</t>
  </si>
  <si>
    <t>Bino-ongan</t>
  </si>
  <si>
    <t>Bitaug</t>
  </si>
  <si>
    <t>Bolot</t>
  </si>
  <si>
    <t>Camogao</t>
  </si>
  <si>
    <t>Cangmangki</t>
  </si>
  <si>
    <t>Lomangcapan</t>
  </si>
  <si>
    <t>Lotloton</t>
  </si>
  <si>
    <t>Manan-ao</t>
  </si>
  <si>
    <t>Olave</t>
  </si>
  <si>
    <t>Tulapos</t>
  </si>
  <si>
    <t>LARENA</t>
  </si>
  <si>
    <t>Balolang</t>
  </si>
  <si>
    <t>Bintangan</t>
  </si>
  <si>
    <t>Bontod</t>
  </si>
  <si>
    <t>Candigum</t>
  </si>
  <si>
    <t>Cang-allas</t>
  </si>
  <si>
    <t>Cang-apa</t>
  </si>
  <si>
    <t>Cangbagsa</t>
  </si>
  <si>
    <t>Cangmalalag</t>
  </si>
  <si>
    <t>Canlambo</t>
  </si>
  <si>
    <t>Canlasog</t>
  </si>
  <si>
    <t>Catamboan</t>
  </si>
  <si>
    <t>Helen (Datag)</t>
  </si>
  <si>
    <t>Nonoc</t>
  </si>
  <si>
    <t>Sandugan</t>
  </si>
  <si>
    <t>LAZI</t>
  </si>
  <si>
    <t>Campalanas</t>
  </si>
  <si>
    <t>Cangclaran</t>
  </si>
  <si>
    <t>Cangomantong</t>
  </si>
  <si>
    <t>Capalasanan</t>
  </si>
  <si>
    <t>Catamboan (Pob.)</t>
  </si>
  <si>
    <t>Gabayan</t>
  </si>
  <si>
    <t>Kimba</t>
  </si>
  <si>
    <t>Kinamandagan</t>
  </si>
  <si>
    <t>Lower Cabangcalan</t>
  </si>
  <si>
    <t>Nagerong</t>
  </si>
  <si>
    <t>Po-o</t>
  </si>
  <si>
    <t>Simacolong</t>
  </si>
  <si>
    <t>Tagmanocan</t>
  </si>
  <si>
    <t>Tigbawan (Pob.)</t>
  </si>
  <si>
    <t>Tignao</t>
  </si>
  <si>
    <t>Upper Cabangcalan</t>
  </si>
  <si>
    <t>Ytaya</t>
  </si>
  <si>
    <t>MARIA</t>
  </si>
  <si>
    <t>Cabal-asan</t>
  </si>
  <si>
    <t>Candaping A</t>
  </si>
  <si>
    <t>Candaping B</t>
  </si>
  <si>
    <t>Cantaroc A</t>
  </si>
  <si>
    <t>Cantaroc B</t>
  </si>
  <si>
    <t>Cantugbas</t>
  </si>
  <si>
    <t>Logucan</t>
  </si>
  <si>
    <t>Minalulan</t>
  </si>
  <si>
    <t>Nabutay</t>
  </si>
  <si>
    <t>Olang</t>
  </si>
  <si>
    <t>Pisong A</t>
  </si>
  <si>
    <t>Pisong B</t>
  </si>
  <si>
    <t>Saguing</t>
  </si>
  <si>
    <t>SAN JUAN</t>
  </si>
  <si>
    <t>Canasagan</t>
  </si>
  <si>
    <t>Candura</t>
  </si>
  <si>
    <t>Cangmunag</t>
  </si>
  <si>
    <t>Cansayang</t>
  </si>
  <si>
    <t>Catulayan</t>
  </si>
  <si>
    <t>Lala-o</t>
  </si>
  <si>
    <t>Maite</t>
  </si>
  <si>
    <t>Paliton</t>
  </si>
  <si>
    <t>Solangon</t>
  </si>
  <si>
    <t>Tag-ibo</t>
  </si>
  <si>
    <t>Tambisan</t>
  </si>
  <si>
    <t>Timbaon</t>
  </si>
  <si>
    <t>SIQUIJOR (Capital)</t>
  </si>
  <si>
    <t>Bolos</t>
  </si>
  <si>
    <t>Caipilan</t>
  </si>
  <si>
    <t>Caitican</t>
  </si>
  <si>
    <t>Calalinan</t>
  </si>
  <si>
    <t>Cang-atuyom</t>
  </si>
  <si>
    <t>Canal</t>
  </si>
  <si>
    <t>Candanay Norte</t>
  </si>
  <si>
    <t>Candanay Sur</t>
  </si>
  <si>
    <t>Cang-adieng</t>
  </si>
  <si>
    <t>Cang-agong</t>
  </si>
  <si>
    <t>Cang-alwang</t>
  </si>
  <si>
    <t>Cang-asa</t>
  </si>
  <si>
    <t>Cang-inte</t>
  </si>
  <si>
    <t>Cang-isad</t>
  </si>
  <si>
    <t>Canghunoghunog</t>
  </si>
  <si>
    <t>Cangmatnog</t>
  </si>
  <si>
    <t>Cangmohao</t>
  </si>
  <si>
    <t>Cantabon</t>
  </si>
  <si>
    <t>Dumanhog</t>
  </si>
  <si>
    <t>Lambojon</t>
  </si>
  <si>
    <t>Luzong</t>
  </si>
  <si>
    <t>Olo</t>
  </si>
  <si>
    <t>Panlautan</t>
  </si>
  <si>
    <t>Pasihagon</t>
  </si>
  <si>
    <t>Polangyuta</t>
  </si>
  <si>
    <t>Tacdog</t>
  </si>
  <si>
    <t>Tacloban</t>
  </si>
  <si>
    <t>Tebjong</t>
  </si>
  <si>
    <t>Tongo</t>
  </si>
  <si>
    <t>CITY OF CARCAR</t>
  </si>
  <si>
    <t>CITY OF BOGO</t>
  </si>
  <si>
    <t>CITY OF NAGA</t>
  </si>
  <si>
    <t>SIQUIJOR (CAPITAL)</t>
  </si>
  <si>
    <t>GETAFE</t>
  </si>
  <si>
    <t>CORDOVA</t>
  </si>
  <si>
    <t>BOHOL</t>
  </si>
  <si>
    <t>ALICIA</t>
  </si>
  <si>
    <t>BALILIHAN</t>
  </si>
  <si>
    <t>BILAR</t>
  </si>
  <si>
    <t>BUENAVISTA</t>
  </si>
  <si>
    <t>CATIGBIAN</t>
  </si>
  <si>
    <t>CLARIN</t>
  </si>
  <si>
    <t>DAGOHOY</t>
  </si>
  <si>
    <t>Bingag</t>
  </si>
  <si>
    <t>Tabalong</t>
  </si>
  <si>
    <t>GARCIA HERNANDEZ</t>
  </si>
  <si>
    <t>GUINDULMAN</t>
  </si>
  <si>
    <t>INABANGA</t>
  </si>
  <si>
    <t>JAGNA</t>
  </si>
  <si>
    <t>LOAY</t>
  </si>
  <si>
    <t>LOBOC</t>
  </si>
  <si>
    <t>LOON</t>
  </si>
  <si>
    <t>MABINI</t>
  </si>
  <si>
    <t>PANGLAO</t>
  </si>
  <si>
    <t>SIERRA BULLONES</t>
  </si>
  <si>
    <t>TRINIDAD</t>
  </si>
  <si>
    <t>Tutay</t>
  </si>
  <si>
    <t xml:space="preserve">Province, City, and Municipality </t>
  </si>
  <si>
    <t>Province, City, Municipality,</t>
  </si>
  <si>
    <t>Notes:</t>
  </si>
  <si>
    <t>Source:</t>
  </si>
  <si>
    <t>Note:</t>
  </si>
  <si>
    <t>Total Population by Province, City, and Municipality:</t>
  </si>
  <si>
    <t xml:space="preserve"> Total </t>
  </si>
  <si>
    <r>
      <t xml:space="preserve">Philippine Statistics Authority, </t>
    </r>
    <r>
      <rPr>
        <i/>
        <sz val="9"/>
        <color theme="1"/>
        <rFont val="Arial"/>
        <family val="2"/>
      </rPr>
      <t>2020 Census of Population and Housing</t>
    </r>
  </si>
  <si>
    <t>Total Population by Province, City, Municipality, and Barangay:</t>
  </si>
  <si>
    <t xml:space="preserve"> as of May 1, 2020</t>
  </si>
  <si>
    <t>Tubigon</t>
  </si>
  <si>
    <t>Bantayan</t>
  </si>
  <si>
    <t>Enrique Villanueva</t>
  </si>
  <si>
    <t>Najandig</t>
  </si>
  <si>
    <t>Nasig-id</t>
  </si>
  <si>
    <t>Nabago</t>
  </si>
  <si>
    <t>Mayabon</t>
  </si>
  <si>
    <t>Maluay</t>
  </si>
  <si>
    <t>Malongcay Diot</t>
  </si>
  <si>
    <t>Lotuban</t>
  </si>
  <si>
    <t>Calango</t>
  </si>
  <si>
    <t>ZAMBOANGUITA</t>
  </si>
  <si>
    <t>Ulay</t>
  </si>
  <si>
    <t>Tagbino</t>
  </si>
  <si>
    <t>Puan</t>
  </si>
  <si>
    <t>Pinocawan</t>
  </si>
  <si>
    <t>Maglahos</t>
  </si>
  <si>
    <t>Malangsa</t>
  </si>
  <si>
    <t>Macapso</t>
  </si>
  <si>
    <t>Don Espiridion Villegas</t>
  </si>
  <si>
    <t>Bagawines</t>
  </si>
  <si>
    <t>VALLEHERMOSO</t>
  </si>
  <si>
    <t>Sagbang</t>
  </si>
  <si>
    <t>Puhagan</t>
  </si>
  <si>
    <t>Palinpinon</t>
  </si>
  <si>
    <t>Mampas</t>
  </si>
  <si>
    <t>Malaunay</t>
  </si>
  <si>
    <t>Malabo</t>
  </si>
  <si>
    <t>Lunga</t>
  </si>
  <si>
    <t>Liptong</t>
  </si>
  <si>
    <t>Caidiocan</t>
  </si>
  <si>
    <t>Jawa</t>
  </si>
  <si>
    <t>Cambucad</t>
  </si>
  <si>
    <t>Calayugan</t>
  </si>
  <si>
    <t>Bong-ao</t>
  </si>
  <si>
    <t>Balugo</t>
  </si>
  <si>
    <t>Balayagmanok</t>
  </si>
  <si>
    <t>Balabag West</t>
  </si>
  <si>
    <t>Balabag East</t>
  </si>
  <si>
    <t>Apolong</t>
  </si>
  <si>
    <t>VALENCIA (LUZURRIAGA)</t>
  </si>
  <si>
    <t>Tanlad</t>
  </si>
  <si>
    <t>Tambulan</t>
  </si>
  <si>
    <t>Tamao</t>
  </si>
  <si>
    <t>Suquib</t>
  </si>
  <si>
    <t>Saying</t>
  </si>
  <si>
    <t>Pinalubngan</t>
  </si>
  <si>
    <t>Pindahan</t>
  </si>
  <si>
    <t>Palaslan</t>
  </si>
  <si>
    <t>Numnum</t>
  </si>
  <si>
    <t>Matuog</t>
  </si>
  <si>
    <t>Magtuhao</t>
  </si>
  <si>
    <t>Matauta</t>
  </si>
  <si>
    <t>Maglihe</t>
  </si>
  <si>
    <t>Lutay</t>
  </si>
  <si>
    <t>Lag-it</t>
  </si>
  <si>
    <t>Jilabangan</t>
  </si>
  <si>
    <t>Ilaya-Tayasan</t>
  </si>
  <si>
    <t>Guincalaban</t>
  </si>
  <si>
    <t>Dalaupon</t>
  </si>
  <si>
    <t>Cambaye</t>
  </si>
  <si>
    <t>Cabulotan</t>
  </si>
  <si>
    <t>Banga</t>
  </si>
  <si>
    <t>TAYASAN</t>
  </si>
  <si>
    <t>Santa Cruz Viejo</t>
  </si>
  <si>
    <t>Santa Cruz Nuevo</t>
  </si>
  <si>
    <t>Poblacion IX (Barangay 9)</t>
  </si>
  <si>
    <t>Poblacion VIII (Barangay 8)</t>
  </si>
  <si>
    <t>Poblacion VII (Barangay 7)</t>
  </si>
  <si>
    <t>Poblacion VI (Barangay 6)</t>
  </si>
  <si>
    <t>Poblacion V (Barangay 5)</t>
  </si>
  <si>
    <t>Poblacion IV (Barangay 4)</t>
  </si>
  <si>
    <t>Poblacion III (Barangay 3)</t>
  </si>
  <si>
    <t>Poblacion II (Barangay 2)</t>
  </si>
  <si>
    <t>Poblacion I (Barangay 1)</t>
  </si>
  <si>
    <t>Pal-ew</t>
  </si>
  <si>
    <t>Obogon</t>
  </si>
  <si>
    <t>Novallas</t>
  </si>
  <si>
    <t>Bahi-an</t>
  </si>
  <si>
    <t>Azagra</t>
  </si>
  <si>
    <t>CITY OF TANJAY</t>
  </si>
  <si>
    <t>Tubtubon</t>
  </si>
  <si>
    <t>Maningcao</t>
  </si>
  <si>
    <t>Magatas</t>
  </si>
  <si>
    <t>Cangmating</t>
  </si>
  <si>
    <t>Calabnugan</t>
  </si>
  <si>
    <t>Ajong</t>
  </si>
  <si>
    <t>Agan-an</t>
  </si>
  <si>
    <t>SIBULAN</t>
  </si>
  <si>
    <t>Tayak</t>
  </si>
  <si>
    <t>Sumaliring</t>
  </si>
  <si>
    <t>Si-it</t>
  </si>
  <si>
    <t>Sandulot</t>
  </si>
  <si>
    <t>Poblacion IV</t>
  </si>
  <si>
    <t>Napacao</t>
  </si>
  <si>
    <t>Mantuyop</t>
  </si>
  <si>
    <t>Mantiquil</t>
  </si>
  <si>
    <t>Maloh</t>
  </si>
  <si>
    <t>Malabuhan</t>
  </si>
  <si>
    <t>Inalad</t>
  </si>
  <si>
    <t>Giliga-on</t>
  </si>
  <si>
    <t>Casala-an</t>
  </si>
  <si>
    <t>Canaway</t>
  </si>
  <si>
    <t>Bonawon</t>
  </si>
  <si>
    <t>Apoloy</t>
  </si>
  <si>
    <t>Albiga</t>
  </si>
  <si>
    <t>SIATON</t>
  </si>
  <si>
    <t>Talalak</t>
  </si>
  <si>
    <t>Obat</t>
  </si>
  <si>
    <t>Nagbalaye</t>
  </si>
  <si>
    <t>Nagbinlod</t>
  </si>
  <si>
    <t>Milagrosa</t>
  </si>
  <si>
    <t>Mansagomayon</t>
  </si>
  <si>
    <t>Manalongon</t>
  </si>
  <si>
    <t>Cawitan</t>
  </si>
  <si>
    <t>Caranoche</t>
  </si>
  <si>
    <t>Caigangan</t>
  </si>
  <si>
    <t>Kabulacan</t>
  </si>
  <si>
    <t>Amio</t>
  </si>
  <si>
    <t>Alangilan</t>
  </si>
  <si>
    <t>SANTA CATALINA</t>
  </si>
  <si>
    <t>Tapon Norte</t>
  </si>
  <si>
    <t>Tampi</t>
  </si>
  <si>
    <t>Siapo</t>
  </si>
  <si>
    <t>Señora Ascion (Calo)</t>
  </si>
  <si>
    <t>Naiba</t>
  </si>
  <si>
    <t>Jilocon</t>
  </si>
  <si>
    <t>Janayjanay</t>
  </si>
  <si>
    <t>Cancawas</t>
  </si>
  <si>
    <t>Cambaloctot</t>
  </si>
  <si>
    <t>SAN JOSE</t>
  </si>
  <si>
    <t>Calicanan</t>
  </si>
  <si>
    <t>Yupisan</t>
  </si>
  <si>
    <t>Simborio</t>
  </si>
  <si>
    <t>Santa Agueda</t>
  </si>
  <si>
    <t>Mamburao</t>
  </si>
  <si>
    <t>Malalangsi</t>
  </si>
  <si>
    <t>Magsusunog</t>
  </si>
  <si>
    <t>Inawasan</t>
  </si>
  <si>
    <t>Datagon</t>
  </si>
  <si>
    <t>Banawe</t>
  </si>
  <si>
    <t>Balayong</t>
  </si>
  <si>
    <t>Abante</t>
  </si>
  <si>
    <t>PAMPLONA</t>
  </si>
  <si>
    <t>Tanglad</t>
  </si>
  <si>
    <t>Sundo-an</t>
  </si>
  <si>
    <t>Santa Monica</t>
  </si>
  <si>
    <t>Salvacion</t>
  </si>
  <si>
    <t>Sac-sac</t>
  </si>
  <si>
    <t>Panciao</t>
  </si>
  <si>
    <t>Mandalupang</t>
  </si>
  <si>
    <t>Maaslum</t>
  </si>
  <si>
    <t>Lamogong</t>
  </si>
  <si>
    <t>Dungo-an</t>
  </si>
  <si>
    <t>Campuyo</t>
  </si>
  <si>
    <t>Bolisong</t>
  </si>
  <si>
    <t>Alangilanan</t>
  </si>
  <si>
    <t>MANJUYOD</t>
  </si>
  <si>
    <t>Tara</t>
  </si>
  <si>
    <t>Tadlong</t>
  </si>
  <si>
    <t>Samac</t>
  </si>
  <si>
    <t>Pantao</t>
  </si>
  <si>
    <t>Paniabonan</t>
  </si>
  <si>
    <t>Old Namangka</t>
  </si>
  <si>
    <t>New Namangka</t>
  </si>
  <si>
    <t>Napasu-an</t>
  </si>
  <si>
    <t>Mayaposi</t>
  </si>
  <si>
    <t>Manlingay</t>
  </si>
  <si>
    <t>Lumbangan</t>
  </si>
  <si>
    <t>Lamdas</t>
  </si>
  <si>
    <t>Inapoy</t>
  </si>
  <si>
    <t>Hagtu</t>
  </si>
  <si>
    <t>Himocdongon</t>
  </si>
  <si>
    <t>Dahile</t>
  </si>
  <si>
    <t>Dagbasan</t>
  </si>
  <si>
    <t>Cansal-ing</t>
  </si>
  <si>
    <t>Canggohob</t>
  </si>
  <si>
    <t>Campanun-an</t>
  </si>
  <si>
    <t>Bulibulihan</t>
  </si>
  <si>
    <t>Bugnay</t>
  </si>
  <si>
    <t>Barras</t>
  </si>
  <si>
    <t>Arebasore</t>
  </si>
  <si>
    <t>Abis</t>
  </si>
  <si>
    <t>MABINAY</t>
  </si>
  <si>
    <t>Elecia (Talostos)</t>
  </si>
  <si>
    <t>Tala-on</t>
  </si>
  <si>
    <t>Solongon</t>
  </si>
  <si>
    <t>Pisong</t>
  </si>
  <si>
    <t>Pangca</t>
  </si>
  <si>
    <t>Pacuan</t>
  </si>
  <si>
    <t>Nasungan</t>
  </si>
  <si>
    <t>Martilo</t>
  </si>
  <si>
    <t>Maragondong</t>
  </si>
  <si>
    <t>Mapalasan</t>
  </si>
  <si>
    <t>Manluminsag</t>
  </si>
  <si>
    <t>Manghulyawon</t>
  </si>
  <si>
    <t>Mandapaton</t>
  </si>
  <si>
    <t>Mambulod</t>
  </si>
  <si>
    <t>Kansumandig</t>
  </si>
  <si>
    <t>Guihob</t>
  </si>
  <si>
    <t>Eli</t>
  </si>
  <si>
    <t>Cantupa</t>
  </si>
  <si>
    <t>Cangabo</t>
  </si>
  <si>
    <t>Busilak</t>
  </si>
  <si>
    <t>Biga-a</t>
  </si>
  <si>
    <t>Aya</t>
  </si>
  <si>
    <t>Aniniaw</t>
  </si>
  <si>
    <t>LA LIBERTAD</t>
  </si>
  <si>
    <t>Sampiniton</t>
  </si>
  <si>
    <t>Polopantao</t>
  </si>
  <si>
    <t>Panglaya-an</t>
  </si>
  <si>
    <t>Owacan</t>
  </si>
  <si>
    <t>Mongpong</t>
  </si>
  <si>
    <t>Mambaid</t>
  </si>
  <si>
    <t>Lacaon</t>
  </si>
  <si>
    <t>Dayoyo</t>
  </si>
  <si>
    <t>Canlahao</t>
  </si>
  <si>
    <t>Cangharay</t>
  </si>
  <si>
    <t>Camandayon</t>
  </si>
  <si>
    <t>Cabang</t>
  </si>
  <si>
    <t>Buto</t>
  </si>
  <si>
    <t>Banog</t>
  </si>
  <si>
    <t>Bangcal</t>
  </si>
  <si>
    <t>Bala-as</t>
  </si>
  <si>
    <t>Apanangon</t>
  </si>
  <si>
    <t>Agutayon</t>
  </si>
  <si>
    <t>Aglahug</t>
  </si>
  <si>
    <t>JIMALALUD</t>
  </si>
  <si>
    <t>Villegas</t>
  </si>
  <si>
    <t>Tinayunan Hill</t>
  </si>
  <si>
    <t>Tinayunan Beach</t>
  </si>
  <si>
    <t>Tacpao</t>
  </si>
  <si>
    <t>Sandayao</t>
  </si>
  <si>
    <t>Planas</t>
  </si>
  <si>
    <t>Plagatasanon</t>
  </si>
  <si>
    <t>Padre Zamora</t>
  </si>
  <si>
    <t>Maniak</t>
  </si>
  <si>
    <t>Malusay</t>
  </si>
  <si>
    <t>Nagsaha</t>
  </si>
  <si>
    <t>Mckinley</t>
  </si>
  <si>
    <t>Mabunga</t>
  </si>
  <si>
    <t>Linantuyan</t>
  </si>
  <si>
    <t>Hinakpan</t>
  </si>
  <si>
    <t>Hilaitan</t>
  </si>
  <si>
    <t>Hibaiyo</t>
  </si>
  <si>
    <t>Calupa-an</t>
  </si>
  <si>
    <t>Bulado</t>
  </si>
  <si>
    <t>Binobohan</t>
  </si>
  <si>
    <t>Banwaque</t>
  </si>
  <si>
    <t>Balogo</t>
  </si>
  <si>
    <t>Bakid</t>
  </si>
  <si>
    <t>CITY OF GUIHULNGAN</t>
  </si>
  <si>
    <t>Talay</t>
  </si>
  <si>
    <t>Taclobo</t>
  </si>
  <si>
    <t>Tabuctubig</t>
  </si>
  <si>
    <t>Pulantubig</t>
  </si>
  <si>
    <t>Poblacion No. 8 (Barangay 8)</t>
  </si>
  <si>
    <t>Poblacion No. 7 (Barangay 7)</t>
  </si>
  <si>
    <t>Poblacion No. 6 (Barangay 6)</t>
  </si>
  <si>
    <t>Poblacion No. 5 (Barangay 5)</t>
  </si>
  <si>
    <t>Poblacion No. 4 (Barangay 4)</t>
  </si>
  <si>
    <t>Poblacion No. 3 (Barangay 3)</t>
  </si>
  <si>
    <t>Poblacion No. 2 (Barangay 2)</t>
  </si>
  <si>
    <t>Poblacion No. 1 (Barangay 1)</t>
  </si>
  <si>
    <t>Piapi</t>
  </si>
  <si>
    <t>Motong</t>
  </si>
  <si>
    <t>Mangnao-Canal</t>
  </si>
  <si>
    <t>Junob</t>
  </si>
  <si>
    <t>Daro</t>
  </si>
  <si>
    <t>Cantil-e</t>
  </si>
  <si>
    <t>Candau-ay</t>
  </si>
  <si>
    <t>Camanjac</t>
  </si>
  <si>
    <t>Calindagan</t>
  </si>
  <si>
    <t>Cadawinonan</t>
  </si>
  <si>
    <t>Bunao</t>
  </si>
  <si>
    <t>Batinguel</t>
  </si>
  <si>
    <t>Bajumpandan</t>
  </si>
  <si>
    <t>Tunga-tunga</t>
  </si>
  <si>
    <t>Tugawe</t>
  </si>
  <si>
    <t>Panubtuban</t>
  </si>
  <si>
    <t>Masaplod Sur</t>
  </si>
  <si>
    <t>Masaplod Norte</t>
  </si>
  <si>
    <t>Malongcay Dacu</t>
  </si>
  <si>
    <t>Maayongtubig</t>
  </si>
  <si>
    <t>Lipayo</t>
  </si>
  <si>
    <t>Casile</t>
  </si>
  <si>
    <t>Boloc-boloc</t>
  </si>
  <si>
    <t>Batuhon Dacu</t>
  </si>
  <si>
    <t>Baslay</t>
  </si>
  <si>
    <t>Apo Island</t>
  </si>
  <si>
    <t>Anahawan</t>
  </si>
  <si>
    <t>DAUIN</t>
  </si>
  <si>
    <t>Ninoy Aquino</t>
  </si>
  <si>
    <t>Budlasan (West Budlasan)</t>
  </si>
  <si>
    <t>Pula</t>
  </si>
  <si>
    <t>Mabigo (Pob.)</t>
  </si>
  <si>
    <t>Panubigan</t>
  </si>
  <si>
    <t>Masulog</t>
  </si>
  <si>
    <t>Malaiba</t>
  </si>
  <si>
    <t>Lumapao</t>
  </si>
  <si>
    <t>Linothangan</t>
  </si>
  <si>
    <t>Bucalan (East Budsalan)</t>
  </si>
  <si>
    <t>Binalbagan</t>
  </si>
  <si>
    <t>Tinaogan</t>
  </si>
  <si>
    <t>Tagaytay</t>
  </si>
  <si>
    <t>Salong</t>
  </si>
  <si>
    <t>Poblacion (Payabon)</t>
  </si>
  <si>
    <t>Peñahan</t>
  </si>
  <si>
    <t>Pangalaycayan</t>
  </si>
  <si>
    <t>Nalundan</t>
  </si>
  <si>
    <t>Nagcasunog</t>
  </si>
  <si>
    <t>Matobato</t>
  </si>
  <si>
    <t>Manseje</t>
  </si>
  <si>
    <t>Malaga</t>
  </si>
  <si>
    <t>Domolog</t>
  </si>
  <si>
    <t>Danawan</t>
  </si>
  <si>
    <t>Canluto</t>
  </si>
  <si>
    <t>Camudlas</t>
  </si>
  <si>
    <t>Cabugan</t>
  </si>
  <si>
    <t>Bulod</t>
  </si>
  <si>
    <t>Batangan</t>
  </si>
  <si>
    <t>Atotes</t>
  </si>
  <si>
    <t>BINDOY (PAYABON)</t>
  </si>
  <si>
    <t>Villareal</t>
  </si>
  <si>
    <t>Ubos (Pob.)</t>
  </si>
  <si>
    <t>Tinago (Pob.)</t>
  </si>
  <si>
    <t>Tayawan</t>
  </si>
  <si>
    <t>Pagatban</t>
  </si>
  <si>
    <t>Narra</t>
  </si>
  <si>
    <t>Minaba</t>
  </si>
  <si>
    <t>Maninihon</t>
  </si>
  <si>
    <t>Mandu-ao</t>
  </si>
  <si>
    <t>Malabugas</t>
  </si>
  <si>
    <t>Kalumboyan</t>
  </si>
  <si>
    <t>Kalamtukan</t>
  </si>
  <si>
    <t>Dawis</t>
  </si>
  <si>
    <t>Cansumalig</t>
  </si>
  <si>
    <t>Bugay</t>
  </si>
  <si>
    <t>Boyco</t>
  </si>
  <si>
    <t>Villasol (Bato)</t>
  </si>
  <si>
    <t>Banaybanay</t>
  </si>
  <si>
    <t>Ali-is</t>
  </si>
  <si>
    <t>CITY OF BAYAWAN (TULONG)</t>
  </si>
  <si>
    <t>Olandao</t>
  </si>
  <si>
    <t>Nagbo-alao</t>
  </si>
  <si>
    <t>Maglinao</t>
  </si>
  <si>
    <t>Linantayan</t>
  </si>
  <si>
    <t>Cabatuanan</t>
  </si>
  <si>
    <t>Cabalayongan</t>
  </si>
  <si>
    <t>Bongalonan</t>
  </si>
  <si>
    <t>Bal-os</t>
  </si>
  <si>
    <t>Actin</t>
  </si>
  <si>
    <t>BASAY</t>
  </si>
  <si>
    <t>Tangculogan</t>
  </si>
  <si>
    <t>Tamogong</t>
  </si>
  <si>
    <t>Tamisu</t>
  </si>
  <si>
    <t>Talungon</t>
  </si>
  <si>
    <t>Tagpo</t>
  </si>
  <si>
    <t>Katacgahan (Tacgahan)</t>
  </si>
  <si>
    <t>Sab-ahan</t>
  </si>
  <si>
    <t>Panam-angan</t>
  </si>
  <si>
    <t>Panala-an</t>
  </si>
  <si>
    <t>Olympia</t>
  </si>
  <si>
    <t>Okiot</t>
  </si>
  <si>
    <t>Mansangaban</t>
  </si>
  <si>
    <t>Manlipac</t>
  </si>
  <si>
    <t>Hangyad</t>
  </si>
  <si>
    <t>Dansulan</t>
  </si>
  <si>
    <t>Capiñahan</t>
  </si>
  <si>
    <t>Canlargo</t>
  </si>
  <si>
    <t>Cambuilao</t>
  </si>
  <si>
    <t>Cambanjao</t>
  </si>
  <si>
    <t>Cambaguio</t>
  </si>
  <si>
    <t>Cambagahan</t>
  </si>
  <si>
    <t>Calasga-an</t>
  </si>
  <si>
    <t>Cabanlutan</t>
  </si>
  <si>
    <t>Biñohon</t>
  </si>
  <si>
    <t>Timbao</t>
  </si>
  <si>
    <t>Timbanga</t>
  </si>
  <si>
    <t>Sulodpan</t>
  </si>
  <si>
    <t>Magsuhot</t>
  </si>
  <si>
    <t>Isugan</t>
  </si>
  <si>
    <t>Calangag</t>
  </si>
  <si>
    <t>Buntod</t>
  </si>
  <si>
    <t>Buntis</t>
  </si>
  <si>
    <t>BACONG</t>
  </si>
  <si>
    <t>Tibyawan</t>
  </si>
  <si>
    <t>Tampocon II</t>
  </si>
  <si>
    <t>Tampocon I</t>
  </si>
  <si>
    <t>Nabhang</t>
  </si>
  <si>
    <t>Manogtong</t>
  </si>
  <si>
    <t>Mabato</t>
  </si>
  <si>
    <t>Lamigan</t>
  </si>
  <si>
    <t>Kilaban</t>
  </si>
  <si>
    <t>Iniban</t>
  </si>
  <si>
    <t>Inacban</t>
  </si>
  <si>
    <t>Gomentoc</t>
  </si>
  <si>
    <t>Carol-an</t>
  </si>
  <si>
    <t>Candana-ay</t>
  </si>
  <si>
    <t>Calagcalag</t>
  </si>
  <si>
    <t>Ban-ban</t>
  </si>
  <si>
    <t>Awa-an</t>
  </si>
  <si>
    <t>Anibong</t>
  </si>
  <si>
    <t>Jandalamanon</t>
  </si>
  <si>
    <t>Amdus</t>
  </si>
  <si>
    <t>AYUNGON</t>
  </si>
  <si>
    <t>Tandayag</t>
  </si>
  <si>
    <t>Tambojangin</t>
  </si>
  <si>
    <t>Silab</t>
  </si>
  <si>
    <t>Mag-abo</t>
  </si>
  <si>
    <t>Jugno</t>
  </si>
  <si>
    <t>Jantianon</t>
  </si>
  <si>
    <t>Bio-os</t>
  </si>
  <si>
    <t>AMLAN (AYUQUITAN)</t>
  </si>
  <si>
    <r>
      <t xml:space="preserve">NEGROS ORIENTAL </t>
    </r>
    <r>
      <rPr>
        <b/>
        <vertAlign val="superscript"/>
        <sz val="11"/>
        <rFont val="Arial"/>
        <family val="2"/>
      </rPr>
      <t>1</t>
    </r>
  </si>
  <si>
    <t>and for Other Purposes”, signed by President Rodrigo Roa Duterte on 07 August 2017.</t>
  </si>
  <si>
    <t>of Negros Oriental to Region VII (Central Visayas).</t>
  </si>
  <si>
    <t>as of May 1, 2020</t>
  </si>
  <si>
    <t>CITY OF TAGBILARAN (Capital)</t>
  </si>
  <si>
    <t>CITY OF TOLEDO</t>
  </si>
  <si>
    <t>CITY OF CEBU (Capital)</t>
  </si>
  <si>
    <t>CITY OF LAPU-LAPU (OPON)</t>
  </si>
  <si>
    <t>CITY OF MANDAUE</t>
  </si>
  <si>
    <t>CITY OF TAGBILARAN (CAPITAL)</t>
  </si>
  <si>
    <t>CITY OF BAIS</t>
  </si>
  <si>
    <t>CITY OF CANLAON</t>
  </si>
  <si>
    <t>CITY OF DUMAGUETE (Capital)</t>
  </si>
  <si>
    <t xml:space="preserve">Sabang </t>
  </si>
  <si>
    <t>CITY OF CEBU (CAPITAL)</t>
  </si>
  <si>
    <r>
      <t xml:space="preserve">PINAMUNGAJAN </t>
    </r>
    <r>
      <rPr>
        <vertAlign val="superscript"/>
        <sz val="11"/>
        <color indexed="8"/>
        <rFont val="Arial"/>
        <family val="2"/>
      </rPr>
      <t>1</t>
    </r>
  </si>
  <si>
    <r>
      <t xml:space="preserve">NEGROS ORIENTAL </t>
    </r>
    <r>
      <rPr>
        <b/>
        <vertAlign val="superscript"/>
        <sz val="11"/>
        <rFont val="Arial"/>
        <family val="2"/>
      </rPr>
      <t>2</t>
    </r>
  </si>
  <si>
    <r>
      <t xml:space="preserve">PINAMUNGAJAN </t>
    </r>
    <r>
      <rPr>
        <b/>
        <vertAlign val="superscript"/>
        <sz val="11"/>
        <color indexed="8"/>
        <rFont val="Arial"/>
        <family val="2"/>
      </rPr>
      <t>1</t>
    </r>
  </si>
  <si>
    <t>REGION VII (CENTRAL VISAYAS)</t>
  </si>
  <si>
    <t>* Exclude City of Cebu, City of Lapu-Lapu, and City of Mandaue.</t>
  </si>
  <si>
    <r>
      <rPr>
        <i/>
        <vertAlign val="superscript"/>
        <sz val="9"/>
        <rFont val="Arial"/>
        <family val="2"/>
      </rPr>
      <t>2</t>
    </r>
    <r>
      <rPr>
        <i/>
        <sz val="9"/>
        <rFont val="Arial"/>
        <family val="2"/>
      </rPr>
      <t xml:space="preserve"> The Negros Island Region (NIR) was abolished through Executive Order No. 38 </t>
    </r>
  </si>
  <si>
    <r>
      <t xml:space="preserve">1 </t>
    </r>
    <r>
      <rPr>
        <i/>
        <sz val="9"/>
        <rFont val="Arial"/>
        <family val="2"/>
      </rPr>
      <t>Correction of municipality name from Pinamungahan; under Municipal Mayor Certification.</t>
    </r>
  </si>
  <si>
    <r>
      <t xml:space="preserve">PRESIDENT CARLOS P. GARCIA (PITOGO) </t>
    </r>
    <r>
      <rPr>
        <b/>
        <vertAlign val="superscript"/>
        <sz val="11"/>
        <color indexed="8"/>
        <rFont val="Arial"/>
        <family val="2"/>
      </rPr>
      <t>1</t>
    </r>
  </si>
  <si>
    <r>
      <t xml:space="preserve">1 </t>
    </r>
    <r>
      <rPr>
        <i/>
        <sz val="9"/>
        <rFont val="Arial"/>
        <family val="2"/>
      </rPr>
      <t xml:space="preserve">Correction of municipality name from Pres. Carlos P. Garcia; under Presidential Decree No. 1228 </t>
    </r>
  </si>
  <si>
    <t>dated 25 Oct 1977; Republic Act 5864; Municipal Certification.</t>
  </si>
  <si>
    <t xml:space="preserve">“Revoking Executive Order No. 183 (s. 2015) which Created a Negros Island Region and </t>
  </si>
  <si>
    <t xml:space="preserve">for Other Purposes”, signed by President Rodrigo Roa Duterte on August 7, 2017. </t>
  </si>
  <si>
    <t>The abolition of NIR reverted the provinces, cities, municipalities, and barangays.</t>
  </si>
  <si>
    <r>
      <rPr>
        <i/>
        <vertAlign val="superscript"/>
        <sz val="10"/>
        <rFont val="Arial"/>
        <family val="2"/>
      </rPr>
      <t>1</t>
    </r>
    <r>
      <rPr>
        <i/>
        <sz val="10"/>
        <rFont val="Arial"/>
        <family val="2"/>
      </rPr>
      <t xml:space="preserve"> The Negros Island Region (NIR) was abolished through Executive Order No. 38 </t>
    </r>
  </si>
  <si>
    <t>* Excludes the City of Cebu, City of Lapu-Lapu, and City of Mandaue</t>
  </si>
  <si>
    <t>– “Revoking Executive Order No. 183 (s. 2015), which Created a Negros Island Region</t>
  </si>
  <si>
    <t>The abolition of the NIR reverted the provinces, cities, municipalities, and barangays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</si>
</sst>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27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b/>
      <sz val="12"/>
      <color indexed="8"/>
      <name val="Arial"/>
      <family val="2"/>
    </font>
    <font>
      <sz val="12"/>
      <color indexed="8"/>
      <name val="Arial"/>
      <family val="2"/>
    </font>
    <font>
      <i/>
      <sz val="11"/>
      <color indexed="8"/>
      <name val="Arial"/>
      <family val="2"/>
    </font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i/>
      <sz val="9"/>
      <color indexed="8"/>
      <name val="Arial"/>
      <family val="2"/>
    </font>
    <font>
      <i/>
      <vertAlign val="superscript"/>
      <sz val="9"/>
      <color indexed="8"/>
      <name val="Arial"/>
      <family val="2"/>
    </font>
    <font>
      <b/>
      <i/>
      <sz val="9"/>
      <color theme="1"/>
      <name val="Arial"/>
      <family val="2"/>
    </font>
    <font>
      <sz val="9"/>
      <name val="Arial"/>
      <family val="2"/>
    </font>
    <font>
      <sz val="9"/>
      <color theme="1"/>
      <name val="Arial"/>
      <family val="2"/>
    </font>
    <font>
      <i/>
      <sz val="9"/>
      <color theme="1"/>
      <name val="Arial"/>
      <family val="2"/>
    </font>
    <font>
      <sz val="11"/>
      <name val="Calibri"/>
      <family val="2"/>
      <scheme val="minor"/>
    </font>
    <font>
      <i/>
      <vertAlign val="superscript"/>
      <sz val="9"/>
      <name val="Arial"/>
      <family val="2"/>
    </font>
    <font>
      <i/>
      <sz val="9"/>
      <name val="Arial"/>
      <family val="2"/>
    </font>
    <font>
      <b/>
      <vertAlign val="superscript"/>
      <sz val="11"/>
      <name val="Arial"/>
      <family val="2"/>
    </font>
    <font>
      <vertAlign val="superscript"/>
      <sz val="11"/>
      <color indexed="8"/>
      <name val="Arial"/>
      <family val="2"/>
    </font>
    <font>
      <b/>
      <vertAlign val="superscript"/>
      <sz val="11"/>
      <color indexed="8"/>
      <name val="Arial"/>
      <family val="2"/>
    </font>
    <font>
      <i/>
      <sz val="10"/>
      <name val="Arial"/>
      <family val="2"/>
    </font>
    <font>
      <i/>
      <vertAlign val="superscript"/>
      <sz val="10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6">
    <xf numFmtId="0" fontId="0" fillId="0" borderId="0"/>
    <xf numFmtId="164" fontId="1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11" fillId="0" borderId="0"/>
  </cellStyleXfs>
  <cellXfs count="84">
    <xf numFmtId="0" fontId="0" fillId="0" borderId="0" xfId="0"/>
    <xf numFmtId="0" fontId="2" fillId="0" borderId="0" xfId="0" applyFont="1"/>
    <xf numFmtId="0" fontId="2" fillId="0" borderId="0" xfId="2" applyFont="1"/>
    <xf numFmtId="0" fontId="5" fillId="0" borderId="0" xfId="0" applyFont="1" applyFill="1" applyBorder="1" applyAlignment="1"/>
    <xf numFmtId="0" fontId="6" fillId="0" borderId="0" xfId="0" applyFont="1" applyBorder="1" applyAlignment="1"/>
    <xf numFmtId="3" fontId="6" fillId="0" borderId="0" xfId="1" applyNumberFormat="1" applyFont="1" applyFill="1" applyBorder="1" applyAlignment="1"/>
    <xf numFmtId="0" fontId="4" fillId="0" borderId="0" xfId="0" applyFont="1" applyBorder="1" applyAlignment="1"/>
    <xf numFmtId="0" fontId="4" fillId="0" borderId="0" xfId="0" applyFont="1" applyFill="1" applyBorder="1" applyAlignment="1"/>
    <xf numFmtId="0" fontId="5" fillId="0" borderId="0" xfId="0" applyFont="1" applyBorder="1" applyAlignment="1"/>
    <xf numFmtId="0" fontId="1" fillId="0" borderId="0" xfId="0" applyFont="1" applyFill="1" applyBorder="1" applyAlignment="1"/>
    <xf numFmtId="0" fontId="2" fillId="0" borderId="0" xfId="0" applyFont="1" applyBorder="1" applyAlignment="1"/>
    <xf numFmtId="0" fontId="2" fillId="0" borderId="0" xfId="0" applyFont="1" applyFill="1" applyBorder="1" applyAlignment="1"/>
    <xf numFmtId="0" fontId="1" fillId="0" borderId="0" xfId="0" applyFont="1" applyBorder="1" applyAlignment="1"/>
    <xf numFmtId="0" fontId="6" fillId="0" borderId="0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10" fillId="0" borderId="0" xfId="0" applyFont="1" applyBorder="1" applyAlignment="1"/>
    <xf numFmtId="0" fontId="1" fillId="0" borderId="0" xfId="0" applyFont="1"/>
    <xf numFmtId="164" fontId="7" fillId="0" borderId="0" xfId="1" applyFont="1" applyFill="1" applyAlignment="1"/>
    <xf numFmtId="0" fontId="1" fillId="0" borderId="0" xfId="2" applyFont="1"/>
    <xf numFmtId="0" fontId="13" fillId="0" borderId="0" xfId="0" applyFont="1" applyBorder="1" applyAlignment="1"/>
    <xf numFmtId="0" fontId="2" fillId="0" borderId="0" xfId="2" applyFont="1" applyBorder="1"/>
    <xf numFmtId="0" fontId="9" fillId="0" borderId="0" xfId="0" applyFont="1" applyBorder="1" applyAlignment="1"/>
    <xf numFmtId="0" fontId="14" fillId="0" borderId="0" xfId="0" applyFont="1" applyFill="1" applyBorder="1" applyAlignment="1"/>
    <xf numFmtId="0" fontId="2" fillId="0" borderId="1" xfId="0" applyFont="1" applyFill="1" applyBorder="1" applyAlignment="1">
      <alignment horizontal="left"/>
    </xf>
    <xf numFmtId="3" fontId="2" fillId="0" borderId="1" xfId="1" applyNumberFormat="1" applyFont="1" applyFill="1" applyBorder="1" applyAlignment="1">
      <alignment horizontal="center"/>
    </xf>
    <xf numFmtId="0" fontId="2" fillId="0" borderId="1" xfId="2" applyFont="1" applyBorder="1"/>
    <xf numFmtId="0" fontId="15" fillId="0" borderId="0" xfId="0" applyFont="1" applyBorder="1" applyAlignment="1">
      <alignment vertical="center"/>
    </xf>
    <xf numFmtId="0" fontId="16" fillId="0" borderId="0" xfId="0" applyFont="1" applyBorder="1" applyAlignment="1"/>
    <xf numFmtId="0" fontId="17" fillId="0" borderId="0" xfId="0" applyFont="1" applyAlignment="1">
      <alignment vertical="center"/>
    </xf>
    <xf numFmtId="0" fontId="1" fillId="0" borderId="0" xfId="0" applyFont="1" applyAlignment="1">
      <alignment horizontal="left" indent="5"/>
    </xf>
    <xf numFmtId="0" fontId="2" fillId="0" borderId="0" xfId="0" applyFont="1" applyAlignment="1">
      <alignment horizontal="left" indent="5"/>
    </xf>
    <xf numFmtId="0" fontId="4" fillId="0" borderId="0" xfId="0" applyFont="1"/>
    <xf numFmtId="0" fontId="12" fillId="0" borderId="0" xfId="0" applyFont="1"/>
    <xf numFmtId="0" fontId="5" fillId="0" borderId="3" xfId="0" applyFont="1" applyBorder="1" applyAlignment="1">
      <alignment horizontal="left" vertical="center" wrapText="1" indent="5"/>
    </xf>
    <xf numFmtId="0" fontId="5" fillId="0" borderId="5" xfId="0" applyFont="1" applyBorder="1" applyAlignment="1">
      <alignment horizontal="left" vertical="center" wrapText="1" indent="3"/>
    </xf>
    <xf numFmtId="49" fontId="7" fillId="0" borderId="0" xfId="1" applyNumberFormat="1" applyFont="1" applyBorder="1" applyAlignment="1">
      <alignment horizontal="left" indent="5"/>
    </xf>
    <xf numFmtId="49" fontId="6" fillId="0" borderId="0" xfId="1" applyNumberFormat="1" applyFont="1" applyBorder="1" applyAlignment="1">
      <alignment horizontal="left" indent="5"/>
    </xf>
    <xf numFmtId="49" fontId="6" fillId="0" borderId="0" xfId="1" applyNumberFormat="1" applyFont="1" applyFill="1" applyBorder="1" applyAlignment="1">
      <alignment horizontal="left" indent="5"/>
    </xf>
    <xf numFmtId="0" fontId="2" fillId="0" borderId="0" xfId="2" applyFont="1" applyAlignment="1">
      <alignment horizontal="left" indent="5"/>
    </xf>
    <xf numFmtId="0" fontId="7" fillId="0" borderId="0" xfId="0" applyFont="1" applyFill="1" applyAlignment="1">
      <alignment horizontal="left" indent="5"/>
    </xf>
    <xf numFmtId="0" fontId="6" fillId="0" borderId="0" xfId="0" applyFont="1" applyFill="1" applyAlignment="1">
      <alignment horizontal="left" indent="5"/>
    </xf>
    <xf numFmtId="0" fontId="1" fillId="0" borderId="0" xfId="2" applyFont="1" applyAlignment="1">
      <alignment horizontal="left" indent="5"/>
    </xf>
    <xf numFmtId="3" fontId="1" fillId="0" borderId="0" xfId="0" applyNumberFormat="1" applyFont="1" applyAlignment="1">
      <alignment horizontal="right" indent="5"/>
    </xf>
    <xf numFmtId="0" fontId="2" fillId="0" borderId="0" xfId="0" applyFont="1" applyAlignment="1">
      <alignment horizontal="right" indent="5"/>
    </xf>
    <xf numFmtId="3" fontId="7" fillId="0" borderId="0" xfId="1" applyNumberFormat="1" applyFont="1" applyFill="1" applyBorder="1" applyAlignment="1">
      <alignment horizontal="right" indent="5"/>
    </xf>
    <xf numFmtId="3" fontId="6" fillId="0" borderId="0" xfId="1" applyNumberFormat="1" applyFont="1" applyFill="1" applyBorder="1" applyAlignment="1">
      <alignment horizontal="right" indent="5"/>
    </xf>
    <xf numFmtId="3" fontId="6" fillId="0" borderId="0" xfId="1" applyNumberFormat="1" applyFont="1" applyBorder="1" applyAlignment="1">
      <alignment horizontal="right" indent="5"/>
    </xf>
    <xf numFmtId="0" fontId="2" fillId="0" borderId="0" xfId="2" applyFont="1" applyAlignment="1">
      <alignment horizontal="right" indent="5"/>
    </xf>
    <xf numFmtId="3" fontId="7" fillId="0" borderId="0" xfId="1" applyNumberFormat="1" applyFont="1" applyFill="1" applyAlignment="1">
      <alignment horizontal="right" indent="5"/>
    </xf>
    <xf numFmtId="0" fontId="5" fillId="0" borderId="2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165" fontId="1" fillId="0" borderId="0" xfId="0" applyNumberFormat="1" applyFont="1"/>
    <xf numFmtId="0" fontId="19" fillId="0" borderId="0" xfId="3" applyFont="1" applyAlignment="1">
      <alignment horizontal="left"/>
    </xf>
    <xf numFmtId="4" fontId="2" fillId="0" borderId="0" xfId="2" applyNumberFormat="1" applyFont="1"/>
    <xf numFmtId="49" fontId="7" fillId="0" borderId="0" xfId="1" applyNumberFormat="1" applyFont="1" applyFill="1" applyBorder="1" applyAlignment="1">
      <alignment horizontal="left" indent="5"/>
    </xf>
    <xf numFmtId="49" fontId="6" fillId="0" borderId="0" xfId="0" applyNumberFormat="1" applyFont="1" applyFill="1" applyBorder="1" applyAlignment="1">
      <alignment horizontal="left" indent="5"/>
    </xf>
    <xf numFmtId="3" fontId="8" fillId="0" borderId="0" xfId="0" applyNumberFormat="1" applyFont="1" applyFill="1" applyBorder="1" applyAlignment="1">
      <alignment horizontal="right" indent="5"/>
    </xf>
    <xf numFmtId="3" fontId="7" fillId="0" borderId="0" xfId="1" applyNumberFormat="1" applyFont="1" applyBorder="1" applyAlignment="1">
      <alignment horizontal="right" indent="5"/>
    </xf>
    <xf numFmtId="3" fontId="16" fillId="0" borderId="0" xfId="1" applyNumberFormat="1" applyFont="1" applyFill="1" applyAlignment="1"/>
    <xf numFmtId="0" fontId="16" fillId="0" borderId="0" xfId="0" applyFont="1"/>
    <xf numFmtId="0" fontId="15" fillId="0" borderId="0" xfId="0" applyFont="1" applyAlignment="1">
      <alignment vertical="center"/>
    </xf>
    <xf numFmtId="0" fontId="2" fillId="0" borderId="0" xfId="0" applyFont="1" applyAlignment="1">
      <alignment horizontal="left"/>
    </xf>
    <xf numFmtId="0" fontId="21" fillId="0" borderId="0" xfId="0" applyFont="1" applyAlignment="1">
      <alignment horizontal="left" vertical="center" indent="1"/>
    </xf>
    <xf numFmtId="3" fontId="1" fillId="0" borderId="0" xfId="1" applyNumberFormat="1" applyFont="1" applyFill="1" applyAlignment="1">
      <alignment horizontal="right" indent="5"/>
    </xf>
    <xf numFmtId="3" fontId="2" fillId="0" borderId="0" xfId="2" applyNumberFormat="1" applyFont="1" applyAlignment="1">
      <alignment horizontal="right" indent="5"/>
    </xf>
    <xf numFmtId="0" fontId="6" fillId="0" borderId="0" xfId="0" applyFont="1" applyFill="1" applyBorder="1" applyAlignment="1">
      <alignment horizontal="left" indent="5"/>
    </xf>
    <xf numFmtId="3" fontId="2" fillId="0" borderId="0" xfId="1" applyNumberFormat="1" applyFont="1" applyFill="1" applyBorder="1" applyAlignment="1">
      <alignment horizontal="right" indent="5"/>
    </xf>
    <xf numFmtId="0" fontId="7" fillId="0" borderId="0" xfId="0" applyFont="1" applyAlignment="1">
      <alignment horizontal="left" indent="5"/>
    </xf>
    <xf numFmtId="0" fontId="6" fillId="0" borderId="0" xfId="0" applyFont="1" applyAlignment="1">
      <alignment horizontal="left" indent="5"/>
    </xf>
    <xf numFmtId="0" fontId="2" fillId="0" borderId="1" xfId="2" applyFont="1" applyBorder="1" applyAlignment="1">
      <alignment horizontal="left" indent="5"/>
    </xf>
    <xf numFmtId="0" fontId="19" fillId="0" borderId="0" xfId="0" applyFont="1"/>
    <xf numFmtId="0" fontId="19" fillId="0" borderId="0" xfId="2" applyFont="1"/>
    <xf numFmtId="4" fontId="19" fillId="0" borderId="0" xfId="2" applyNumberFormat="1" applyFont="1"/>
    <xf numFmtId="0" fontId="20" fillId="0" borderId="0" xfId="0" applyFont="1"/>
    <xf numFmtId="3" fontId="2" fillId="0" borderId="0" xfId="0" applyNumberFormat="1" applyFont="1"/>
    <xf numFmtId="0" fontId="21" fillId="0" borderId="0" xfId="0" applyFont="1"/>
    <xf numFmtId="0" fontId="5" fillId="0" borderId="3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13" fillId="0" borderId="0" xfId="0" applyFont="1" applyFill="1" applyBorder="1" applyAlignment="1"/>
    <xf numFmtId="0" fontId="25" fillId="0" borderId="0" xfId="5" applyFont="1"/>
    <xf numFmtId="0" fontId="25" fillId="0" borderId="0" xfId="5" applyFont="1" applyAlignment="1">
      <alignment horizontal="left" vertical="center" indent="1"/>
    </xf>
    <xf numFmtId="0" fontId="5" fillId="0" borderId="2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0" xfId="0" applyFont="1" applyAlignment="1">
      <alignment horizontal="center"/>
    </xf>
  </cellXfs>
  <cellStyles count="6">
    <cellStyle name="Comma" xfId="1" builtinId="3"/>
    <cellStyle name="Normal" xfId="0" builtinId="0"/>
    <cellStyle name="Normal 2" xfId="3" xr:uid="{85B8B40B-E5A7-4040-9271-22D97A054C77}"/>
    <cellStyle name="Normal 4" xfId="4" xr:uid="{B1E8C9C9-4329-4F3F-A373-3A2CDBCB7F98}"/>
    <cellStyle name="Normal 5" xfId="5" xr:uid="{0E2CF347-0C80-45CA-BEE8-F8166C63982E}"/>
    <cellStyle name="Normal_tawi2 ni angie  March 25" xfId="2" xr:uid="{00000000-0005-0000-0000-000002000000}"/>
  </cellStyles>
  <dxfs count="1">
    <dxf>
      <fill>
        <patternFill patternType="none">
          <bgColor indexed="6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323</xdr:row>
      <xdr:rowOff>0</xdr:rowOff>
    </xdr:from>
    <xdr:to>
      <xdr:col>4</xdr:col>
      <xdr:colOff>76200</xdr:colOff>
      <xdr:row>324</xdr:row>
      <xdr:rowOff>0</xdr:rowOff>
    </xdr:to>
    <xdr:sp macro="" textlink="">
      <xdr:nvSpPr>
        <xdr:cNvPr id="8733" name="Text Box 1">
          <a:extLst>
            <a:ext uri="{FF2B5EF4-FFF2-40B4-BE49-F238E27FC236}">
              <a16:creationId xmlns:a16="http://schemas.microsoft.com/office/drawing/2014/main" id="{00000000-0008-0000-0200-00001D220000}"/>
            </a:ext>
          </a:extLst>
        </xdr:cNvPr>
        <xdr:cNvSpPr txBox="1">
          <a:spLocks noChangeArrowheads="1"/>
        </xdr:cNvSpPr>
      </xdr:nvSpPr>
      <xdr:spPr bwMode="auto">
        <a:xfrm>
          <a:off x="7105650" y="62007750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323</xdr:row>
      <xdr:rowOff>0</xdr:rowOff>
    </xdr:from>
    <xdr:to>
      <xdr:col>4</xdr:col>
      <xdr:colOff>76200</xdr:colOff>
      <xdr:row>324</xdr:row>
      <xdr:rowOff>0</xdr:rowOff>
    </xdr:to>
    <xdr:sp macro="" textlink="">
      <xdr:nvSpPr>
        <xdr:cNvPr id="8734" name="Text Box 2">
          <a:extLst>
            <a:ext uri="{FF2B5EF4-FFF2-40B4-BE49-F238E27FC236}">
              <a16:creationId xmlns:a16="http://schemas.microsoft.com/office/drawing/2014/main" id="{00000000-0008-0000-0200-00001E220000}"/>
            </a:ext>
          </a:extLst>
        </xdr:cNvPr>
        <xdr:cNvSpPr txBox="1">
          <a:spLocks noChangeArrowheads="1"/>
        </xdr:cNvSpPr>
      </xdr:nvSpPr>
      <xdr:spPr bwMode="auto">
        <a:xfrm>
          <a:off x="7105650" y="62007750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1134</xdr:row>
      <xdr:rowOff>0</xdr:rowOff>
    </xdr:from>
    <xdr:to>
      <xdr:col>4</xdr:col>
      <xdr:colOff>76200</xdr:colOff>
      <xdr:row>1135</xdr:row>
      <xdr:rowOff>0</xdr:rowOff>
    </xdr:to>
    <xdr:sp macro="" textlink="">
      <xdr:nvSpPr>
        <xdr:cNvPr id="8735" name="Text Box 1">
          <a:extLst>
            <a:ext uri="{FF2B5EF4-FFF2-40B4-BE49-F238E27FC236}">
              <a16:creationId xmlns:a16="http://schemas.microsoft.com/office/drawing/2014/main" id="{00000000-0008-0000-0200-00001F220000}"/>
            </a:ext>
          </a:extLst>
        </xdr:cNvPr>
        <xdr:cNvSpPr txBox="1">
          <a:spLocks noChangeArrowheads="1"/>
        </xdr:cNvSpPr>
      </xdr:nvSpPr>
      <xdr:spPr bwMode="auto">
        <a:xfrm>
          <a:off x="7105650" y="2158269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1134</xdr:row>
      <xdr:rowOff>0</xdr:rowOff>
    </xdr:from>
    <xdr:to>
      <xdr:col>4</xdr:col>
      <xdr:colOff>76200</xdr:colOff>
      <xdr:row>1135</xdr:row>
      <xdr:rowOff>0</xdr:rowOff>
    </xdr:to>
    <xdr:sp macro="" textlink="">
      <xdr:nvSpPr>
        <xdr:cNvPr id="8736" name="Text Box 1">
          <a:extLst>
            <a:ext uri="{FF2B5EF4-FFF2-40B4-BE49-F238E27FC236}">
              <a16:creationId xmlns:a16="http://schemas.microsoft.com/office/drawing/2014/main" id="{00000000-0008-0000-0200-000020220000}"/>
            </a:ext>
          </a:extLst>
        </xdr:cNvPr>
        <xdr:cNvSpPr txBox="1">
          <a:spLocks noChangeArrowheads="1"/>
        </xdr:cNvSpPr>
      </xdr:nvSpPr>
      <xdr:spPr bwMode="auto">
        <a:xfrm>
          <a:off x="7105650" y="2158269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323</xdr:row>
      <xdr:rowOff>0</xdr:rowOff>
    </xdr:from>
    <xdr:to>
      <xdr:col>4</xdr:col>
      <xdr:colOff>76200</xdr:colOff>
      <xdr:row>324</xdr:row>
      <xdr:rowOff>0</xdr:rowOff>
    </xdr:to>
    <xdr:sp macro="" textlink="">
      <xdr:nvSpPr>
        <xdr:cNvPr id="8737" name="Text Box 1">
          <a:extLst>
            <a:ext uri="{FF2B5EF4-FFF2-40B4-BE49-F238E27FC236}">
              <a16:creationId xmlns:a16="http://schemas.microsoft.com/office/drawing/2014/main" id="{00000000-0008-0000-0200-000021220000}"/>
            </a:ext>
          </a:extLst>
        </xdr:cNvPr>
        <xdr:cNvSpPr txBox="1">
          <a:spLocks noChangeArrowheads="1"/>
        </xdr:cNvSpPr>
      </xdr:nvSpPr>
      <xdr:spPr bwMode="auto">
        <a:xfrm>
          <a:off x="7105650" y="62007750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323</xdr:row>
      <xdr:rowOff>0</xdr:rowOff>
    </xdr:from>
    <xdr:to>
      <xdr:col>4</xdr:col>
      <xdr:colOff>76200</xdr:colOff>
      <xdr:row>324</xdr:row>
      <xdr:rowOff>0</xdr:rowOff>
    </xdr:to>
    <xdr:sp macro="" textlink="">
      <xdr:nvSpPr>
        <xdr:cNvPr id="8738" name="Text Box 2">
          <a:extLst>
            <a:ext uri="{FF2B5EF4-FFF2-40B4-BE49-F238E27FC236}">
              <a16:creationId xmlns:a16="http://schemas.microsoft.com/office/drawing/2014/main" id="{00000000-0008-0000-0200-000022220000}"/>
            </a:ext>
          </a:extLst>
        </xdr:cNvPr>
        <xdr:cNvSpPr txBox="1">
          <a:spLocks noChangeArrowheads="1"/>
        </xdr:cNvSpPr>
      </xdr:nvSpPr>
      <xdr:spPr bwMode="auto">
        <a:xfrm>
          <a:off x="7105650" y="62007750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982</xdr:row>
      <xdr:rowOff>0</xdr:rowOff>
    </xdr:from>
    <xdr:to>
      <xdr:col>4</xdr:col>
      <xdr:colOff>76200</xdr:colOff>
      <xdr:row>983</xdr:row>
      <xdr:rowOff>0</xdr:rowOff>
    </xdr:to>
    <xdr:sp macro="" textlink="">
      <xdr:nvSpPr>
        <xdr:cNvPr id="8739" name="Text Box 1">
          <a:extLst>
            <a:ext uri="{FF2B5EF4-FFF2-40B4-BE49-F238E27FC236}">
              <a16:creationId xmlns:a16="http://schemas.microsoft.com/office/drawing/2014/main" id="{00000000-0008-0000-0200-000023220000}"/>
            </a:ext>
          </a:extLst>
        </xdr:cNvPr>
        <xdr:cNvSpPr txBox="1">
          <a:spLocks noChangeArrowheads="1"/>
        </xdr:cNvSpPr>
      </xdr:nvSpPr>
      <xdr:spPr bwMode="auto">
        <a:xfrm>
          <a:off x="7105650" y="186423300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982</xdr:row>
      <xdr:rowOff>0</xdr:rowOff>
    </xdr:from>
    <xdr:to>
      <xdr:col>4</xdr:col>
      <xdr:colOff>76200</xdr:colOff>
      <xdr:row>983</xdr:row>
      <xdr:rowOff>0</xdr:rowOff>
    </xdr:to>
    <xdr:sp macro="" textlink="">
      <xdr:nvSpPr>
        <xdr:cNvPr id="8740" name="Text Box 1">
          <a:extLst>
            <a:ext uri="{FF2B5EF4-FFF2-40B4-BE49-F238E27FC236}">
              <a16:creationId xmlns:a16="http://schemas.microsoft.com/office/drawing/2014/main" id="{00000000-0008-0000-0200-000024220000}"/>
            </a:ext>
          </a:extLst>
        </xdr:cNvPr>
        <xdr:cNvSpPr txBox="1">
          <a:spLocks noChangeArrowheads="1"/>
        </xdr:cNvSpPr>
      </xdr:nvSpPr>
      <xdr:spPr bwMode="auto">
        <a:xfrm>
          <a:off x="7105650" y="186423300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323</xdr:row>
      <xdr:rowOff>0</xdr:rowOff>
    </xdr:from>
    <xdr:to>
      <xdr:col>4</xdr:col>
      <xdr:colOff>76200</xdr:colOff>
      <xdr:row>324</xdr:row>
      <xdr:rowOff>0</xdr:rowOff>
    </xdr:to>
    <xdr:sp macro="" textlink="">
      <xdr:nvSpPr>
        <xdr:cNvPr id="8741" name="Text Box 1">
          <a:extLst>
            <a:ext uri="{FF2B5EF4-FFF2-40B4-BE49-F238E27FC236}">
              <a16:creationId xmlns:a16="http://schemas.microsoft.com/office/drawing/2014/main" id="{00000000-0008-0000-0200-000025220000}"/>
            </a:ext>
          </a:extLst>
        </xdr:cNvPr>
        <xdr:cNvSpPr txBox="1">
          <a:spLocks noChangeArrowheads="1"/>
        </xdr:cNvSpPr>
      </xdr:nvSpPr>
      <xdr:spPr bwMode="auto">
        <a:xfrm>
          <a:off x="7105650" y="62007750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323</xdr:row>
      <xdr:rowOff>0</xdr:rowOff>
    </xdr:from>
    <xdr:to>
      <xdr:col>4</xdr:col>
      <xdr:colOff>76200</xdr:colOff>
      <xdr:row>324</xdr:row>
      <xdr:rowOff>0</xdr:rowOff>
    </xdr:to>
    <xdr:sp macro="" textlink="">
      <xdr:nvSpPr>
        <xdr:cNvPr id="8742" name="Text Box 2">
          <a:extLst>
            <a:ext uri="{FF2B5EF4-FFF2-40B4-BE49-F238E27FC236}">
              <a16:creationId xmlns:a16="http://schemas.microsoft.com/office/drawing/2014/main" id="{00000000-0008-0000-0200-000026220000}"/>
            </a:ext>
          </a:extLst>
        </xdr:cNvPr>
        <xdr:cNvSpPr txBox="1">
          <a:spLocks noChangeArrowheads="1"/>
        </xdr:cNvSpPr>
      </xdr:nvSpPr>
      <xdr:spPr bwMode="auto">
        <a:xfrm>
          <a:off x="7105650" y="62007750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1134</xdr:row>
      <xdr:rowOff>0</xdr:rowOff>
    </xdr:from>
    <xdr:to>
      <xdr:col>4</xdr:col>
      <xdr:colOff>76200</xdr:colOff>
      <xdr:row>1135</xdr:row>
      <xdr:rowOff>0</xdr:rowOff>
    </xdr:to>
    <xdr:sp macro="" textlink="">
      <xdr:nvSpPr>
        <xdr:cNvPr id="8743" name="Text Box 1">
          <a:extLst>
            <a:ext uri="{FF2B5EF4-FFF2-40B4-BE49-F238E27FC236}">
              <a16:creationId xmlns:a16="http://schemas.microsoft.com/office/drawing/2014/main" id="{00000000-0008-0000-0200-000027220000}"/>
            </a:ext>
          </a:extLst>
        </xdr:cNvPr>
        <xdr:cNvSpPr txBox="1">
          <a:spLocks noChangeArrowheads="1"/>
        </xdr:cNvSpPr>
      </xdr:nvSpPr>
      <xdr:spPr bwMode="auto">
        <a:xfrm>
          <a:off x="7105650" y="2158269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1134</xdr:row>
      <xdr:rowOff>0</xdr:rowOff>
    </xdr:from>
    <xdr:to>
      <xdr:col>4</xdr:col>
      <xdr:colOff>76200</xdr:colOff>
      <xdr:row>1135</xdr:row>
      <xdr:rowOff>0</xdr:rowOff>
    </xdr:to>
    <xdr:sp macro="" textlink="">
      <xdr:nvSpPr>
        <xdr:cNvPr id="8744" name="Text Box 1">
          <a:extLst>
            <a:ext uri="{FF2B5EF4-FFF2-40B4-BE49-F238E27FC236}">
              <a16:creationId xmlns:a16="http://schemas.microsoft.com/office/drawing/2014/main" id="{00000000-0008-0000-0200-000028220000}"/>
            </a:ext>
          </a:extLst>
        </xdr:cNvPr>
        <xdr:cNvSpPr txBox="1">
          <a:spLocks noChangeArrowheads="1"/>
        </xdr:cNvSpPr>
      </xdr:nvSpPr>
      <xdr:spPr bwMode="auto">
        <a:xfrm>
          <a:off x="7105650" y="2158269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25</xdr:row>
      <xdr:rowOff>0</xdr:rowOff>
    </xdr:from>
    <xdr:to>
      <xdr:col>4</xdr:col>
      <xdr:colOff>76200</xdr:colOff>
      <xdr:row>26</xdr:row>
      <xdr:rowOff>0</xdr:rowOff>
    </xdr:to>
    <xdr:sp macro="" textlink="">
      <xdr:nvSpPr>
        <xdr:cNvPr id="8745" name="Text Box 1">
          <a:extLst>
            <a:ext uri="{FF2B5EF4-FFF2-40B4-BE49-F238E27FC236}">
              <a16:creationId xmlns:a16="http://schemas.microsoft.com/office/drawing/2014/main" id="{00000000-0008-0000-0200-000029220000}"/>
            </a:ext>
          </a:extLst>
        </xdr:cNvPr>
        <xdr:cNvSpPr txBox="1">
          <a:spLocks noChangeArrowheads="1"/>
        </xdr:cNvSpPr>
      </xdr:nvSpPr>
      <xdr:spPr bwMode="auto">
        <a:xfrm>
          <a:off x="7105650" y="46005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25</xdr:row>
      <xdr:rowOff>0</xdr:rowOff>
    </xdr:from>
    <xdr:to>
      <xdr:col>4</xdr:col>
      <xdr:colOff>76200</xdr:colOff>
      <xdr:row>26</xdr:row>
      <xdr:rowOff>0</xdr:rowOff>
    </xdr:to>
    <xdr:sp macro="" textlink="">
      <xdr:nvSpPr>
        <xdr:cNvPr id="8746" name="Text Box 2">
          <a:extLst>
            <a:ext uri="{FF2B5EF4-FFF2-40B4-BE49-F238E27FC236}">
              <a16:creationId xmlns:a16="http://schemas.microsoft.com/office/drawing/2014/main" id="{00000000-0008-0000-0200-00002A220000}"/>
            </a:ext>
          </a:extLst>
        </xdr:cNvPr>
        <xdr:cNvSpPr txBox="1">
          <a:spLocks noChangeArrowheads="1"/>
        </xdr:cNvSpPr>
      </xdr:nvSpPr>
      <xdr:spPr bwMode="auto">
        <a:xfrm>
          <a:off x="7105650" y="46005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73</xdr:row>
      <xdr:rowOff>0</xdr:rowOff>
    </xdr:from>
    <xdr:to>
      <xdr:col>4</xdr:col>
      <xdr:colOff>76200</xdr:colOff>
      <xdr:row>74</xdr:row>
      <xdr:rowOff>0</xdr:rowOff>
    </xdr:to>
    <xdr:sp macro="" textlink="">
      <xdr:nvSpPr>
        <xdr:cNvPr id="8747" name="Text Box 1">
          <a:extLst>
            <a:ext uri="{FF2B5EF4-FFF2-40B4-BE49-F238E27FC236}">
              <a16:creationId xmlns:a16="http://schemas.microsoft.com/office/drawing/2014/main" id="{00000000-0008-0000-0200-00002B220000}"/>
            </a:ext>
          </a:extLst>
        </xdr:cNvPr>
        <xdr:cNvSpPr txBox="1">
          <a:spLocks noChangeArrowheads="1"/>
        </xdr:cNvSpPr>
      </xdr:nvSpPr>
      <xdr:spPr bwMode="auto">
        <a:xfrm>
          <a:off x="7105650" y="13601700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336</xdr:row>
      <xdr:rowOff>0</xdr:rowOff>
    </xdr:from>
    <xdr:to>
      <xdr:col>4</xdr:col>
      <xdr:colOff>76200</xdr:colOff>
      <xdr:row>337</xdr:row>
      <xdr:rowOff>0</xdr:rowOff>
    </xdr:to>
    <xdr:sp macro="" textlink="">
      <xdr:nvSpPr>
        <xdr:cNvPr id="8748" name="Text Box 1">
          <a:extLst>
            <a:ext uri="{FF2B5EF4-FFF2-40B4-BE49-F238E27FC236}">
              <a16:creationId xmlns:a16="http://schemas.microsoft.com/office/drawing/2014/main" id="{00000000-0008-0000-0200-00002C220000}"/>
            </a:ext>
          </a:extLst>
        </xdr:cNvPr>
        <xdr:cNvSpPr txBox="1">
          <a:spLocks noChangeArrowheads="1"/>
        </xdr:cNvSpPr>
      </xdr:nvSpPr>
      <xdr:spPr bwMode="auto">
        <a:xfrm>
          <a:off x="7105650" y="646080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336</xdr:row>
      <xdr:rowOff>0</xdr:rowOff>
    </xdr:from>
    <xdr:to>
      <xdr:col>4</xdr:col>
      <xdr:colOff>76200</xdr:colOff>
      <xdr:row>337</xdr:row>
      <xdr:rowOff>0</xdr:rowOff>
    </xdr:to>
    <xdr:sp macro="" textlink="">
      <xdr:nvSpPr>
        <xdr:cNvPr id="8749" name="Text Box 2">
          <a:extLst>
            <a:ext uri="{FF2B5EF4-FFF2-40B4-BE49-F238E27FC236}">
              <a16:creationId xmlns:a16="http://schemas.microsoft.com/office/drawing/2014/main" id="{00000000-0008-0000-0200-00002D220000}"/>
            </a:ext>
          </a:extLst>
        </xdr:cNvPr>
        <xdr:cNvSpPr txBox="1">
          <a:spLocks noChangeArrowheads="1"/>
        </xdr:cNvSpPr>
      </xdr:nvSpPr>
      <xdr:spPr bwMode="auto">
        <a:xfrm>
          <a:off x="7105650" y="646080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1182</xdr:row>
      <xdr:rowOff>0</xdr:rowOff>
    </xdr:from>
    <xdr:to>
      <xdr:col>4</xdr:col>
      <xdr:colOff>76200</xdr:colOff>
      <xdr:row>1183</xdr:row>
      <xdr:rowOff>0</xdr:rowOff>
    </xdr:to>
    <xdr:sp macro="" textlink="">
      <xdr:nvSpPr>
        <xdr:cNvPr id="8750" name="Text Box 1">
          <a:extLst>
            <a:ext uri="{FF2B5EF4-FFF2-40B4-BE49-F238E27FC236}">
              <a16:creationId xmlns:a16="http://schemas.microsoft.com/office/drawing/2014/main" id="{00000000-0008-0000-0200-00002E220000}"/>
            </a:ext>
          </a:extLst>
        </xdr:cNvPr>
        <xdr:cNvSpPr txBox="1">
          <a:spLocks noChangeArrowheads="1"/>
        </xdr:cNvSpPr>
      </xdr:nvSpPr>
      <xdr:spPr bwMode="auto">
        <a:xfrm>
          <a:off x="7105650" y="225628200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1182</xdr:row>
      <xdr:rowOff>0</xdr:rowOff>
    </xdr:from>
    <xdr:to>
      <xdr:col>4</xdr:col>
      <xdr:colOff>76200</xdr:colOff>
      <xdr:row>1183</xdr:row>
      <xdr:rowOff>0</xdr:rowOff>
    </xdr:to>
    <xdr:sp macro="" textlink="">
      <xdr:nvSpPr>
        <xdr:cNvPr id="8751" name="Text Box 1">
          <a:extLst>
            <a:ext uri="{FF2B5EF4-FFF2-40B4-BE49-F238E27FC236}">
              <a16:creationId xmlns:a16="http://schemas.microsoft.com/office/drawing/2014/main" id="{00000000-0008-0000-0200-00002F220000}"/>
            </a:ext>
          </a:extLst>
        </xdr:cNvPr>
        <xdr:cNvSpPr txBox="1">
          <a:spLocks noChangeArrowheads="1"/>
        </xdr:cNvSpPr>
      </xdr:nvSpPr>
      <xdr:spPr bwMode="auto">
        <a:xfrm>
          <a:off x="7105650" y="225628200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336</xdr:row>
      <xdr:rowOff>0</xdr:rowOff>
    </xdr:from>
    <xdr:to>
      <xdr:col>4</xdr:col>
      <xdr:colOff>76200</xdr:colOff>
      <xdr:row>337</xdr:row>
      <xdr:rowOff>0</xdr:rowOff>
    </xdr:to>
    <xdr:sp macro="" textlink="">
      <xdr:nvSpPr>
        <xdr:cNvPr id="8752" name="Text Box 1">
          <a:extLst>
            <a:ext uri="{FF2B5EF4-FFF2-40B4-BE49-F238E27FC236}">
              <a16:creationId xmlns:a16="http://schemas.microsoft.com/office/drawing/2014/main" id="{00000000-0008-0000-0200-000030220000}"/>
            </a:ext>
          </a:extLst>
        </xdr:cNvPr>
        <xdr:cNvSpPr txBox="1">
          <a:spLocks noChangeArrowheads="1"/>
        </xdr:cNvSpPr>
      </xdr:nvSpPr>
      <xdr:spPr bwMode="auto">
        <a:xfrm>
          <a:off x="7105650" y="646080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336</xdr:row>
      <xdr:rowOff>0</xdr:rowOff>
    </xdr:from>
    <xdr:to>
      <xdr:col>4</xdr:col>
      <xdr:colOff>76200</xdr:colOff>
      <xdr:row>337</xdr:row>
      <xdr:rowOff>0</xdr:rowOff>
    </xdr:to>
    <xdr:sp macro="" textlink="">
      <xdr:nvSpPr>
        <xdr:cNvPr id="8753" name="Text Box 2">
          <a:extLst>
            <a:ext uri="{FF2B5EF4-FFF2-40B4-BE49-F238E27FC236}">
              <a16:creationId xmlns:a16="http://schemas.microsoft.com/office/drawing/2014/main" id="{00000000-0008-0000-0200-000031220000}"/>
            </a:ext>
          </a:extLst>
        </xdr:cNvPr>
        <xdr:cNvSpPr txBox="1">
          <a:spLocks noChangeArrowheads="1"/>
        </xdr:cNvSpPr>
      </xdr:nvSpPr>
      <xdr:spPr bwMode="auto">
        <a:xfrm>
          <a:off x="7105650" y="646080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1182</xdr:row>
      <xdr:rowOff>0</xdr:rowOff>
    </xdr:from>
    <xdr:to>
      <xdr:col>4</xdr:col>
      <xdr:colOff>76200</xdr:colOff>
      <xdr:row>1183</xdr:row>
      <xdr:rowOff>0</xdr:rowOff>
    </xdr:to>
    <xdr:sp macro="" textlink="">
      <xdr:nvSpPr>
        <xdr:cNvPr id="8754" name="Text Box 1">
          <a:extLst>
            <a:ext uri="{FF2B5EF4-FFF2-40B4-BE49-F238E27FC236}">
              <a16:creationId xmlns:a16="http://schemas.microsoft.com/office/drawing/2014/main" id="{00000000-0008-0000-0200-000032220000}"/>
            </a:ext>
          </a:extLst>
        </xdr:cNvPr>
        <xdr:cNvSpPr txBox="1">
          <a:spLocks noChangeArrowheads="1"/>
        </xdr:cNvSpPr>
      </xdr:nvSpPr>
      <xdr:spPr bwMode="auto">
        <a:xfrm>
          <a:off x="7105650" y="225628200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1182</xdr:row>
      <xdr:rowOff>0</xdr:rowOff>
    </xdr:from>
    <xdr:to>
      <xdr:col>4</xdr:col>
      <xdr:colOff>76200</xdr:colOff>
      <xdr:row>1183</xdr:row>
      <xdr:rowOff>0</xdr:rowOff>
    </xdr:to>
    <xdr:sp macro="" textlink="">
      <xdr:nvSpPr>
        <xdr:cNvPr id="8755" name="Text Box 1">
          <a:extLst>
            <a:ext uri="{FF2B5EF4-FFF2-40B4-BE49-F238E27FC236}">
              <a16:creationId xmlns:a16="http://schemas.microsoft.com/office/drawing/2014/main" id="{00000000-0008-0000-0200-000033220000}"/>
            </a:ext>
          </a:extLst>
        </xdr:cNvPr>
        <xdr:cNvSpPr txBox="1">
          <a:spLocks noChangeArrowheads="1"/>
        </xdr:cNvSpPr>
      </xdr:nvSpPr>
      <xdr:spPr bwMode="auto">
        <a:xfrm>
          <a:off x="7105650" y="225628200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6</xdr:row>
      <xdr:rowOff>0</xdr:rowOff>
    </xdr:from>
    <xdr:to>
      <xdr:col>4</xdr:col>
      <xdr:colOff>76200</xdr:colOff>
      <xdr:row>7</xdr:row>
      <xdr:rowOff>0</xdr:rowOff>
    </xdr:to>
    <xdr:sp macro="" textlink="">
      <xdr:nvSpPr>
        <xdr:cNvPr id="6881" name="Text Box 1">
          <a:extLst>
            <a:ext uri="{FF2B5EF4-FFF2-40B4-BE49-F238E27FC236}">
              <a16:creationId xmlns:a16="http://schemas.microsoft.com/office/drawing/2014/main" id="{00000000-0008-0000-0300-0000E11A0000}"/>
            </a:ext>
          </a:extLst>
        </xdr:cNvPr>
        <xdr:cNvSpPr txBox="1">
          <a:spLocks noChangeArrowheads="1"/>
        </xdr:cNvSpPr>
      </xdr:nvSpPr>
      <xdr:spPr bwMode="auto">
        <a:xfrm>
          <a:off x="6991350" y="1200150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76200</xdr:colOff>
      <xdr:row>7</xdr:row>
      <xdr:rowOff>0</xdr:rowOff>
    </xdr:to>
    <xdr:sp macro="" textlink="">
      <xdr:nvSpPr>
        <xdr:cNvPr id="6882" name="Text Box 2">
          <a:extLst>
            <a:ext uri="{FF2B5EF4-FFF2-40B4-BE49-F238E27FC236}">
              <a16:creationId xmlns:a16="http://schemas.microsoft.com/office/drawing/2014/main" id="{00000000-0008-0000-0300-0000E21A0000}"/>
            </a:ext>
          </a:extLst>
        </xdr:cNvPr>
        <xdr:cNvSpPr txBox="1">
          <a:spLocks noChangeArrowheads="1"/>
        </xdr:cNvSpPr>
      </xdr:nvSpPr>
      <xdr:spPr bwMode="auto">
        <a:xfrm>
          <a:off x="6991350" y="1200150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76200</xdr:colOff>
      <xdr:row>7</xdr:row>
      <xdr:rowOff>0</xdr:rowOff>
    </xdr:to>
    <xdr:sp macro="" textlink="">
      <xdr:nvSpPr>
        <xdr:cNvPr id="6883" name="Text Box 1">
          <a:extLst>
            <a:ext uri="{FF2B5EF4-FFF2-40B4-BE49-F238E27FC236}">
              <a16:creationId xmlns:a16="http://schemas.microsoft.com/office/drawing/2014/main" id="{00000000-0008-0000-0300-0000E31A0000}"/>
            </a:ext>
          </a:extLst>
        </xdr:cNvPr>
        <xdr:cNvSpPr txBox="1">
          <a:spLocks noChangeArrowheads="1"/>
        </xdr:cNvSpPr>
      </xdr:nvSpPr>
      <xdr:spPr bwMode="auto">
        <a:xfrm>
          <a:off x="6991350" y="1200150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76200</xdr:colOff>
      <xdr:row>7</xdr:row>
      <xdr:rowOff>0</xdr:rowOff>
    </xdr:to>
    <xdr:sp macro="" textlink="">
      <xdr:nvSpPr>
        <xdr:cNvPr id="6884" name="Text Box 1">
          <a:extLst>
            <a:ext uri="{FF2B5EF4-FFF2-40B4-BE49-F238E27FC236}">
              <a16:creationId xmlns:a16="http://schemas.microsoft.com/office/drawing/2014/main" id="{00000000-0008-0000-0300-0000E41A0000}"/>
            </a:ext>
          </a:extLst>
        </xdr:cNvPr>
        <xdr:cNvSpPr txBox="1">
          <a:spLocks noChangeArrowheads="1"/>
        </xdr:cNvSpPr>
      </xdr:nvSpPr>
      <xdr:spPr bwMode="auto">
        <a:xfrm>
          <a:off x="6991350" y="1200150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76200</xdr:colOff>
      <xdr:row>7</xdr:row>
      <xdr:rowOff>0</xdr:rowOff>
    </xdr:to>
    <xdr:sp macro="" textlink="">
      <xdr:nvSpPr>
        <xdr:cNvPr id="6885" name="Text Box 1">
          <a:extLst>
            <a:ext uri="{FF2B5EF4-FFF2-40B4-BE49-F238E27FC236}">
              <a16:creationId xmlns:a16="http://schemas.microsoft.com/office/drawing/2014/main" id="{00000000-0008-0000-0300-0000E51A0000}"/>
            </a:ext>
          </a:extLst>
        </xdr:cNvPr>
        <xdr:cNvSpPr txBox="1">
          <a:spLocks noChangeArrowheads="1"/>
        </xdr:cNvSpPr>
      </xdr:nvSpPr>
      <xdr:spPr bwMode="auto">
        <a:xfrm>
          <a:off x="6991350" y="1200150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76200</xdr:colOff>
      <xdr:row>7</xdr:row>
      <xdr:rowOff>0</xdr:rowOff>
    </xdr:to>
    <xdr:sp macro="" textlink="">
      <xdr:nvSpPr>
        <xdr:cNvPr id="6886" name="Text Box 2">
          <a:extLst>
            <a:ext uri="{FF2B5EF4-FFF2-40B4-BE49-F238E27FC236}">
              <a16:creationId xmlns:a16="http://schemas.microsoft.com/office/drawing/2014/main" id="{00000000-0008-0000-0300-0000E61A0000}"/>
            </a:ext>
          </a:extLst>
        </xdr:cNvPr>
        <xdr:cNvSpPr txBox="1">
          <a:spLocks noChangeArrowheads="1"/>
        </xdr:cNvSpPr>
      </xdr:nvSpPr>
      <xdr:spPr bwMode="auto">
        <a:xfrm>
          <a:off x="6991350" y="1200150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76200</xdr:colOff>
      <xdr:row>7</xdr:row>
      <xdr:rowOff>0</xdr:rowOff>
    </xdr:to>
    <xdr:sp macro="" textlink="">
      <xdr:nvSpPr>
        <xdr:cNvPr id="6887" name="Text Box 1">
          <a:extLst>
            <a:ext uri="{FF2B5EF4-FFF2-40B4-BE49-F238E27FC236}">
              <a16:creationId xmlns:a16="http://schemas.microsoft.com/office/drawing/2014/main" id="{00000000-0008-0000-0300-0000E71A0000}"/>
            </a:ext>
          </a:extLst>
        </xdr:cNvPr>
        <xdr:cNvSpPr txBox="1">
          <a:spLocks noChangeArrowheads="1"/>
        </xdr:cNvSpPr>
      </xdr:nvSpPr>
      <xdr:spPr bwMode="auto">
        <a:xfrm>
          <a:off x="6991350" y="1200150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76200</xdr:colOff>
      <xdr:row>7</xdr:row>
      <xdr:rowOff>0</xdr:rowOff>
    </xdr:to>
    <xdr:sp macro="" textlink="">
      <xdr:nvSpPr>
        <xdr:cNvPr id="6888" name="Text Box 1">
          <a:extLst>
            <a:ext uri="{FF2B5EF4-FFF2-40B4-BE49-F238E27FC236}">
              <a16:creationId xmlns:a16="http://schemas.microsoft.com/office/drawing/2014/main" id="{00000000-0008-0000-0300-0000E81A0000}"/>
            </a:ext>
          </a:extLst>
        </xdr:cNvPr>
        <xdr:cNvSpPr txBox="1">
          <a:spLocks noChangeArrowheads="1"/>
        </xdr:cNvSpPr>
      </xdr:nvSpPr>
      <xdr:spPr bwMode="auto">
        <a:xfrm>
          <a:off x="6991350" y="1200150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76200</xdr:colOff>
      <xdr:row>7</xdr:row>
      <xdr:rowOff>0</xdr:rowOff>
    </xdr:to>
    <xdr:sp macro="" textlink="">
      <xdr:nvSpPr>
        <xdr:cNvPr id="6889" name="Text Box 1">
          <a:extLst>
            <a:ext uri="{FF2B5EF4-FFF2-40B4-BE49-F238E27FC236}">
              <a16:creationId xmlns:a16="http://schemas.microsoft.com/office/drawing/2014/main" id="{00000000-0008-0000-0300-0000E91A0000}"/>
            </a:ext>
          </a:extLst>
        </xdr:cNvPr>
        <xdr:cNvSpPr txBox="1">
          <a:spLocks noChangeArrowheads="1"/>
        </xdr:cNvSpPr>
      </xdr:nvSpPr>
      <xdr:spPr bwMode="auto">
        <a:xfrm>
          <a:off x="6991350" y="1200150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76200</xdr:colOff>
      <xdr:row>7</xdr:row>
      <xdr:rowOff>0</xdr:rowOff>
    </xdr:to>
    <xdr:sp macro="" textlink="">
      <xdr:nvSpPr>
        <xdr:cNvPr id="6890" name="Text Box 2">
          <a:extLst>
            <a:ext uri="{FF2B5EF4-FFF2-40B4-BE49-F238E27FC236}">
              <a16:creationId xmlns:a16="http://schemas.microsoft.com/office/drawing/2014/main" id="{00000000-0008-0000-0300-0000EA1A0000}"/>
            </a:ext>
          </a:extLst>
        </xdr:cNvPr>
        <xdr:cNvSpPr txBox="1">
          <a:spLocks noChangeArrowheads="1"/>
        </xdr:cNvSpPr>
      </xdr:nvSpPr>
      <xdr:spPr bwMode="auto">
        <a:xfrm>
          <a:off x="6991350" y="1200150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76200</xdr:colOff>
      <xdr:row>7</xdr:row>
      <xdr:rowOff>0</xdr:rowOff>
    </xdr:to>
    <xdr:sp macro="" textlink="">
      <xdr:nvSpPr>
        <xdr:cNvPr id="6891" name="Text Box 1">
          <a:extLst>
            <a:ext uri="{FF2B5EF4-FFF2-40B4-BE49-F238E27FC236}">
              <a16:creationId xmlns:a16="http://schemas.microsoft.com/office/drawing/2014/main" id="{00000000-0008-0000-0300-0000EB1A0000}"/>
            </a:ext>
          </a:extLst>
        </xdr:cNvPr>
        <xdr:cNvSpPr txBox="1">
          <a:spLocks noChangeArrowheads="1"/>
        </xdr:cNvSpPr>
      </xdr:nvSpPr>
      <xdr:spPr bwMode="auto">
        <a:xfrm>
          <a:off x="6991350" y="1200150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76200</xdr:colOff>
      <xdr:row>7</xdr:row>
      <xdr:rowOff>0</xdr:rowOff>
    </xdr:to>
    <xdr:sp macro="" textlink="">
      <xdr:nvSpPr>
        <xdr:cNvPr id="6892" name="Text Box 1">
          <a:extLst>
            <a:ext uri="{FF2B5EF4-FFF2-40B4-BE49-F238E27FC236}">
              <a16:creationId xmlns:a16="http://schemas.microsoft.com/office/drawing/2014/main" id="{00000000-0008-0000-0300-0000EC1A0000}"/>
            </a:ext>
          </a:extLst>
        </xdr:cNvPr>
        <xdr:cNvSpPr txBox="1">
          <a:spLocks noChangeArrowheads="1"/>
        </xdr:cNvSpPr>
      </xdr:nvSpPr>
      <xdr:spPr bwMode="auto">
        <a:xfrm>
          <a:off x="6991350" y="1200150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76200</xdr:colOff>
      <xdr:row>7</xdr:row>
      <xdr:rowOff>0</xdr:rowOff>
    </xdr:to>
    <xdr:sp macro="" textlink="">
      <xdr:nvSpPr>
        <xdr:cNvPr id="6893" name="Text Box 1">
          <a:extLst>
            <a:ext uri="{FF2B5EF4-FFF2-40B4-BE49-F238E27FC236}">
              <a16:creationId xmlns:a16="http://schemas.microsoft.com/office/drawing/2014/main" id="{00000000-0008-0000-0300-0000ED1A0000}"/>
            </a:ext>
          </a:extLst>
        </xdr:cNvPr>
        <xdr:cNvSpPr txBox="1">
          <a:spLocks noChangeArrowheads="1"/>
        </xdr:cNvSpPr>
      </xdr:nvSpPr>
      <xdr:spPr bwMode="auto">
        <a:xfrm>
          <a:off x="6991350" y="1200150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76200</xdr:colOff>
      <xdr:row>7</xdr:row>
      <xdr:rowOff>0</xdr:rowOff>
    </xdr:to>
    <xdr:sp macro="" textlink="">
      <xdr:nvSpPr>
        <xdr:cNvPr id="6894" name="Text Box 2">
          <a:extLst>
            <a:ext uri="{FF2B5EF4-FFF2-40B4-BE49-F238E27FC236}">
              <a16:creationId xmlns:a16="http://schemas.microsoft.com/office/drawing/2014/main" id="{00000000-0008-0000-0300-0000EE1A0000}"/>
            </a:ext>
          </a:extLst>
        </xdr:cNvPr>
        <xdr:cNvSpPr txBox="1">
          <a:spLocks noChangeArrowheads="1"/>
        </xdr:cNvSpPr>
      </xdr:nvSpPr>
      <xdr:spPr bwMode="auto">
        <a:xfrm>
          <a:off x="6991350" y="1200150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76200</xdr:colOff>
      <xdr:row>7</xdr:row>
      <xdr:rowOff>0</xdr:rowOff>
    </xdr:to>
    <xdr:sp macro="" textlink="">
      <xdr:nvSpPr>
        <xdr:cNvPr id="6895" name="Text Box 1">
          <a:extLst>
            <a:ext uri="{FF2B5EF4-FFF2-40B4-BE49-F238E27FC236}">
              <a16:creationId xmlns:a16="http://schemas.microsoft.com/office/drawing/2014/main" id="{00000000-0008-0000-0300-0000EF1A0000}"/>
            </a:ext>
          </a:extLst>
        </xdr:cNvPr>
        <xdr:cNvSpPr txBox="1">
          <a:spLocks noChangeArrowheads="1"/>
        </xdr:cNvSpPr>
      </xdr:nvSpPr>
      <xdr:spPr bwMode="auto">
        <a:xfrm>
          <a:off x="6991350" y="1200150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76200</xdr:colOff>
      <xdr:row>7</xdr:row>
      <xdr:rowOff>0</xdr:rowOff>
    </xdr:to>
    <xdr:sp macro="" textlink="">
      <xdr:nvSpPr>
        <xdr:cNvPr id="6896" name="Text Box 1">
          <a:extLst>
            <a:ext uri="{FF2B5EF4-FFF2-40B4-BE49-F238E27FC236}">
              <a16:creationId xmlns:a16="http://schemas.microsoft.com/office/drawing/2014/main" id="{00000000-0008-0000-0300-0000F01A0000}"/>
            </a:ext>
          </a:extLst>
        </xdr:cNvPr>
        <xdr:cNvSpPr txBox="1">
          <a:spLocks noChangeArrowheads="1"/>
        </xdr:cNvSpPr>
      </xdr:nvSpPr>
      <xdr:spPr bwMode="auto">
        <a:xfrm>
          <a:off x="6991350" y="1200150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76200</xdr:colOff>
      <xdr:row>7</xdr:row>
      <xdr:rowOff>0</xdr:rowOff>
    </xdr:to>
    <xdr:sp macro="" textlink="">
      <xdr:nvSpPr>
        <xdr:cNvPr id="6897" name="Text Box 2">
          <a:extLst>
            <a:ext uri="{FF2B5EF4-FFF2-40B4-BE49-F238E27FC236}">
              <a16:creationId xmlns:a16="http://schemas.microsoft.com/office/drawing/2014/main" id="{00000000-0008-0000-0300-0000F11A0000}"/>
            </a:ext>
          </a:extLst>
        </xdr:cNvPr>
        <xdr:cNvSpPr txBox="1">
          <a:spLocks noChangeArrowheads="1"/>
        </xdr:cNvSpPr>
      </xdr:nvSpPr>
      <xdr:spPr bwMode="auto">
        <a:xfrm>
          <a:off x="6991350" y="1200150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76200</xdr:colOff>
      <xdr:row>7</xdr:row>
      <xdr:rowOff>0</xdr:rowOff>
    </xdr:to>
    <xdr:sp macro="" textlink="">
      <xdr:nvSpPr>
        <xdr:cNvPr id="6898" name="Text Box 1">
          <a:extLst>
            <a:ext uri="{FF2B5EF4-FFF2-40B4-BE49-F238E27FC236}">
              <a16:creationId xmlns:a16="http://schemas.microsoft.com/office/drawing/2014/main" id="{00000000-0008-0000-0300-0000F21A0000}"/>
            </a:ext>
          </a:extLst>
        </xdr:cNvPr>
        <xdr:cNvSpPr txBox="1">
          <a:spLocks noChangeArrowheads="1"/>
        </xdr:cNvSpPr>
      </xdr:nvSpPr>
      <xdr:spPr bwMode="auto">
        <a:xfrm>
          <a:off x="6991350" y="1200150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76200</xdr:colOff>
      <xdr:row>7</xdr:row>
      <xdr:rowOff>0</xdr:rowOff>
    </xdr:to>
    <xdr:sp macro="" textlink="">
      <xdr:nvSpPr>
        <xdr:cNvPr id="6899" name="Text Box 1">
          <a:extLst>
            <a:ext uri="{FF2B5EF4-FFF2-40B4-BE49-F238E27FC236}">
              <a16:creationId xmlns:a16="http://schemas.microsoft.com/office/drawing/2014/main" id="{00000000-0008-0000-0300-0000F31A0000}"/>
            </a:ext>
          </a:extLst>
        </xdr:cNvPr>
        <xdr:cNvSpPr txBox="1">
          <a:spLocks noChangeArrowheads="1"/>
        </xdr:cNvSpPr>
      </xdr:nvSpPr>
      <xdr:spPr bwMode="auto">
        <a:xfrm>
          <a:off x="6991350" y="1200150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76200</xdr:colOff>
      <xdr:row>7</xdr:row>
      <xdr:rowOff>0</xdr:rowOff>
    </xdr:to>
    <xdr:sp macro="" textlink="">
      <xdr:nvSpPr>
        <xdr:cNvPr id="6900" name="Text Box 1">
          <a:extLst>
            <a:ext uri="{FF2B5EF4-FFF2-40B4-BE49-F238E27FC236}">
              <a16:creationId xmlns:a16="http://schemas.microsoft.com/office/drawing/2014/main" id="{00000000-0008-0000-0300-0000F41A0000}"/>
            </a:ext>
          </a:extLst>
        </xdr:cNvPr>
        <xdr:cNvSpPr txBox="1">
          <a:spLocks noChangeArrowheads="1"/>
        </xdr:cNvSpPr>
      </xdr:nvSpPr>
      <xdr:spPr bwMode="auto">
        <a:xfrm>
          <a:off x="6991350" y="1200150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76200</xdr:colOff>
      <xdr:row>7</xdr:row>
      <xdr:rowOff>0</xdr:rowOff>
    </xdr:to>
    <xdr:sp macro="" textlink="">
      <xdr:nvSpPr>
        <xdr:cNvPr id="6901" name="Text Box 2">
          <a:extLst>
            <a:ext uri="{FF2B5EF4-FFF2-40B4-BE49-F238E27FC236}">
              <a16:creationId xmlns:a16="http://schemas.microsoft.com/office/drawing/2014/main" id="{00000000-0008-0000-0300-0000F51A0000}"/>
            </a:ext>
          </a:extLst>
        </xdr:cNvPr>
        <xdr:cNvSpPr txBox="1">
          <a:spLocks noChangeArrowheads="1"/>
        </xdr:cNvSpPr>
      </xdr:nvSpPr>
      <xdr:spPr bwMode="auto">
        <a:xfrm>
          <a:off x="6991350" y="1200150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76200</xdr:colOff>
      <xdr:row>7</xdr:row>
      <xdr:rowOff>0</xdr:rowOff>
    </xdr:to>
    <xdr:sp macro="" textlink="">
      <xdr:nvSpPr>
        <xdr:cNvPr id="6902" name="Text Box 1">
          <a:extLst>
            <a:ext uri="{FF2B5EF4-FFF2-40B4-BE49-F238E27FC236}">
              <a16:creationId xmlns:a16="http://schemas.microsoft.com/office/drawing/2014/main" id="{00000000-0008-0000-0300-0000F61A0000}"/>
            </a:ext>
          </a:extLst>
        </xdr:cNvPr>
        <xdr:cNvSpPr txBox="1">
          <a:spLocks noChangeArrowheads="1"/>
        </xdr:cNvSpPr>
      </xdr:nvSpPr>
      <xdr:spPr bwMode="auto">
        <a:xfrm>
          <a:off x="6991350" y="1200150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76200</xdr:colOff>
      <xdr:row>7</xdr:row>
      <xdr:rowOff>0</xdr:rowOff>
    </xdr:to>
    <xdr:sp macro="" textlink="">
      <xdr:nvSpPr>
        <xdr:cNvPr id="6903" name="Text Box 1">
          <a:extLst>
            <a:ext uri="{FF2B5EF4-FFF2-40B4-BE49-F238E27FC236}">
              <a16:creationId xmlns:a16="http://schemas.microsoft.com/office/drawing/2014/main" id="{00000000-0008-0000-0300-0000F71A0000}"/>
            </a:ext>
          </a:extLst>
        </xdr:cNvPr>
        <xdr:cNvSpPr txBox="1">
          <a:spLocks noChangeArrowheads="1"/>
        </xdr:cNvSpPr>
      </xdr:nvSpPr>
      <xdr:spPr bwMode="auto">
        <a:xfrm>
          <a:off x="6991350" y="1200150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76200</xdr:colOff>
      <xdr:row>8</xdr:row>
      <xdr:rowOff>0</xdr:rowOff>
    </xdr:to>
    <xdr:sp macro="" textlink="">
      <xdr:nvSpPr>
        <xdr:cNvPr id="25" name="Text Box 1">
          <a:extLst>
            <a:ext uri="{FF2B5EF4-FFF2-40B4-BE49-F238E27FC236}">
              <a16:creationId xmlns:a16="http://schemas.microsoft.com/office/drawing/2014/main" id="{00000000-0008-0000-0300-000019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76200</xdr:colOff>
      <xdr:row>8</xdr:row>
      <xdr:rowOff>0</xdr:rowOff>
    </xdr:to>
    <xdr:sp macro="" textlink="">
      <xdr:nvSpPr>
        <xdr:cNvPr id="26" name="Text Box 2">
          <a:extLst>
            <a:ext uri="{FF2B5EF4-FFF2-40B4-BE49-F238E27FC236}">
              <a16:creationId xmlns:a16="http://schemas.microsoft.com/office/drawing/2014/main" id="{00000000-0008-0000-0300-00001A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76200</xdr:colOff>
      <xdr:row>8</xdr:row>
      <xdr:rowOff>0</xdr:rowOff>
    </xdr:to>
    <xdr:sp macro="" textlink="">
      <xdr:nvSpPr>
        <xdr:cNvPr id="27" name="Text Box 1">
          <a:extLst>
            <a:ext uri="{FF2B5EF4-FFF2-40B4-BE49-F238E27FC236}">
              <a16:creationId xmlns:a16="http://schemas.microsoft.com/office/drawing/2014/main" id="{00000000-0008-0000-0300-00001B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76200</xdr:colOff>
      <xdr:row>8</xdr:row>
      <xdr:rowOff>0</xdr:rowOff>
    </xdr:to>
    <xdr:sp macro="" textlink="">
      <xdr:nvSpPr>
        <xdr:cNvPr id="28" name="Text Box 1">
          <a:extLst>
            <a:ext uri="{FF2B5EF4-FFF2-40B4-BE49-F238E27FC236}">
              <a16:creationId xmlns:a16="http://schemas.microsoft.com/office/drawing/2014/main" id="{00000000-0008-0000-0300-00001C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76200</xdr:colOff>
      <xdr:row>8</xdr:row>
      <xdr:rowOff>0</xdr:rowOff>
    </xdr:to>
    <xdr:sp macro="" textlink="">
      <xdr:nvSpPr>
        <xdr:cNvPr id="29" name="Text Box 1">
          <a:extLst>
            <a:ext uri="{FF2B5EF4-FFF2-40B4-BE49-F238E27FC236}">
              <a16:creationId xmlns:a16="http://schemas.microsoft.com/office/drawing/2014/main" id="{00000000-0008-0000-0300-00001D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76200</xdr:colOff>
      <xdr:row>8</xdr:row>
      <xdr:rowOff>0</xdr:rowOff>
    </xdr:to>
    <xdr:sp macro="" textlink="">
      <xdr:nvSpPr>
        <xdr:cNvPr id="30" name="Text Box 2">
          <a:extLst>
            <a:ext uri="{FF2B5EF4-FFF2-40B4-BE49-F238E27FC236}">
              <a16:creationId xmlns:a16="http://schemas.microsoft.com/office/drawing/2014/main" id="{00000000-0008-0000-0300-00001E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76200</xdr:colOff>
      <xdr:row>8</xdr:row>
      <xdr:rowOff>0</xdr:rowOff>
    </xdr:to>
    <xdr:sp macro="" textlink="">
      <xdr:nvSpPr>
        <xdr:cNvPr id="31" name="Text Box 1">
          <a:extLst>
            <a:ext uri="{FF2B5EF4-FFF2-40B4-BE49-F238E27FC236}">
              <a16:creationId xmlns:a16="http://schemas.microsoft.com/office/drawing/2014/main" id="{00000000-0008-0000-0300-00001F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76200</xdr:colOff>
      <xdr:row>8</xdr:row>
      <xdr:rowOff>0</xdr:rowOff>
    </xdr:to>
    <xdr:sp macro="" textlink="">
      <xdr:nvSpPr>
        <xdr:cNvPr id="32" name="Text Box 1">
          <a:extLst>
            <a:ext uri="{FF2B5EF4-FFF2-40B4-BE49-F238E27FC236}">
              <a16:creationId xmlns:a16="http://schemas.microsoft.com/office/drawing/2014/main" id="{00000000-0008-0000-0300-000020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76200</xdr:colOff>
      <xdr:row>8</xdr:row>
      <xdr:rowOff>0</xdr:rowOff>
    </xdr:to>
    <xdr:sp macro="" textlink="">
      <xdr:nvSpPr>
        <xdr:cNvPr id="33" name="Text Box 1">
          <a:extLst>
            <a:ext uri="{FF2B5EF4-FFF2-40B4-BE49-F238E27FC236}">
              <a16:creationId xmlns:a16="http://schemas.microsoft.com/office/drawing/2014/main" id="{00000000-0008-0000-0300-000021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76200</xdr:colOff>
      <xdr:row>8</xdr:row>
      <xdr:rowOff>0</xdr:rowOff>
    </xdr:to>
    <xdr:sp macro="" textlink="">
      <xdr:nvSpPr>
        <xdr:cNvPr id="34" name="Text Box 2">
          <a:extLst>
            <a:ext uri="{FF2B5EF4-FFF2-40B4-BE49-F238E27FC236}">
              <a16:creationId xmlns:a16="http://schemas.microsoft.com/office/drawing/2014/main" id="{00000000-0008-0000-0300-000022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76200</xdr:colOff>
      <xdr:row>8</xdr:row>
      <xdr:rowOff>0</xdr:rowOff>
    </xdr:to>
    <xdr:sp macro="" textlink="">
      <xdr:nvSpPr>
        <xdr:cNvPr id="35" name="Text Box 1">
          <a:extLst>
            <a:ext uri="{FF2B5EF4-FFF2-40B4-BE49-F238E27FC236}">
              <a16:creationId xmlns:a16="http://schemas.microsoft.com/office/drawing/2014/main" id="{00000000-0008-0000-0300-000023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76200</xdr:colOff>
      <xdr:row>8</xdr:row>
      <xdr:rowOff>0</xdr:rowOff>
    </xdr:to>
    <xdr:sp macro="" textlink="">
      <xdr:nvSpPr>
        <xdr:cNvPr id="36" name="Text Box 1">
          <a:extLst>
            <a:ext uri="{FF2B5EF4-FFF2-40B4-BE49-F238E27FC236}">
              <a16:creationId xmlns:a16="http://schemas.microsoft.com/office/drawing/2014/main" id="{00000000-0008-0000-0300-000024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76200</xdr:colOff>
      <xdr:row>8</xdr:row>
      <xdr:rowOff>0</xdr:rowOff>
    </xdr:to>
    <xdr:sp macro="" textlink="">
      <xdr:nvSpPr>
        <xdr:cNvPr id="37" name="Text Box 1">
          <a:extLst>
            <a:ext uri="{FF2B5EF4-FFF2-40B4-BE49-F238E27FC236}">
              <a16:creationId xmlns:a16="http://schemas.microsoft.com/office/drawing/2014/main" id="{00000000-0008-0000-0300-000025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76200</xdr:colOff>
      <xdr:row>8</xdr:row>
      <xdr:rowOff>0</xdr:rowOff>
    </xdr:to>
    <xdr:sp macro="" textlink="">
      <xdr:nvSpPr>
        <xdr:cNvPr id="38" name="Text Box 2">
          <a:extLst>
            <a:ext uri="{FF2B5EF4-FFF2-40B4-BE49-F238E27FC236}">
              <a16:creationId xmlns:a16="http://schemas.microsoft.com/office/drawing/2014/main" id="{00000000-0008-0000-0300-000026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76200</xdr:colOff>
      <xdr:row>8</xdr:row>
      <xdr:rowOff>0</xdr:rowOff>
    </xdr:to>
    <xdr:sp macro="" textlink="">
      <xdr:nvSpPr>
        <xdr:cNvPr id="39" name="Text Box 1">
          <a:extLst>
            <a:ext uri="{FF2B5EF4-FFF2-40B4-BE49-F238E27FC236}">
              <a16:creationId xmlns:a16="http://schemas.microsoft.com/office/drawing/2014/main" id="{00000000-0008-0000-0300-000027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76200</xdr:colOff>
      <xdr:row>8</xdr:row>
      <xdr:rowOff>0</xdr:rowOff>
    </xdr:to>
    <xdr:sp macro="" textlink="">
      <xdr:nvSpPr>
        <xdr:cNvPr id="40" name="Text Box 1">
          <a:extLst>
            <a:ext uri="{FF2B5EF4-FFF2-40B4-BE49-F238E27FC236}">
              <a16:creationId xmlns:a16="http://schemas.microsoft.com/office/drawing/2014/main" id="{00000000-0008-0000-0300-000028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76200</xdr:colOff>
      <xdr:row>8</xdr:row>
      <xdr:rowOff>0</xdr:rowOff>
    </xdr:to>
    <xdr:sp macro="" textlink="">
      <xdr:nvSpPr>
        <xdr:cNvPr id="41" name="Text Box 2">
          <a:extLst>
            <a:ext uri="{FF2B5EF4-FFF2-40B4-BE49-F238E27FC236}">
              <a16:creationId xmlns:a16="http://schemas.microsoft.com/office/drawing/2014/main" id="{00000000-0008-0000-0300-000029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76200</xdr:colOff>
      <xdr:row>8</xdr:row>
      <xdr:rowOff>0</xdr:rowOff>
    </xdr:to>
    <xdr:sp macro="" textlink="">
      <xdr:nvSpPr>
        <xdr:cNvPr id="42" name="Text Box 1">
          <a:extLst>
            <a:ext uri="{FF2B5EF4-FFF2-40B4-BE49-F238E27FC236}">
              <a16:creationId xmlns:a16="http://schemas.microsoft.com/office/drawing/2014/main" id="{00000000-0008-0000-0300-00002A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76200</xdr:colOff>
      <xdr:row>8</xdr:row>
      <xdr:rowOff>0</xdr:rowOff>
    </xdr:to>
    <xdr:sp macro="" textlink="">
      <xdr:nvSpPr>
        <xdr:cNvPr id="43" name="Text Box 1">
          <a:extLst>
            <a:ext uri="{FF2B5EF4-FFF2-40B4-BE49-F238E27FC236}">
              <a16:creationId xmlns:a16="http://schemas.microsoft.com/office/drawing/2014/main" id="{00000000-0008-0000-0300-00002B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76200</xdr:colOff>
      <xdr:row>8</xdr:row>
      <xdr:rowOff>0</xdr:rowOff>
    </xdr:to>
    <xdr:sp macro="" textlink="">
      <xdr:nvSpPr>
        <xdr:cNvPr id="44" name="Text Box 1">
          <a:extLst>
            <a:ext uri="{FF2B5EF4-FFF2-40B4-BE49-F238E27FC236}">
              <a16:creationId xmlns:a16="http://schemas.microsoft.com/office/drawing/2014/main" id="{00000000-0008-0000-0300-00002C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76200</xdr:colOff>
      <xdr:row>8</xdr:row>
      <xdr:rowOff>0</xdr:rowOff>
    </xdr:to>
    <xdr:sp macro="" textlink="">
      <xdr:nvSpPr>
        <xdr:cNvPr id="45" name="Text Box 2">
          <a:extLst>
            <a:ext uri="{FF2B5EF4-FFF2-40B4-BE49-F238E27FC236}">
              <a16:creationId xmlns:a16="http://schemas.microsoft.com/office/drawing/2014/main" id="{00000000-0008-0000-0300-00002D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76200</xdr:colOff>
      <xdr:row>8</xdr:row>
      <xdr:rowOff>0</xdr:rowOff>
    </xdr:to>
    <xdr:sp macro="" textlink="">
      <xdr:nvSpPr>
        <xdr:cNvPr id="46" name="Text Box 1">
          <a:extLst>
            <a:ext uri="{FF2B5EF4-FFF2-40B4-BE49-F238E27FC236}">
              <a16:creationId xmlns:a16="http://schemas.microsoft.com/office/drawing/2014/main" id="{00000000-0008-0000-0300-00002E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76200</xdr:colOff>
      <xdr:row>8</xdr:row>
      <xdr:rowOff>0</xdr:rowOff>
    </xdr:to>
    <xdr:sp macro="" textlink="">
      <xdr:nvSpPr>
        <xdr:cNvPr id="47" name="Text Box 1">
          <a:extLst>
            <a:ext uri="{FF2B5EF4-FFF2-40B4-BE49-F238E27FC236}">
              <a16:creationId xmlns:a16="http://schemas.microsoft.com/office/drawing/2014/main" id="{00000000-0008-0000-0300-00002F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8</xdr:row>
      <xdr:rowOff>0</xdr:rowOff>
    </xdr:from>
    <xdr:to>
      <xdr:col>4</xdr:col>
      <xdr:colOff>76200</xdr:colOff>
      <xdr:row>9</xdr:row>
      <xdr:rowOff>0</xdr:rowOff>
    </xdr:to>
    <xdr:sp macro="" textlink="">
      <xdr:nvSpPr>
        <xdr:cNvPr id="48" name="Text Box 1">
          <a:extLst>
            <a:ext uri="{FF2B5EF4-FFF2-40B4-BE49-F238E27FC236}">
              <a16:creationId xmlns:a16="http://schemas.microsoft.com/office/drawing/2014/main" id="{00000000-0008-0000-0300-000030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8</xdr:row>
      <xdr:rowOff>0</xdr:rowOff>
    </xdr:from>
    <xdr:to>
      <xdr:col>4</xdr:col>
      <xdr:colOff>76200</xdr:colOff>
      <xdr:row>9</xdr:row>
      <xdr:rowOff>0</xdr:rowOff>
    </xdr:to>
    <xdr:sp macro="" textlink="">
      <xdr:nvSpPr>
        <xdr:cNvPr id="49" name="Text Box 2">
          <a:extLst>
            <a:ext uri="{FF2B5EF4-FFF2-40B4-BE49-F238E27FC236}">
              <a16:creationId xmlns:a16="http://schemas.microsoft.com/office/drawing/2014/main" id="{00000000-0008-0000-0300-000031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8</xdr:row>
      <xdr:rowOff>0</xdr:rowOff>
    </xdr:from>
    <xdr:to>
      <xdr:col>4</xdr:col>
      <xdr:colOff>76200</xdr:colOff>
      <xdr:row>9</xdr:row>
      <xdr:rowOff>0</xdr:rowOff>
    </xdr:to>
    <xdr:sp macro="" textlink="">
      <xdr:nvSpPr>
        <xdr:cNvPr id="50" name="Text Box 1">
          <a:extLst>
            <a:ext uri="{FF2B5EF4-FFF2-40B4-BE49-F238E27FC236}">
              <a16:creationId xmlns:a16="http://schemas.microsoft.com/office/drawing/2014/main" id="{00000000-0008-0000-0300-000032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8</xdr:row>
      <xdr:rowOff>0</xdr:rowOff>
    </xdr:from>
    <xdr:to>
      <xdr:col>4</xdr:col>
      <xdr:colOff>76200</xdr:colOff>
      <xdr:row>9</xdr:row>
      <xdr:rowOff>0</xdr:rowOff>
    </xdr:to>
    <xdr:sp macro="" textlink="">
      <xdr:nvSpPr>
        <xdr:cNvPr id="51" name="Text Box 1">
          <a:extLst>
            <a:ext uri="{FF2B5EF4-FFF2-40B4-BE49-F238E27FC236}">
              <a16:creationId xmlns:a16="http://schemas.microsoft.com/office/drawing/2014/main" id="{00000000-0008-0000-0300-000033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8</xdr:row>
      <xdr:rowOff>0</xdr:rowOff>
    </xdr:from>
    <xdr:to>
      <xdr:col>4</xdr:col>
      <xdr:colOff>76200</xdr:colOff>
      <xdr:row>9</xdr:row>
      <xdr:rowOff>0</xdr:rowOff>
    </xdr:to>
    <xdr:sp macro="" textlink="">
      <xdr:nvSpPr>
        <xdr:cNvPr id="52" name="Text Box 1">
          <a:extLst>
            <a:ext uri="{FF2B5EF4-FFF2-40B4-BE49-F238E27FC236}">
              <a16:creationId xmlns:a16="http://schemas.microsoft.com/office/drawing/2014/main" id="{00000000-0008-0000-0300-000034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8</xdr:row>
      <xdr:rowOff>0</xdr:rowOff>
    </xdr:from>
    <xdr:to>
      <xdr:col>4</xdr:col>
      <xdr:colOff>76200</xdr:colOff>
      <xdr:row>9</xdr:row>
      <xdr:rowOff>0</xdr:rowOff>
    </xdr:to>
    <xdr:sp macro="" textlink="">
      <xdr:nvSpPr>
        <xdr:cNvPr id="53" name="Text Box 2">
          <a:extLst>
            <a:ext uri="{FF2B5EF4-FFF2-40B4-BE49-F238E27FC236}">
              <a16:creationId xmlns:a16="http://schemas.microsoft.com/office/drawing/2014/main" id="{00000000-0008-0000-0300-000035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8</xdr:row>
      <xdr:rowOff>0</xdr:rowOff>
    </xdr:from>
    <xdr:to>
      <xdr:col>4</xdr:col>
      <xdr:colOff>76200</xdr:colOff>
      <xdr:row>9</xdr:row>
      <xdr:rowOff>0</xdr:rowOff>
    </xdr:to>
    <xdr:sp macro="" textlink="">
      <xdr:nvSpPr>
        <xdr:cNvPr id="54" name="Text Box 1">
          <a:extLst>
            <a:ext uri="{FF2B5EF4-FFF2-40B4-BE49-F238E27FC236}">
              <a16:creationId xmlns:a16="http://schemas.microsoft.com/office/drawing/2014/main" id="{00000000-0008-0000-0300-000036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8</xdr:row>
      <xdr:rowOff>0</xdr:rowOff>
    </xdr:from>
    <xdr:to>
      <xdr:col>4</xdr:col>
      <xdr:colOff>76200</xdr:colOff>
      <xdr:row>9</xdr:row>
      <xdr:rowOff>0</xdr:rowOff>
    </xdr:to>
    <xdr:sp macro="" textlink="">
      <xdr:nvSpPr>
        <xdr:cNvPr id="55" name="Text Box 1">
          <a:extLst>
            <a:ext uri="{FF2B5EF4-FFF2-40B4-BE49-F238E27FC236}">
              <a16:creationId xmlns:a16="http://schemas.microsoft.com/office/drawing/2014/main" id="{00000000-0008-0000-0300-000037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8</xdr:row>
      <xdr:rowOff>0</xdr:rowOff>
    </xdr:from>
    <xdr:to>
      <xdr:col>4</xdr:col>
      <xdr:colOff>76200</xdr:colOff>
      <xdr:row>9</xdr:row>
      <xdr:rowOff>0</xdr:rowOff>
    </xdr:to>
    <xdr:sp macro="" textlink="">
      <xdr:nvSpPr>
        <xdr:cNvPr id="56" name="Text Box 1">
          <a:extLst>
            <a:ext uri="{FF2B5EF4-FFF2-40B4-BE49-F238E27FC236}">
              <a16:creationId xmlns:a16="http://schemas.microsoft.com/office/drawing/2014/main" id="{00000000-0008-0000-0300-000038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8</xdr:row>
      <xdr:rowOff>0</xdr:rowOff>
    </xdr:from>
    <xdr:to>
      <xdr:col>4</xdr:col>
      <xdr:colOff>76200</xdr:colOff>
      <xdr:row>9</xdr:row>
      <xdr:rowOff>0</xdr:rowOff>
    </xdr:to>
    <xdr:sp macro="" textlink="">
      <xdr:nvSpPr>
        <xdr:cNvPr id="57" name="Text Box 2">
          <a:extLst>
            <a:ext uri="{FF2B5EF4-FFF2-40B4-BE49-F238E27FC236}">
              <a16:creationId xmlns:a16="http://schemas.microsoft.com/office/drawing/2014/main" id="{00000000-0008-0000-0300-000039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8</xdr:row>
      <xdr:rowOff>0</xdr:rowOff>
    </xdr:from>
    <xdr:to>
      <xdr:col>4</xdr:col>
      <xdr:colOff>76200</xdr:colOff>
      <xdr:row>9</xdr:row>
      <xdr:rowOff>0</xdr:rowOff>
    </xdr:to>
    <xdr:sp macro="" textlink="">
      <xdr:nvSpPr>
        <xdr:cNvPr id="58" name="Text Box 1">
          <a:extLst>
            <a:ext uri="{FF2B5EF4-FFF2-40B4-BE49-F238E27FC236}">
              <a16:creationId xmlns:a16="http://schemas.microsoft.com/office/drawing/2014/main" id="{00000000-0008-0000-0300-00003A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8</xdr:row>
      <xdr:rowOff>0</xdr:rowOff>
    </xdr:from>
    <xdr:to>
      <xdr:col>4</xdr:col>
      <xdr:colOff>76200</xdr:colOff>
      <xdr:row>9</xdr:row>
      <xdr:rowOff>0</xdr:rowOff>
    </xdr:to>
    <xdr:sp macro="" textlink="">
      <xdr:nvSpPr>
        <xdr:cNvPr id="59" name="Text Box 1">
          <a:extLst>
            <a:ext uri="{FF2B5EF4-FFF2-40B4-BE49-F238E27FC236}">
              <a16:creationId xmlns:a16="http://schemas.microsoft.com/office/drawing/2014/main" id="{00000000-0008-0000-0300-00003B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8</xdr:row>
      <xdr:rowOff>0</xdr:rowOff>
    </xdr:from>
    <xdr:to>
      <xdr:col>4</xdr:col>
      <xdr:colOff>76200</xdr:colOff>
      <xdr:row>9</xdr:row>
      <xdr:rowOff>0</xdr:rowOff>
    </xdr:to>
    <xdr:sp macro="" textlink="">
      <xdr:nvSpPr>
        <xdr:cNvPr id="60" name="Text Box 1">
          <a:extLst>
            <a:ext uri="{FF2B5EF4-FFF2-40B4-BE49-F238E27FC236}">
              <a16:creationId xmlns:a16="http://schemas.microsoft.com/office/drawing/2014/main" id="{00000000-0008-0000-0300-00003C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8</xdr:row>
      <xdr:rowOff>0</xdr:rowOff>
    </xdr:from>
    <xdr:to>
      <xdr:col>4</xdr:col>
      <xdr:colOff>76200</xdr:colOff>
      <xdr:row>9</xdr:row>
      <xdr:rowOff>0</xdr:rowOff>
    </xdr:to>
    <xdr:sp macro="" textlink="">
      <xdr:nvSpPr>
        <xdr:cNvPr id="61" name="Text Box 2">
          <a:extLst>
            <a:ext uri="{FF2B5EF4-FFF2-40B4-BE49-F238E27FC236}">
              <a16:creationId xmlns:a16="http://schemas.microsoft.com/office/drawing/2014/main" id="{00000000-0008-0000-0300-00003D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8</xdr:row>
      <xdr:rowOff>0</xdr:rowOff>
    </xdr:from>
    <xdr:to>
      <xdr:col>4</xdr:col>
      <xdr:colOff>76200</xdr:colOff>
      <xdr:row>9</xdr:row>
      <xdr:rowOff>0</xdr:rowOff>
    </xdr:to>
    <xdr:sp macro="" textlink="">
      <xdr:nvSpPr>
        <xdr:cNvPr id="62" name="Text Box 1">
          <a:extLst>
            <a:ext uri="{FF2B5EF4-FFF2-40B4-BE49-F238E27FC236}">
              <a16:creationId xmlns:a16="http://schemas.microsoft.com/office/drawing/2014/main" id="{00000000-0008-0000-0300-00003E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8</xdr:row>
      <xdr:rowOff>0</xdr:rowOff>
    </xdr:from>
    <xdr:to>
      <xdr:col>4</xdr:col>
      <xdr:colOff>76200</xdr:colOff>
      <xdr:row>9</xdr:row>
      <xdr:rowOff>0</xdr:rowOff>
    </xdr:to>
    <xdr:sp macro="" textlink="">
      <xdr:nvSpPr>
        <xdr:cNvPr id="63" name="Text Box 1">
          <a:extLst>
            <a:ext uri="{FF2B5EF4-FFF2-40B4-BE49-F238E27FC236}">
              <a16:creationId xmlns:a16="http://schemas.microsoft.com/office/drawing/2014/main" id="{00000000-0008-0000-0300-00003F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8</xdr:row>
      <xdr:rowOff>0</xdr:rowOff>
    </xdr:from>
    <xdr:to>
      <xdr:col>4</xdr:col>
      <xdr:colOff>76200</xdr:colOff>
      <xdr:row>9</xdr:row>
      <xdr:rowOff>0</xdr:rowOff>
    </xdr:to>
    <xdr:sp macro="" textlink="">
      <xdr:nvSpPr>
        <xdr:cNvPr id="64" name="Text Box 2">
          <a:extLst>
            <a:ext uri="{FF2B5EF4-FFF2-40B4-BE49-F238E27FC236}">
              <a16:creationId xmlns:a16="http://schemas.microsoft.com/office/drawing/2014/main" id="{00000000-0008-0000-0300-000040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8</xdr:row>
      <xdr:rowOff>0</xdr:rowOff>
    </xdr:from>
    <xdr:to>
      <xdr:col>4</xdr:col>
      <xdr:colOff>76200</xdr:colOff>
      <xdr:row>9</xdr:row>
      <xdr:rowOff>0</xdr:rowOff>
    </xdr:to>
    <xdr:sp macro="" textlink="">
      <xdr:nvSpPr>
        <xdr:cNvPr id="65" name="Text Box 1">
          <a:extLst>
            <a:ext uri="{FF2B5EF4-FFF2-40B4-BE49-F238E27FC236}">
              <a16:creationId xmlns:a16="http://schemas.microsoft.com/office/drawing/2014/main" id="{00000000-0008-0000-0300-000041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8</xdr:row>
      <xdr:rowOff>0</xdr:rowOff>
    </xdr:from>
    <xdr:to>
      <xdr:col>4</xdr:col>
      <xdr:colOff>76200</xdr:colOff>
      <xdr:row>9</xdr:row>
      <xdr:rowOff>0</xdr:rowOff>
    </xdr:to>
    <xdr:sp macro="" textlink="">
      <xdr:nvSpPr>
        <xdr:cNvPr id="66" name="Text Box 1">
          <a:extLst>
            <a:ext uri="{FF2B5EF4-FFF2-40B4-BE49-F238E27FC236}">
              <a16:creationId xmlns:a16="http://schemas.microsoft.com/office/drawing/2014/main" id="{00000000-0008-0000-0300-000042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8</xdr:row>
      <xdr:rowOff>0</xdr:rowOff>
    </xdr:from>
    <xdr:to>
      <xdr:col>4</xdr:col>
      <xdr:colOff>76200</xdr:colOff>
      <xdr:row>9</xdr:row>
      <xdr:rowOff>0</xdr:rowOff>
    </xdr:to>
    <xdr:sp macro="" textlink="">
      <xdr:nvSpPr>
        <xdr:cNvPr id="67" name="Text Box 1">
          <a:extLst>
            <a:ext uri="{FF2B5EF4-FFF2-40B4-BE49-F238E27FC236}">
              <a16:creationId xmlns:a16="http://schemas.microsoft.com/office/drawing/2014/main" id="{00000000-0008-0000-0300-000043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8</xdr:row>
      <xdr:rowOff>0</xdr:rowOff>
    </xdr:from>
    <xdr:to>
      <xdr:col>4</xdr:col>
      <xdr:colOff>76200</xdr:colOff>
      <xdr:row>9</xdr:row>
      <xdr:rowOff>0</xdr:rowOff>
    </xdr:to>
    <xdr:sp macro="" textlink="">
      <xdr:nvSpPr>
        <xdr:cNvPr id="68" name="Text Box 2">
          <a:extLst>
            <a:ext uri="{FF2B5EF4-FFF2-40B4-BE49-F238E27FC236}">
              <a16:creationId xmlns:a16="http://schemas.microsoft.com/office/drawing/2014/main" id="{00000000-0008-0000-0300-000044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8</xdr:row>
      <xdr:rowOff>0</xdr:rowOff>
    </xdr:from>
    <xdr:to>
      <xdr:col>4</xdr:col>
      <xdr:colOff>76200</xdr:colOff>
      <xdr:row>9</xdr:row>
      <xdr:rowOff>0</xdr:rowOff>
    </xdr:to>
    <xdr:sp macro="" textlink="">
      <xdr:nvSpPr>
        <xdr:cNvPr id="69" name="Text Box 1">
          <a:extLst>
            <a:ext uri="{FF2B5EF4-FFF2-40B4-BE49-F238E27FC236}">
              <a16:creationId xmlns:a16="http://schemas.microsoft.com/office/drawing/2014/main" id="{00000000-0008-0000-0300-000045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8</xdr:row>
      <xdr:rowOff>0</xdr:rowOff>
    </xdr:from>
    <xdr:to>
      <xdr:col>4</xdr:col>
      <xdr:colOff>76200</xdr:colOff>
      <xdr:row>9</xdr:row>
      <xdr:rowOff>0</xdr:rowOff>
    </xdr:to>
    <xdr:sp macro="" textlink="">
      <xdr:nvSpPr>
        <xdr:cNvPr id="70" name="Text Box 1">
          <a:extLst>
            <a:ext uri="{FF2B5EF4-FFF2-40B4-BE49-F238E27FC236}">
              <a16:creationId xmlns:a16="http://schemas.microsoft.com/office/drawing/2014/main" id="{00000000-0008-0000-0300-000046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9</xdr:row>
      <xdr:rowOff>0</xdr:rowOff>
    </xdr:from>
    <xdr:to>
      <xdr:col>4</xdr:col>
      <xdr:colOff>76200</xdr:colOff>
      <xdr:row>10</xdr:row>
      <xdr:rowOff>0</xdr:rowOff>
    </xdr:to>
    <xdr:sp macro="" textlink="">
      <xdr:nvSpPr>
        <xdr:cNvPr id="71" name="Text Box 1">
          <a:extLst>
            <a:ext uri="{FF2B5EF4-FFF2-40B4-BE49-F238E27FC236}">
              <a16:creationId xmlns:a16="http://schemas.microsoft.com/office/drawing/2014/main" id="{00000000-0008-0000-0300-000047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9</xdr:row>
      <xdr:rowOff>0</xdr:rowOff>
    </xdr:from>
    <xdr:to>
      <xdr:col>4</xdr:col>
      <xdr:colOff>76200</xdr:colOff>
      <xdr:row>10</xdr:row>
      <xdr:rowOff>0</xdr:rowOff>
    </xdr:to>
    <xdr:sp macro="" textlink="">
      <xdr:nvSpPr>
        <xdr:cNvPr id="72" name="Text Box 2">
          <a:extLst>
            <a:ext uri="{FF2B5EF4-FFF2-40B4-BE49-F238E27FC236}">
              <a16:creationId xmlns:a16="http://schemas.microsoft.com/office/drawing/2014/main" id="{00000000-0008-0000-0300-000048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9</xdr:row>
      <xdr:rowOff>0</xdr:rowOff>
    </xdr:from>
    <xdr:to>
      <xdr:col>4</xdr:col>
      <xdr:colOff>76200</xdr:colOff>
      <xdr:row>10</xdr:row>
      <xdr:rowOff>0</xdr:rowOff>
    </xdr:to>
    <xdr:sp macro="" textlink="">
      <xdr:nvSpPr>
        <xdr:cNvPr id="73" name="Text Box 1">
          <a:extLst>
            <a:ext uri="{FF2B5EF4-FFF2-40B4-BE49-F238E27FC236}">
              <a16:creationId xmlns:a16="http://schemas.microsoft.com/office/drawing/2014/main" id="{00000000-0008-0000-0300-000049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9</xdr:row>
      <xdr:rowOff>0</xdr:rowOff>
    </xdr:from>
    <xdr:to>
      <xdr:col>4</xdr:col>
      <xdr:colOff>76200</xdr:colOff>
      <xdr:row>10</xdr:row>
      <xdr:rowOff>0</xdr:rowOff>
    </xdr:to>
    <xdr:sp macro="" textlink="">
      <xdr:nvSpPr>
        <xdr:cNvPr id="74" name="Text Box 1">
          <a:extLst>
            <a:ext uri="{FF2B5EF4-FFF2-40B4-BE49-F238E27FC236}">
              <a16:creationId xmlns:a16="http://schemas.microsoft.com/office/drawing/2014/main" id="{00000000-0008-0000-0300-00004A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9</xdr:row>
      <xdr:rowOff>0</xdr:rowOff>
    </xdr:from>
    <xdr:to>
      <xdr:col>4</xdr:col>
      <xdr:colOff>76200</xdr:colOff>
      <xdr:row>10</xdr:row>
      <xdr:rowOff>0</xdr:rowOff>
    </xdr:to>
    <xdr:sp macro="" textlink="">
      <xdr:nvSpPr>
        <xdr:cNvPr id="75" name="Text Box 1">
          <a:extLst>
            <a:ext uri="{FF2B5EF4-FFF2-40B4-BE49-F238E27FC236}">
              <a16:creationId xmlns:a16="http://schemas.microsoft.com/office/drawing/2014/main" id="{00000000-0008-0000-0300-00004B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9</xdr:row>
      <xdr:rowOff>0</xdr:rowOff>
    </xdr:from>
    <xdr:to>
      <xdr:col>4</xdr:col>
      <xdr:colOff>76200</xdr:colOff>
      <xdr:row>10</xdr:row>
      <xdr:rowOff>0</xdr:rowOff>
    </xdr:to>
    <xdr:sp macro="" textlink="">
      <xdr:nvSpPr>
        <xdr:cNvPr id="76" name="Text Box 2">
          <a:extLst>
            <a:ext uri="{FF2B5EF4-FFF2-40B4-BE49-F238E27FC236}">
              <a16:creationId xmlns:a16="http://schemas.microsoft.com/office/drawing/2014/main" id="{00000000-0008-0000-0300-00004C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9</xdr:row>
      <xdr:rowOff>0</xdr:rowOff>
    </xdr:from>
    <xdr:to>
      <xdr:col>4</xdr:col>
      <xdr:colOff>76200</xdr:colOff>
      <xdr:row>10</xdr:row>
      <xdr:rowOff>0</xdr:rowOff>
    </xdr:to>
    <xdr:sp macro="" textlink="">
      <xdr:nvSpPr>
        <xdr:cNvPr id="77" name="Text Box 1">
          <a:extLst>
            <a:ext uri="{FF2B5EF4-FFF2-40B4-BE49-F238E27FC236}">
              <a16:creationId xmlns:a16="http://schemas.microsoft.com/office/drawing/2014/main" id="{00000000-0008-0000-0300-00004D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9</xdr:row>
      <xdr:rowOff>0</xdr:rowOff>
    </xdr:from>
    <xdr:to>
      <xdr:col>4</xdr:col>
      <xdr:colOff>76200</xdr:colOff>
      <xdr:row>10</xdr:row>
      <xdr:rowOff>0</xdr:rowOff>
    </xdr:to>
    <xdr:sp macro="" textlink="">
      <xdr:nvSpPr>
        <xdr:cNvPr id="78" name="Text Box 1">
          <a:extLst>
            <a:ext uri="{FF2B5EF4-FFF2-40B4-BE49-F238E27FC236}">
              <a16:creationId xmlns:a16="http://schemas.microsoft.com/office/drawing/2014/main" id="{00000000-0008-0000-0300-00004E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9</xdr:row>
      <xdr:rowOff>0</xdr:rowOff>
    </xdr:from>
    <xdr:to>
      <xdr:col>4</xdr:col>
      <xdr:colOff>76200</xdr:colOff>
      <xdr:row>10</xdr:row>
      <xdr:rowOff>0</xdr:rowOff>
    </xdr:to>
    <xdr:sp macro="" textlink="">
      <xdr:nvSpPr>
        <xdr:cNvPr id="79" name="Text Box 1">
          <a:extLst>
            <a:ext uri="{FF2B5EF4-FFF2-40B4-BE49-F238E27FC236}">
              <a16:creationId xmlns:a16="http://schemas.microsoft.com/office/drawing/2014/main" id="{00000000-0008-0000-0300-00004F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9</xdr:row>
      <xdr:rowOff>0</xdr:rowOff>
    </xdr:from>
    <xdr:to>
      <xdr:col>4</xdr:col>
      <xdr:colOff>76200</xdr:colOff>
      <xdr:row>10</xdr:row>
      <xdr:rowOff>0</xdr:rowOff>
    </xdr:to>
    <xdr:sp macro="" textlink="">
      <xdr:nvSpPr>
        <xdr:cNvPr id="80" name="Text Box 2">
          <a:extLst>
            <a:ext uri="{FF2B5EF4-FFF2-40B4-BE49-F238E27FC236}">
              <a16:creationId xmlns:a16="http://schemas.microsoft.com/office/drawing/2014/main" id="{00000000-0008-0000-0300-000050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9</xdr:row>
      <xdr:rowOff>0</xdr:rowOff>
    </xdr:from>
    <xdr:to>
      <xdr:col>4</xdr:col>
      <xdr:colOff>76200</xdr:colOff>
      <xdr:row>10</xdr:row>
      <xdr:rowOff>0</xdr:rowOff>
    </xdr:to>
    <xdr:sp macro="" textlink="">
      <xdr:nvSpPr>
        <xdr:cNvPr id="81" name="Text Box 1">
          <a:extLst>
            <a:ext uri="{FF2B5EF4-FFF2-40B4-BE49-F238E27FC236}">
              <a16:creationId xmlns:a16="http://schemas.microsoft.com/office/drawing/2014/main" id="{00000000-0008-0000-0300-000051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9</xdr:row>
      <xdr:rowOff>0</xdr:rowOff>
    </xdr:from>
    <xdr:to>
      <xdr:col>4</xdr:col>
      <xdr:colOff>76200</xdr:colOff>
      <xdr:row>10</xdr:row>
      <xdr:rowOff>0</xdr:rowOff>
    </xdr:to>
    <xdr:sp macro="" textlink="">
      <xdr:nvSpPr>
        <xdr:cNvPr id="82" name="Text Box 1">
          <a:extLst>
            <a:ext uri="{FF2B5EF4-FFF2-40B4-BE49-F238E27FC236}">
              <a16:creationId xmlns:a16="http://schemas.microsoft.com/office/drawing/2014/main" id="{00000000-0008-0000-0300-000052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9</xdr:row>
      <xdr:rowOff>0</xdr:rowOff>
    </xdr:from>
    <xdr:to>
      <xdr:col>4</xdr:col>
      <xdr:colOff>76200</xdr:colOff>
      <xdr:row>10</xdr:row>
      <xdr:rowOff>0</xdr:rowOff>
    </xdr:to>
    <xdr:sp macro="" textlink="">
      <xdr:nvSpPr>
        <xdr:cNvPr id="83" name="Text Box 1">
          <a:extLst>
            <a:ext uri="{FF2B5EF4-FFF2-40B4-BE49-F238E27FC236}">
              <a16:creationId xmlns:a16="http://schemas.microsoft.com/office/drawing/2014/main" id="{00000000-0008-0000-0300-000053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9</xdr:row>
      <xdr:rowOff>0</xdr:rowOff>
    </xdr:from>
    <xdr:to>
      <xdr:col>4</xdr:col>
      <xdr:colOff>76200</xdr:colOff>
      <xdr:row>10</xdr:row>
      <xdr:rowOff>0</xdr:rowOff>
    </xdr:to>
    <xdr:sp macro="" textlink="">
      <xdr:nvSpPr>
        <xdr:cNvPr id="84" name="Text Box 2">
          <a:extLst>
            <a:ext uri="{FF2B5EF4-FFF2-40B4-BE49-F238E27FC236}">
              <a16:creationId xmlns:a16="http://schemas.microsoft.com/office/drawing/2014/main" id="{00000000-0008-0000-0300-000054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9</xdr:row>
      <xdr:rowOff>0</xdr:rowOff>
    </xdr:from>
    <xdr:to>
      <xdr:col>4</xdr:col>
      <xdr:colOff>76200</xdr:colOff>
      <xdr:row>10</xdr:row>
      <xdr:rowOff>0</xdr:rowOff>
    </xdr:to>
    <xdr:sp macro="" textlink="">
      <xdr:nvSpPr>
        <xdr:cNvPr id="85" name="Text Box 1">
          <a:extLst>
            <a:ext uri="{FF2B5EF4-FFF2-40B4-BE49-F238E27FC236}">
              <a16:creationId xmlns:a16="http://schemas.microsoft.com/office/drawing/2014/main" id="{00000000-0008-0000-0300-000055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9</xdr:row>
      <xdr:rowOff>0</xdr:rowOff>
    </xdr:from>
    <xdr:to>
      <xdr:col>4</xdr:col>
      <xdr:colOff>76200</xdr:colOff>
      <xdr:row>10</xdr:row>
      <xdr:rowOff>0</xdr:rowOff>
    </xdr:to>
    <xdr:sp macro="" textlink="">
      <xdr:nvSpPr>
        <xdr:cNvPr id="86" name="Text Box 1">
          <a:extLst>
            <a:ext uri="{FF2B5EF4-FFF2-40B4-BE49-F238E27FC236}">
              <a16:creationId xmlns:a16="http://schemas.microsoft.com/office/drawing/2014/main" id="{00000000-0008-0000-0300-000056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9</xdr:row>
      <xdr:rowOff>0</xdr:rowOff>
    </xdr:from>
    <xdr:to>
      <xdr:col>4</xdr:col>
      <xdr:colOff>76200</xdr:colOff>
      <xdr:row>10</xdr:row>
      <xdr:rowOff>0</xdr:rowOff>
    </xdr:to>
    <xdr:sp macro="" textlink="">
      <xdr:nvSpPr>
        <xdr:cNvPr id="87" name="Text Box 2">
          <a:extLst>
            <a:ext uri="{FF2B5EF4-FFF2-40B4-BE49-F238E27FC236}">
              <a16:creationId xmlns:a16="http://schemas.microsoft.com/office/drawing/2014/main" id="{00000000-0008-0000-0300-000057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9</xdr:row>
      <xdr:rowOff>0</xdr:rowOff>
    </xdr:from>
    <xdr:to>
      <xdr:col>4</xdr:col>
      <xdr:colOff>76200</xdr:colOff>
      <xdr:row>10</xdr:row>
      <xdr:rowOff>0</xdr:rowOff>
    </xdr:to>
    <xdr:sp macro="" textlink="">
      <xdr:nvSpPr>
        <xdr:cNvPr id="88" name="Text Box 1">
          <a:extLst>
            <a:ext uri="{FF2B5EF4-FFF2-40B4-BE49-F238E27FC236}">
              <a16:creationId xmlns:a16="http://schemas.microsoft.com/office/drawing/2014/main" id="{00000000-0008-0000-0300-000058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9</xdr:row>
      <xdr:rowOff>0</xdr:rowOff>
    </xdr:from>
    <xdr:to>
      <xdr:col>4</xdr:col>
      <xdr:colOff>76200</xdr:colOff>
      <xdr:row>10</xdr:row>
      <xdr:rowOff>0</xdr:rowOff>
    </xdr:to>
    <xdr:sp macro="" textlink="">
      <xdr:nvSpPr>
        <xdr:cNvPr id="89" name="Text Box 1">
          <a:extLst>
            <a:ext uri="{FF2B5EF4-FFF2-40B4-BE49-F238E27FC236}">
              <a16:creationId xmlns:a16="http://schemas.microsoft.com/office/drawing/2014/main" id="{00000000-0008-0000-0300-000059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9</xdr:row>
      <xdr:rowOff>0</xdr:rowOff>
    </xdr:from>
    <xdr:to>
      <xdr:col>4</xdr:col>
      <xdr:colOff>76200</xdr:colOff>
      <xdr:row>10</xdr:row>
      <xdr:rowOff>0</xdr:rowOff>
    </xdr:to>
    <xdr:sp macro="" textlink="">
      <xdr:nvSpPr>
        <xdr:cNvPr id="90" name="Text Box 1">
          <a:extLst>
            <a:ext uri="{FF2B5EF4-FFF2-40B4-BE49-F238E27FC236}">
              <a16:creationId xmlns:a16="http://schemas.microsoft.com/office/drawing/2014/main" id="{00000000-0008-0000-0300-00005A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9</xdr:row>
      <xdr:rowOff>0</xdr:rowOff>
    </xdr:from>
    <xdr:to>
      <xdr:col>4</xdr:col>
      <xdr:colOff>76200</xdr:colOff>
      <xdr:row>10</xdr:row>
      <xdr:rowOff>0</xdr:rowOff>
    </xdr:to>
    <xdr:sp macro="" textlink="">
      <xdr:nvSpPr>
        <xdr:cNvPr id="91" name="Text Box 2">
          <a:extLst>
            <a:ext uri="{FF2B5EF4-FFF2-40B4-BE49-F238E27FC236}">
              <a16:creationId xmlns:a16="http://schemas.microsoft.com/office/drawing/2014/main" id="{00000000-0008-0000-0300-00005B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9</xdr:row>
      <xdr:rowOff>0</xdr:rowOff>
    </xdr:from>
    <xdr:to>
      <xdr:col>4</xdr:col>
      <xdr:colOff>76200</xdr:colOff>
      <xdr:row>10</xdr:row>
      <xdr:rowOff>0</xdr:rowOff>
    </xdr:to>
    <xdr:sp macro="" textlink="">
      <xdr:nvSpPr>
        <xdr:cNvPr id="92" name="Text Box 1">
          <a:extLst>
            <a:ext uri="{FF2B5EF4-FFF2-40B4-BE49-F238E27FC236}">
              <a16:creationId xmlns:a16="http://schemas.microsoft.com/office/drawing/2014/main" id="{00000000-0008-0000-0300-00005C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9</xdr:row>
      <xdr:rowOff>0</xdr:rowOff>
    </xdr:from>
    <xdr:to>
      <xdr:col>4</xdr:col>
      <xdr:colOff>76200</xdr:colOff>
      <xdr:row>10</xdr:row>
      <xdr:rowOff>0</xdr:rowOff>
    </xdr:to>
    <xdr:sp macro="" textlink="">
      <xdr:nvSpPr>
        <xdr:cNvPr id="93" name="Text Box 1">
          <a:extLst>
            <a:ext uri="{FF2B5EF4-FFF2-40B4-BE49-F238E27FC236}">
              <a16:creationId xmlns:a16="http://schemas.microsoft.com/office/drawing/2014/main" id="{00000000-0008-0000-0300-00005D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10</xdr:row>
      <xdr:rowOff>0</xdr:rowOff>
    </xdr:from>
    <xdr:to>
      <xdr:col>4</xdr:col>
      <xdr:colOff>76200</xdr:colOff>
      <xdr:row>11</xdr:row>
      <xdr:rowOff>0</xdr:rowOff>
    </xdr:to>
    <xdr:sp macro="" textlink="">
      <xdr:nvSpPr>
        <xdr:cNvPr id="94" name="Text Box 1">
          <a:extLst>
            <a:ext uri="{FF2B5EF4-FFF2-40B4-BE49-F238E27FC236}">
              <a16:creationId xmlns:a16="http://schemas.microsoft.com/office/drawing/2014/main" id="{00000000-0008-0000-0300-00005E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10</xdr:row>
      <xdr:rowOff>0</xdr:rowOff>
    </xdr:from>
    <xdr:to>
      <xdr:col>4</xdr:col>
      <xdr:colOff>76200</xdr:colOff>
      <xdr:row>11</xdr:row>
      <xdr:rowOff>0</xdr:rowOff>
    </xdr:to>
    <xdr:sp macro="" textlink="">
      <xdr:nvSpPr>
        <xdr:cNvPr id="95" name="Text Box 2">
          <a:extLst>
            <a:ext uri="{FF2B5EF4-FFF2-40B4-BE49-F238E27FC236}">
              <a16:creationId xmlns:a16="http://schemas.microsoft.com/office/drawing/2014/main" id="{00000000-0008-0000-0300-00005F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10</xdr:row>
      <xdr:rowOff>0</xdr:rowOff>
    </xdr:from>
    <xdr:to>
      <xdr:col>4</xdr:col>
      <xdr:colOff>76200</xdr:colOff>
      <xdr:row>11</xdr:row>
      <xdr:rowOff>0</xdr:rowOff>
    </xdr:to>
    <xdr:sp macro="" textlink="">
      <xdr:nvSpPr>
        <xdr:cNvPr id="96" name="Text Box 1">
          <a:extLst>
            <a:ext uri="{FF2B5EF4-FFF2-40B4-BE49-F238E27FC236}">
              <a16:creationId xmlns:a16="http://schemas.microsoft.com/office/drawing/2014/main" id="{00000000-0008-0000-0300-000060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10</xdr:row>
      <xdr:rowOff>0</xdr:rowOff>
    </xdr:from>
    <xdr:to>
      <xdr:col>4</xdr:col>
      <xdr:colOff>76200</xdr:colOff>
      <xdr:row>11</xdr:row>
      <xdr:rowOff>0</xdr:rowOff>
    </xdr:to>
    <xdr:sp macro="" textlink="">
      <xdr:nvSpPr>
        <xdr:cNvPr id="97" name="Text Box 1">
          <a:extLst>
            <a:ext uri="{FF2B5EF4-FFF2-40B4-BE49-F238E27FC236}">
              <a16:creationId xmlns:a16="http://schemas.microsoft.com/office/drawing/2014/main" id="{00000000-0008-0000-0300-000061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10</xdr:row>
      <xdr:rowOff>0</xdr:rowOff>
    </xdr:from>
    <xdr:to>
      <xdr:col>4</xdr:col>
      <xdr:colOff>76200</xdr:colOff>
      <xdr:row>11</xdr:row>
      <xdr:rowOff>0</xdr:rowOff>
    </xdr:to>
    <xdr:sp macro="" textlink="">
      <xdr:nvSpPr>
        <xdr:cNvPr id="98" name="Text Box 1">
          <a:extLst>
            <a:ext uri="{FF2B5EF4-FFF2-40B4-BE49-F238E27FC236}">
              <a16:creationId xmlns:a16="http://schemas.microsoft.com/office/drawing/2014/main" id="{00000000-0008-0000-0300-000062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10</xdr:row>
      <xdr:rowOff>0</xdr:rowOff>
    </xdr:from>
    <xdr:to>
      <xdr:col>4</xdr:col>
      <xdr:colOff>76200</xdr:colOff>
      <xdr:row>11</xdr:row>
      <xdr:rowOff>0</xdr:rowOff>
    </xdr:to>
    <xdr:sp macro="" textlink="">
      <xdr:nvSpPr>
        <xdr:cNvPr id="99" name="Text Box 2">
          <a:extLst>
            <a:ext uri="{FF2B5EF4-FFF2-40B4-BE49-F238E27FC236}">
              <a16:creationId xmlns:a16="http://schemas.microsoft.com/office/drawing/2014/main" id="{00000000-0008-0000-0300-000063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10</xdr:row>
      <xdr:rowOff>0</xdr:rowOff>
    </xdr:from>
    <xdr:to>
      <xdr:col>4</xdr:col>
      <xdr:colOff>76200</xdr:colOff>
      <xdr:row>11</xdr:row>
      <xdr:rowOff>0</xdr:rowOff>
    </xdr:to>
    <xdr:sp macro="" textlink="">
      <xdr:nvSpPr>
        <xdr:cNvPr id="100" name="Text Box 1">
          <a:extLst>
            <a:ext uri="{FF2B5EF4-FFF2-40B4-BE49-F238E27FC236}">
              <a16:creationId xmlns:a16="http://schemas.microsoft.com/office/drawing/2014/main" id="{00000000-0008-0000-0300-000064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10</xdr:row>
      <xdr:rowOff>0</xdr:rowOff>
    </xdr:from>
    <xdr:to>
      <xdr:col>4</xdr:col>
      <xdr:colOff>76200</xdr:colOff>
      <xdr:row>11</xdr:row>
      <xdr:rowOff>0</xdr:rowOff>
    </xdr:to>
    <xdr:sp macro="" textlink="">
      <xdr:nvSpPr>
        <xdr:cNvPr id="101" name="Text Box 1">
          <a:extLst>
            <a:ext uri="{FF2B5EF4-FFF2-40B4-BE49-F238E27FC236}">
              <a16:creationId xmlns:a16="http://schemas.microsoft.com/office/drawing/2014/main" id="{00000000-0008-0000-0300-000065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10</xdr:row>
      <xdr:rowOff>0</xdr:rowOff>
    </xdr:from>
    <xdr:to>
      <xdr:col>4</xdr:col>
      <xdr:colOff>76200</xdr:colOff>
      <xdr:row>11</xdr:row>
      <xdr:rowOff>0</xdr:rowOff>
    </xdr:to>
    <xdr:sp macro="" textlink="">
      <xdr:nvSpPr>
        <xdr:cNvPr id="102" name="Text Box 1">
          <a:extLst>
            <a:ext uri="{FF2B5EF4-FFF2-40B4-BE49-F238E27FC236}">
              <a16:creationId xmlns:a16="http://schemas.microsoft.com/office/drawing/2014/main" id="{00000000-0008-0000-0300-000066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10</xdr:row>
      <xdr:rowOff>0</xdr:rowOff>
    </xdr:from>
    <xdr:to>
      <xdr:col>4</xdr:col>
      <xdr:colOff>76200</xdr:colOff>
      <xdr:row>11</xdr:row>
      <xdr:rowOff>0</xdr:rowOff>
    </xdr:to>
    <xdr:sp macro="" textlink="">
      <xdr:nvSpPr>
        <xdr:cNvPr id="103" name="Text Box 2">
          <a:extLst>
            <a:ext uri="{FF2B5EF4-FFF2-40B4-BE49-F238E27FC236}">
              <a16:creationId xmlns:a16="http://schemas.microsoft.com/office/drawing/2014/main" id="{00000000-0008-0000-0300-000067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10</xdr:row>
      <xdr:rowOff>0</xdr:rowOff>
    </xdr:from>
    <xdr:to>
      <xdr:col>4</xdr:col>
      <xdr:colOff>76200</xdr:colOff>
      <xdr:row>11</xdr:row>
      <xdr:rowOff>0</xdr:rowOff>
    </xdr:to>
    <xdr:sp macro="" textlink="">
      <xdr:nvSpPr>
        <xdr:cNvPr id="104" name="Text Box 1">
          <a:extLst>
            <a:ext uri="{FF2B5EF4-FFF2-40B4-BE49-F238E27FC236}">
              <a16:creationId xmlns:a16="http://schemas.microsoft.com/office/drawing/2014/main" id="{00000000-0008-0000-0300-000068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10</xdr:row>
      <xdr:rowOff>0</xdr:rowOff>
    </xdr:from>
    <xdr:to>
      <xdr:col>4</xdr:col>
      <xdr:colOff>76200</xdr:colOff>
      <xdr:row>11</xdr:row>
      <xdr:rowOff>0</xdr:rowOff>
    </xdr:to>
    <xdr:sp macro="" textlink="">
      <xdr:nvSpPr>
        <xdr:cNvPr id="105" name="Text Box 1">
          <a:extLst>
            <a:ext uri="{FF2B5EF4-FFF2-40B4-BE49-F238E27FC236}">
              <a16:creationId xmlns:a16="http://schemas.microsoft.com/office/drawing/2014/main" id="{00000000-0008-0000-0300-000069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10</xdr:row>
      <xdr:rowOff>0</xdr:rowOff>
    </xdr:from>
    <xdr:to>
      <xdr:col>4</xdr:col>
      <xdr:colOff>76200</xdr:colOff>
      <xdr:row>11</xdr:row>
      <xdr:rowOff>0</xdr:rowOff>
    </xdr:to>
    <xdr:sp macro="" textlink="">
      <xdr:nvSpPr>
        <xdr:cNvPr id="106" name="Text Box 1">
          <a:extLst>
            <a:ext uri="{FF2B5EF4-FFF2-40B4-BE49-F238E27FC236}">
              <a16:creationId xmlns:a16="http://schemas.microsoft.com/office/drawing/2014/main" id="{00000000-0008-0000-0300-00006A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10</xdr:row>
      <xdr:rowOff>0</xdr:rowOff>
    </xdr:from>
    <xdr:to>
      <xdr:col>4</xdr:col>
      <xdr:colOff>76200</xdr:colOff>
      <xdr:row>11</xdr:row>
      <xdr:rowOff>0</xdr:rowOff>
    </xdr:to>
    <xdr:sp macro="" textlink="">
      <xdr:nvSpPr>
        <xdr:cNvPr id="107" name="Text Box 2">
          <a:extLst>
            <a:ext uri="{FF2B5EF4-FFF2-40B4-BE49-F238E27FC236}">
              <a16:creationId xmlns:a16="http://schemas.microsoft.com/office/drawing/2014/main" id="{00000000-0008-0000-0300-00006B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10</xdr:row>
      <xdr:rowOff>0</xdr:rowOff>
    </xdr:from>
    <xdr:to>
      <xdr:col>4</xdr:col>
      <xdr:colOff>76200</xdr:colOff>
      <xdr:row>11</xdr:row>
      <xdr:rowOff>0</xdr:rowOff>
    </xdr:to>
    <xdr:sp macro="" textlink="">
      <xdr:nvSpPr>
        <xdr:cNvPr id="108" name="Text Box 1">
          <a:extLst>
            <a:ext uri="{FF2B5EF4-FFF2-40B4-BE49-F238E27FC236}">
              <a16:creationId xmlns:a16="http://schemas.microsoft.com/office/drawing/2014/main" id="{00000000-0008-0000-0300-00006C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10</xdr:row>
      <xdr:rowOff>0</xdr:rowOff>
    </xdr:from>
    <xdr:to>
      <xdr:col>4</xdr:col>
      <xdr:colOff>76200</xdr:colOff>
      <xdr:row>11</xdr:row>
      <xdr:rowOff>0</xdr:rowOff>
    </xdr:to>
    <xdr:sp macro="" textlink="">
      <xdr:nvSpPr>
        <xdr:cNvPr id="109" name="Text Box 1">
          <a:extLst>
            <a:ext uri="{FF2B5EF4-FFF2-40B4-BE49-F238E27FC236}">
              <a16:creationId xmlns:a16="http://schemas.microsoft.com/office/drawing/2014/main" id="{00000000-0008-0000-0300-00006D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10</xdr:row>
      <xdr:rowOff>0</xdr:rowOff>
    </xdr:from>
    <xdr:to>
      <xdr:col>4</xdr:col>
      <xdr:colOff>76200</xdr:colOff>
      <xdr:row>11</xdr:row>
      <xdr:rowOff>0</xdr:rowOff>
    </xdr:to>
    <xdr:sp macro="" textlink="">
      <xdr:nvSpPr>
        <xdr:cNvPr id="110" name="Text Box 2">
          <a:extLst>
            <a:ext uri="{FF2B5EF4-FFF2-40B4-BE49-F238E27FC236}">
              <a16:creationId xmlns:a16="http://schemas.microsoft.com/office/drawing/2014/main" id="{00000000-0008-0000-0300-00006E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10</xdr:row>
      <xdr:rowOff>0</xdr:rowOff>
    </xdr:from>
    <xdr:to>
      <xdr:col>4</xdr:col>
      <xdr:colOff>76200</xdr:colOff>
      <xdr:row>11</xdr:row>
      <xdr:rowOff>0</xdr:rowOff>
    </xdr:to>
    <xdr:sp macro="" textlink="">
      <xdr:nvSpPr>
        <xdr:cNvPr id="111" name="Text Box 1">
          <a:extLst>
            <a:ext uri="{FF2B5EF4-FFF2-40B4-BE49-F238E27FC236}">
              <a16:creationId xmlns:a16="http://schemas.microsoft.com/office/drawing/2014/main" id="{00000000-0008-0000-0300-00006F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10</xdr:row>
      <xdr:rowOff>0</xdr:rowOff>
    </xdr:from>
    <xdr:to>
      <xdr:col>4</xdr:col>
      <xdr:colOff>76200</xdr:colOff>
      <xdr:row>11</xdr:row>
      <xdr:rowOff>0</xdr:rowOff>
    </xdr:to>
    <xdr:sp macro="" textlink="">
      <xdr:nvSpPr>
        <xdr:cNvPr id="112" name="Text Box 1">
          <a:extLst>
            <a:ext uri="{FF2B5EF4-FFF2-40B4-BE49-F238E27FC236}">
              <a16:creationId xmlns:a16="http://schemas.microsoft.com/office/drawing/2014/main" id="{00000000-0008-0000-0300-000070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10</xdr:row>
      <xdr:rowOff>0</xdr:rowOff>
    </xdr:from>
    <xdr:to>
      <xdr:col>4</xdr:col>
      <xdr:colOff>76200</xdr:colOff>
      <xdr:row>11</xdr:row>
      <xdr:rowOff>0</xdr:rowOff>
    </xdr:to>
    <xdr:sp macro="" textlink="">
      <xdr:nvSpPr>
        <xdr:cNvPr id="113" name="Text Box 1">
          <a:extLst>
            <a:ext uri="{FF2B5EF4-FFF2-40B4-BE49-F238E27FC236}">
              <a16:creationId xmlns:a16="http://schemas.microsoft.com/office/drawing/2014/main" id="{00000000-0008-0000-0300-000071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10</xdr:row>
      <xdr:rowOff>0</xdr:rowOff>
    </xdr:from>
    <xdr:to>
      <xdr:col>4</xdr:col>
      <xdr:colOff>76200</xdr:colOff>
      <xdr:row>11</xdr:row>
      <xdr:rowOff>0</xdr:rowOff>
    </xdr:to>
    <xdr:sp macro="" textlink="">
      <xdr:nvSpPr>
        <xdr:cNvPr id="114" name="Text Box 2">
          <a:extLst>
            <a:ext uri="{FF2B5EF4-FFF2-40B4-BE49-F238E27FC236}">
              <a16:creationId xmlns:a16="http://schemas.microsoft.com/office/drawing/2014/main" id="{00000000-0008-0000-0300-000072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10</xdr:row>
      <xdr:rowOff>0</xdr:rowOff>
    </xdr:from>
    <xdr:to>
      <xdr:col>4</xdr:col>
      <xdr:colOff>76200</xdr:colOff>
      <xdr:row>11</xdr:row>
      <xdr:rowOff>0</xdr:rowOff>
    </xdr:to>
    <xdr:sp macro="" textlink="">
      <xdr:nvSpPr>
        <xdr:cNvPr id="115" name="Text Box 1">
          <a:extLst>
            <a:ext uri="{FF2B5EF4-FFF2-40B4-BE49-F238E27FC236}">
              <a16:creationId xmlns:a16="http://schemas.microsoft.com/office/drawing/2014/main" id="{00000000-0008-0000-0300-000073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10</xdr:row>
      <xdr:rowOff>0</xdr:rowOff>
    </xdr:from>
    <xdr:to>
      <xdr:col>4</xdr:col>
      <xdr:colOff>76200</xdr:colOff>
      <xdr:row>11</xdr:row>
      <xdr:rowOff>0</xdr:rowOff>
    </xdr:to>
    <xdr:sp macro="" textlink="">
      <xdr:nvSpPr>
        <xdr:cNvPr id="116" name="Text Box 1">
          <a:extLst>
            <a:ext uri="{FF2B5EF4-FFF2-40B4-BE49-F238E27FC236}">
              <a16:creationId xmlns:a16="http://schemas.microsoft.com/office/drawing/2014/main" id="{00000000-0008-0000-0300-000074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76200</xdr:colOff>
      <xdr:row>12</xdr:row>
      <xdr:rowOff>0</xdr:rowOff>
    </xdr:to>
    <xdr:sp macro="" textlink="">
      <xdr:nvSpPr>
        <xdr:cNvPr id="117" name="Text Box 1">
          <a:extLst>
            <a:ext uri="{FF2B5EF4-FFF2-40B4-BE49-F238E27FC236}">
              <a16:creationId xmlns:a16="http://schemas.microsoft.com/office/drawing/2014/main" id="{00000000-0008-0000-0300-000075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76200</xdr:colOff>
      <xdr:row>12</xdr:row>
      <xdr:rowOff>0</xdr:rowOff>
    </xdr:to>
    <xdr:sp macro="" textlink="">
      <xdr:nvSpPr>
        <xdr:cNvPr id="118" name="Text Box 2">
          <a:extLst>
            <a:ext uri="{FF2B5EF4-FFF2-40B4-BE49-F238E27FC236}">
              <a16:creationId xmlns:a16="http://schemas.microsoft.com/office/drawing/2014/main" id="{00000000-0008-0000-0300-000076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76200</xdr:colOff>
      <xdr:row>12</xdr:row>
      <xdr:rowOff>0</xdr:rowOff>
    </xdr:to>
    <xdr:sp macro="" textlink="">
      <xdr:nvSpPr>
        <xdr:cNvPr id="119" name="Text Box 1">
          <a:extLst>
            <a:ext uri="{FF2B5EF4-FFF2-40B4-BE49-F238E27FC236}">
              <a16:creationId xmlns:a16="http://schemas.microsoft.com/office/drawing/2014/main" id="{00000000-0008-0000-0300-000077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76200</xdr:colOff>
      <xdr:row>12</xdr:row>
      <xdr:rowOff>0</xdr:rowOff>
    </xdr:to>
    <xdr:sp macro="" textlink="">
      <xdr:nvSpPr>
        <xdr:cNvPr id="120" name="Text Box 1">
          <a:extLst>
            <a:ext uri="{FF2B5EF4-FFF2-40B4-BE49-F238E27FC236}">
              <a16:creationId xmlns:a16="http://schemas.microsoft.com/office/drawing/2014/main" id="{00000000-0008-0000-0300-000078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76200</xdr:colOff>
      <xdr:row>12</xdr:row>
      <xdr:rowOff>0</xdr:rowOff>
    </xdr:to>
    <xdr:sp macro="" textlink="">
      <xdr:nvSpPr>
        <xdr:cNvPr id="121" name="Text Box 1">
          <a:extLst>
            <a:ext uri="{FF2B5EF4-FFF2-40B4-BE49-F238E27FC236}">
              <a16:creationId xmlns:a16="http://schemas.microsoft.com/office/drawing/2014/main" id="{00000000-0008-0000-0300-000079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76200</xdr:colOff>
      <xdr:row>12</xdr:row>
      <xdr:rowOff>0</xdr:rowOff>
    </xdr:to>
    <xdr:sp macro="" textlink="">
      <xdr:nvSpPr>
        <xdr:cNvPr id="122" name="Text Box 2">
          <a:extLst>
            <a:ext uri="{FF2B5EF4-FFF2-40B4-BE49-F238E27FC236}">
              <a16:creationId xmlns:a16="http://schemas.microsoft.com/office/drawing/2014/main" id="{00000000-0008-0000-0300-00007A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76200</xdr:colOff>
      <xdr:row>12</xdr:row>
      <xdr:rowOff>0</xdr:rowOff>
    </xdr:to>
    <xdr:sp macro="" textlink="">
      <xdr:nvSpPr>
        <xdr:cNvPr id="123" name="Text Box 1">
          <a:extLst>
            <a:ext uri="{FF2B5EF4-FFF2-40B4-BE49-F238E27FC236}">
              <a16:creationId xmlns:a16="http://schemas.microsoft.com/office/drawing/2014/main" id="{00000000-0008-0000-0300-00007B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76200</xdr:colOff>
      <xdr:row>12</xdr:row>
      <xdr:rowOff>0</xdr:rowOff>
    </xdr:to>
    <xdr:sp macro="" textlink="">
      <xdr:nvSpPr>
        <xdr:cNvPr id="124" name="Text Box 1">
          <a:extLst>
            <a:ext uri="{FF2B5EF4-FFF2-40B4-BE49-F238E27FC236}">
              <a16:creationId xmlns:a16="http://schemas.microsoft.com/office/drawing/2014/main" id="{00000000-0008-0000-0300-00007C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76200</xdr:colOff>
      <xdr:row>12</xdr:row>
      <xdr:rowOff>0</xdr:rowOff>
    </xdr:to>
    <xdr:sp macro="" textlink="">
      <xdr:nvSpPr>
        <xdr:cNvPr id="125" name="Text Box 1">
          <a:extLst>
            <a:ext uri="{FF2B5EF4-FFF2-40B4-BE49-F238E27FC236}">
              <a16:creationId xmlns:a16="http://schemas.microsoft.com/office/drawing/2014/main" id="{00000000-0008-0000-0300-00007D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76200</xdr:colOff>
      <xdr:row>12</xdr:row>
      <xdr:rowOff>0</xdr:rowOff>
    </xdr:to>
    <xdr:sp macro="" textlink="">
      <xdr:nvSpPr>
        <xdr:cNvPr id="126" name="Text Box 2">
          <a:extLst>
            <a:ext uri="{FF2B5EF4-FFF2-40B4-BE49-F238E27FC236}">
              <a16:creationId xmlns:a16="http://schemas.microsoft.com/office/drawing/2014/main" id="{00000000-0008-0000-0300-00007E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76200</xdr:colOff>
      <xdr:row>12</xdr:row>
      <xdr:rowOff>0</xdr:rowOff>
    </xdr:to>
    <xdr:sp macro="" textlink="">
      <xdr:nvSpPr>
        <xdr:cNvPr id="127" name="Text Box 1">
          <a:extLst>
            <a:ext uri="{FF2B5EF4-FFF2-40B4-BE49-F238E27FC236}">
              <a16:creationId xmlns:a16="http://schemas.microsoft.com/office/drawing/2014/main" id="{00000000-0008-0000-0300-00007F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76200</xdr:colOff>
      <xdr:row>12</xdr:row>
      <xdr:rowOff>0</xdr:rowOff>
    </xdr:to>
    <xdr:sp macro="" textlink="">
      <xdr:nvSpPr>
        <xdr:cNvPr id="128" name="Text Box 1">
          <a:extLst>
            <a:ext uri="{FF2B5EF4-FFF2-40B4-BE49-F238E27FC236}">
              <a16:creationId xmlns:a16="http://schemas.microsoft.com/office/drawing/2014/main" id="{00000000-0008-0000-0300-000080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76200</xdr:colOff>
      <xdr:row>12</xdr:row>
      <xdr:rowOff>0</xdr:rowOff>
    </xdr:to>
    <xdr:sp macro="" textlink="">
      <xdr:nvSpPr>
        <xdr:cNvPr id="129" name="Text Box 1">
          <a:extLst>
            <a:ext uri="{FF2B5EF4-FFF2-40B4-BE49-F238E27FC236}">
              <a16:creationId xmlns:a16="http://schemas.microsoft.com/office/drawing/2014/main" id="{00000000-0008-0000-0300-000081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76200</xdr:colOff>
      <xdr:row>12</xdr:row>
      <xdr:rowOff>0</xdr:rowOff>
    </xdr:to>
    <xdr:sp macro="" textlink="">
      <xdr:nvSpPr>
        <xdr:cNvPr id="130" name="Text Box 2">
          <a:extLst>
            <a:ext uri="{FF2B5EF4-FFF2-40B4-BE49-F238E27FC236}">
              <a16:creationId xmlns:a16="http://schemas.microsoft.com/office/drawing/2014/main" id="{00000000-0008-0000-0300-000082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76200</xdr:colOff>
      <xdr:row>12</xdr:row>
      <xdr:rowOff>0</xdr:rowOff>
    </xdr:to>
    <xdr:sp macro="" textlink="">
      <xdr:nvSpPr>
        <xdr:cNvPr id="131" name="Text Box 1">
          <a:extLst>
            <a:ext uri="{FF2B5EF4-FFF2-40B4-BE49-F238E27FC236}">
              <a16:creationId xmlns:a16="http://schemas.microsoft.com/office/drawing/2014/main" id="{00000000-0008-0000-0300-000083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76200</xdr:colOff>
      <xdr:row>12</xdr:row>
      <xdr:rowOff>0</xdr:rowOff>
    </xdr:to>
    <xdr:sp macro="" textlink="">
      <xdr:nvSpPr>
        <xdr:cNvPr id="132" name="Text Box 1">
          <a:extLst>
            <a:ext uri="{FF2B5EF4-FFF2-40B4-BE49-F238E27FC236}">
              <a16:creationId xmlns:a16="http://schemas.microsoft.com/office/drawing/2014/main" id="{00000000-0008-0000-0300-000084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76200</xdr:colOff>
      <xdr:row>12</xdr:row>
      <xdr:rowOff>0</xdr:rowOff>
    </xdr:to>
    <xdr:sp macro="" textlink="">
      <xdr:nvSpPr>
        <xdr:cNvPr id="133" name="Text Box 2">
          <a:extLst>
            <a:ext uri="{FF2B5EF4-FFF2-40B4-BE49-F238E27FC236}">
              <a16:creationId xmlns:a16="http://schemas.microsoft.com/office/drawing/2014/main" id="{00000000-0008-0000-0300-000085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76200</xdr:colOff>
      <xdr:row>12</xdr:row>
      <xdr:rowOff>0</xdr:rowOff>
    </xdr:to>
    <xdr:sp macro="" textlink="">
      <xdr:nvSpPr>
        <xdr:cNvPr id="134" name="Text Box 1">
          <a:extLst>
            <a:ext uri="{FF2B5EF4-FFF2-40B4-BE49-F238E27FC236}">
              <a16:creationId xmlns:a16="http://schemas.microsoft.com/office/drawing/2014/main" id="{00000000-0008-0000-0300-000086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76200</xdr:colOff>
      <xdr:row>12</xdr:row>
      <xdr:rowOff>0</xdr:rowOff>
    </xdr:to>
    <xdr:sp macro="" textlink="">
      <xdr:nvSpPr>
        <xdr:cNvPr id="135" name="Text Box 1">
          <a:extLst>
            <a:ext uri="{FF2B5EF4-FFF2-40B4-BE49-F238E27FC236}">
              <a16:creationId xmlns:a16="http://schemas.microsoft.com/office/drawing/2014/main" id="{00000000-0008-0000-0300-000087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76200</xdr:colOff>
      <xdr:row>12</xdr:row>
      <xdr:rowOff>0</xdr:rowOff>
    </xdr:to>
    <xdr:sp macro="" textlink="">
      <xdr:nvSpPr>
        <xdr:cNvPr id="136" name="Text Box 1">
          <a:extLst>
            <a:ext uri="{FF2B5EF4-FFF2-40B4-BE49-F238E27FC236}">
              <a16:creationId xmlns:a16="http://schemas.microsoft.com/office/drawing/2014/main" id="{00000000-0008-0000-0300-000088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76200</xdr:colOff>
      <xdr:row>12</xdr:row>
      <xdr:rowOff>0</xdr:rowOff>
    </xdr:to>
    <xdr:sp macro="" textlink="">
      <xdr:nvSpPr>
        <xdr:cNvPr id="137" name="Text Box 2">
          <a:extLst>
            <a:ext uri="{FF2B5EF4-FFF2-40B4-BE49-F238E27FC236}">
              <a16:creationId xmlns:a16="http://schemas.microsoft.com/office/drawing/2014/main" id="{00000000-0008-0000-0300-000089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76200</xdr:colOff>
      <xdr:row>12</xdr:row>
      <xdr:rowOff>0</xdr:rowOff>
    </xdr:to>
    <xdr:sp macro="" textlink="">
      <xdr:nvSpPr>
        <xdr:cNvPr id="138" name="Text Box 1">
          <a:extLst>
            <a:ext uri="{FF2B5EF4-FFF2-40B4-BE49-F238E27FC236}">
              <a16:creationId xmlns:a16="http://schemas.microsoft.com/office/drawing/2014/main" id="{00000000-0008-0000-0300-00008A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76200</xdr:colOff>
      <xdr:row>12</xdr:row>
      <xdr:rowOff>0</xdr:rowOff>
    </xdr:to>
    <xdr:sp macro="" textlink="">
      <xdr:nvSpPr>
        <xdr:cNvPr id="139" name="Text Box 1">
          <a:extLst>
            <a:ext uri="{FF2B5EF4-FFF2-40B4-BE49-F238E27FC236}">
              <a16:creationId xmlns:a16="http://schemas.microsoft.com/office/drawing/2014/main" id="{00000000-0008-0000-0300-00008B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12</xdr:row>
      <xdr:rowOff>0</xdr:rowOff>
    </xdr:from>
    <xdr:to>
      <xdr:col>4</xdr:col>
      <xdr:colOff>76200</xdr:colOff>
      <xdr:row>13</xdr:row>
      <xdr:rowOff>0</xdr:rowOff>
    </xdr:to>
    <xdr:sp macro="" textlink="">
      <xdr:nvSpPr>
        <xdr:cNvPr id="140" name="Text Box 1">
          <a:extLst>
            <a:ext uri="{FF2B5EF4-FFF2-40B4-BE49-F238E27FC236}">
              <a16:creationId xmlns:a16="http://schemas.microsoft.com/office/drawing/2014/main" id="{00000000-0008-0000-0300-00008C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12</xdr:row>
      <xdr:rowOff>0</xdr:rowOff>
    </xdr:from>
    <xdr:to>
      <xdr:col>4</xdr:col>
      <xdr:colOff>76200</xdr:colOff>
      <xdr:row>13</xdr:row>
      <xdr:rowOff>0</xdr:rowOff>
    </xdr:to>
    <xdr:sp macro="" textlink="">
      <xdr:nvSpPr>
        <xdr:cNvPr id="141" name="Text Box 2">
          <a:extLst>
            <a:ext uri="{FF2B5EF4-FFF2-40B4-BE49-F238E27FC236}">
              <a16:creationId xmlns:a16="http://schemas.microsoft.com/office/drawing/2014/main" id="{00000000-0008-0000-0300-00008D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12</xdr:row>
      <xdr:rowOff>0</xdr:rowOff>
    </xdr:from>
    <xdr:to>
      <xdr:col>4</xdr:col>
      <xdr:colOff>76200</xdr:colOff>
      <xdr:row>13</xdr:row>
      <xdr:rowOff>0</xdr:rowOff>
    </xdr:to>
    <xdr:sp macro="" textlink="">
      <xdr:nvSpPr>
        <xdr:cNvPr id="142" name="Text Box 1">
          <a:extLst>
            <a:ext uri="{FF2B5EF4-FFF2-40B4-BE49-F238E27FC236}">
              <a16:creationId xmlns:a16="http://schemas.microsoft.com/office/drawing/2014/main" id="{00000000-0008-0000-0300-00008E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12</xdr:row>
      <xdr:rowOff>0</xdr:rowOff>
    </xdr:from>
    <xdr:to>
      <xdr:col>4</xdr:col>
      <xdr:colOff>76200</xdr:colOff>
      <xdr:row>13</xdr:row>
      <xdr:rowOff>0</xdr:rowOff>
    </xdr:to>
    <xdr:sp macro="" textlink="">
      <xdr:nvSpPr>
        <xdr:cNvPr id="143" name="Text Box 1">
          <a:extLst>
            <a:ext uri="{FF2B5EF4-FFF2-40B4-BE49-F238E27FC236}">
              <a16:creationId xmlns:a16="http://schemas.microsoft.com/office/drawing/2014/main" id="{00000000-0008-0000-0300-00008F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12</xdr:row>
      <xdr:rowOff>0</xdr:rowOff>
    </xdr:from>
    <xdr:to>
      <xdr:col>4</xdr:col>
      <xdr:colOff>76200</xdr:colOff>
      <xdr:row>13</xdr:row>
      <xdr:rowOff>0</xdr:rowOff>
    </xdr:to>
    <xdr:sp macro="" textlink="">
      <xdr:nvSpPr>
        <xdr:cNvPr id="144" name="Text Box 1">
          <a:extLst>
            <a:ext uri="{FF2B5EF4-FFF2-40B4-BE49-F238E27FC236}">
              <a16:creationId xmlns:a16="http://schemas.microsoft.com/office/drawing/2014/main" id="{00000000-0008-0000-0300-000090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12</xdr:row>
      <xdr:rowOff>0</xdr:rowOff>
    </xdr:from>
    <xdr:to>
      <xdr:col>4</xdr:col>
      <xdr:colOff>76200</xdr:colOff>
      <xdr:row>13</xdr:row>
      <xdr:rowOff>0</xdr:rowOff>
    </xdr:to>
    <xdr:sp macro="" textlink="">
      <xdr:nvSpPr>
        <xdr:cNvPr id="145" name="Text Box 2">
          <a:extLst>
            <a:ext uri="{FF2B5EF4-FFF2-40B4-BE49-F238E27FC236}">
              <a16:creationId xmlns:a16="http://schemas.microsoft.com/office/drawing/2014/main" id="{00000000-0008-0000-0300-000091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12</xdr:row>
      <xdr:rowOff>0</xdr:rowOff>
    </xdr:from>
    <xdr:to>
      <xdr:col>4</xdr:col>
      <xdr:colOff>76200</xdr:colOff>
      <xdr:row>13</xdr:row>
      <xdr:rowOff>0</xdr:rowOff>
    </xdr:to>
    <xdr:sp macro="" textlink="">
      <xdr:nvSpPr>
        <xdr:cNvPr id="146" name="Text Box 1">
          <a:extLst>
            <a:ext uri="{FF2B5EF4-FFF2-40B4-BE49-F238E27FC236}">
              <a16:creationId xmlns:a16="http://schemas.microsoft.com/office/drawing/2014/main" id="{00000000-0008-0000-0300-000092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12</xdr:row>
      <xdr:rowOff>0</xdr:rowOff>
    </xdr:from>
    <xdr:to>
      <xdr:col>4</xdr:col>
      <xdr:colOff>76200</xdr:colOff>
      <xdr:row>13</xdr:row>
      <xdr:rowOff>0</xdr:rowOff>
    </xdr:to>
    <xdr:sp macro="" textlink="">
      <xdr:nvSpPr>
        <xdr:cNvPr id="147" name="Text Box 1">
          <a:extLst>
            <a:ext uri="{FF2B5EF4-FFF2-40B4-BE49-F238E27FC236}">
              <a16:creationId xmlns:a16="http://schemas.microsoft.com/office/drawing/2014/main" id="{00000000-0008-0000-0300-000093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12</xdr:row>
      <xdr:rowOff>0</xdr:rowOff>
    </xdr:from>
    <xdr:to>
      <xdr:col>4</xdr:col>
      <xdr:colOff>76200</xdr:colOff>
      <xdr:row>13</xdr:row>
      <xdr:rowOff>0</xdr:rowOff>
    </xdr:to>
    <xdr:sp macro="" textlink="">
      <xdr:nvSpPr>
        <xdr:cNvPr id="148" name="Text Box 1">
          <a:extLst>
            <a:ext uri="{FF2B5EF4-FFF2-40B4-BE49-F238E27FC236}">
              <a16:creationId xmlns:a16="http://schemas.microsoft.com/office/drawing/2014/main" id="{00000000-0008-0000-0300-000094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12</xdr:row>
      <xdr:rowOff>0</xdr:rowOff>
    </xdr:from>
    <xdr:to>
      <xdr:col>4</xdr:col>
      <xdr:colOff>76200</xdr:colOff>
      <xdr:row>13</xdr:row>
      <xdr:rowOff>0</xdr:rowOff>
    </xdr:to>
    <xdr:sp macro="" textlink="">
      <xdr:nvSpPr>
        <xdr:cNvPr id="149" name="Text Box 2">
          <a:extLst>
            <a:ext uri="{FF2B5EF4-FFF2-40B4-BE49-F238E27FC236}">
              <a16:creationId xmlns:a16="http://schemas.microsoft.com/office/drawing/2014/main" id="{00000000-0008-0000-0300-000095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12</xdr:row>
      <xdr:rowOff>0</xdr:rowOff>
    </xdr:from>
    <xdr:to>
      <xdr:col>4</xdr:col>
      <xdr:colOff>76200</xdr:colOff>
      <xdr:row>13</xdr:row>
      <xdr:rowOff>0</xdr:rowOff>
    </xdr:to>
    <xdr:sp macro="" textlink="">
      <xdr:nvSpPr>
        <xdr:cNvPr id="150" name="Text Box 1">
          <a:extLst>
            <a:ext uri="{FF2B5EF4-FFF2-40B4-BE49-F238E27FC236}">
              <a16:creationId xmlns:a16="http://schemas.microsoft.com/office/drawing/2014/main" id="{00000000-0008-0000-0300-000096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12</xdr:row>
      <xdr:rowOff>0</xdr:rowOff>
    </xdr:from>
    <xdr:to>
      <xdr:col>4</xdr:col>
      <xdr:colOff>76200</xdr:colOff>
      <xdr:row>13</xdr:row>
      <xdr:rowOff>0</xdr:rowOff>
    </xdr:to>
    <xdr:sp macro="" textlink="">
      <xdr:nvSpPr>
        <xdr:cNvPr id="151" name="Text Box 1">
          <a:extLst>
            <a:ext uri="{FF2B5EF4-FFF2-40B4-BE49-F238E27FC236}">
              <a16:creationId xmlns:a16="http://schemas.microsoft.com/office/drawing/2014/main" id="{00000000-0008-0000-0300-000097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12</xdr:row>
      <xdr:rowOff>0</xdr:rowOff>
    </xdr:from>
    <xdr:to>
      <xdr:col>4</xdr:col>
      <xdr:colOff>76200</xdr:colOff>
      <xdr:row>13</xdr:row>
      <xdr:rowOff>0</xdr:rowOff>
    </xdr:to>
    <xdr:sp macro="" textlink="">
      <xdr:nvSpPr>
        <xdr:cNvPr id="152" name="Text Box 1">
          <a:extLst>
            <a:ext uri="{FF2B5EF4-FFF2-40B4-BE49-F238E27FC236}">
              <a16:creationId xmlns:a16="http://schemas.microsoft.com/office/drawing/2014/main" id="{00000000-0008-0000-0300-000098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12</xdr:row>
      <xdr:rowOff>0</xdr:rowOff>
    </xdr:from>
    <xdr:to>
      <xdr:col>4</xdr:col>
      <xdr:colOff>76200</xdr:colOff>
      <xdr:row>13</xdr:row>
      <xdr:rowOff>0</xdr:rowOff>
    </xdr:to>
    <xdr:sp macro="" textlink="">
      <xdr:nvSpPr>
        <xdr:cNvPr id="153" name="Text Box 2">
          <a:extLst>
            <a:ext uri="{FF2B5EF4-FFF2-40B4-BE49-F238E27FC236}">
              <a16:creationId xmlns:a16="http://schemas.microsoft.com/office/drawing/2014/main" id="{00000000-0008-0000-0300-000099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12</xdr:row>
      <xdr:rowOff>0</xdr:rowOff>
    </xdr:from>
    <xdr:to>
      <xdr:col>4</xdr:col>
      <xdr:colOff>76200</xdr:colOff>
      <xdr:row>13</xdr:row>
      <xdr:rowOff>0</xdr:rowOff>
    </xdr:to>
    <xdr:sp macro="" textlink="">
      <xdr:nvSpPr>
        <xdr:cNvPr id="154" name="Text Box 1">
          <a:extLst>
            <a:ext uri="{FF2B5EF4-FFF2-40B4-BE49-F238E27FC236}">
              <a16:creationId xmlns:a16="http://schemas.microsoft.com/office/drawing/2014/main" id="{00000000-0008-0000-0300-00009A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12</xdr:row>
      <xdr:rowOff>0</xdr:rowOff>
    </xdr:from>
    <xdr:to>
      <xdr:col>4</xdr:col>
      <xdr:colOff>76200</xdr:colOff>
      <xdr:row>13</xdr:row>
      <xdr:rowOff>0</xdr:rowOff>
    </xdr:to>
    <xdr:sp macro="" textlink="">
      <xdr:nvSpPr>
        <xdr:cNvPr id="155" name="Text Box 1">
          <a:extLst>
            <a:ext uri="{FF2B5EF4-FFF2-40B4-BE49-F238E27FC236}">
              <a16:creationId xmlns:a16="http://schemas.microsoft.com/office/drawing/2014/main" id="{00000000-0008-0000-0300-00009B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12</xdr:row>
      <xdr:rowOff>0</xdr:rowOff>
    </xdr:from>
    <xdr:to>
      <xdr:col>4</xdr:col>
      <xdr:colOff>76200</xdr:colOff>
      <xdr:row>13</xdr:row>
      <xdr:rowOff>0</xdr:rowOff>
    </xdr:to>
    <xdr:sp macro="" textlink="">
      <xdr:nvSpPr>
        <xdr:cNvPr id="156" name="Text Box 2">
          <a:extLst>
            <a:ext uri="{FF2B5EF4-FFF2-40B4-BE49-F238E27FC236}">
              <a16:creationId xmlns:a16="http://schemas.microsoft.com/office/drawing/2014/main" id="{00000000-0008-0000-0300-00009C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12</xdr:row>
      <xdr:rowOff>0</xdr:rowOff>
    </xdr:from>
    <xdr:to>
      <xdr:col>4</xdr:col>
      <xdr:colOff>76200</xdr:colOff>
      <xdr:row>13</xdr:row>
      <xdr:rowOff>0</xdr:rowOff>
    </xdr:to>
    <xdr:sp macro="" textlink="">
      <xdr:nvSpPr>
        <xdr:cNvPr id="157" name="Text Box 1">
          <a:extLst>
            <a:ext uri="{FF2B5EF4-FFF2-40B4-BE49-F238E27FC236}">
              <a16:creationId xmlns:a16="http://schemas.microsoft.com/office/drawing/2014/main" id="{00000000-0008-0000-0300-00009D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12</xdr:row>
      <xdr:rowOff>0</xdr:rowOff>
    </xdr:from>
    <xdr:to>
      <xdr:col>4</xdr:col>
      <xdr:colOff>76200</xdr:colOff>
      <xdr:row>13</xdr:row>
      <xdr:rowOff>0</xdr:rowOff>
    </xdr:to>
    <xdr:sp macro="" textlink="">
      <xdr:nvSpPr>
        <xdr:cNvPr id="158" name="Text Box 1">
          <a:extLst>
            <a:ext uri="{FF2B5EF4-FFF2-40B4-BE49-F238E27FC236}">
              <a16:creationId xmlns:a16="http://schemas.microsoft.com/office/drawing/2014/main" id="{00000000-0008-0000-0300-00009E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12</xdr:row>
      <xdr:rowOff>0</xdr:rowOff>
    </xdr:from>
    <xdr:to>
      <xdr:col>4</xdr:col>
      <xdr:colOff>76200</xdr:colOff>
      <xdr:row>13</xdr:row>
      <xdr:rowOff>0</xdr:rowOff>
    </xdr:to>
    <xdr:sp macro="" textlink="">
      <xdr:nvSpPr>
        <xdr:cNvPr id="159" name="Text Box 1">
          <a:extLst>
            <a:ext uri="{FF2B5EF4-FFF2-40B4-BE49-F238E27FC236}">
              <a16:creationId xmlns:a16="http://schemas.microsoft.com/office/drawing/2014/main" id="{00000000-0008-0000-0300-00009F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12</xdr:row>
      <xdr:rowOff>0</xdr:rowOff>
    </xdr:from>
    <xdr:to>
      <xdr:col>4</xdr:col>
      <xdr:colOff>76200</xdr:colOff>
      <xdr:row>13</xdr:row>
      <xdr:rowOff>0</xdr:rowOff>
    </xdr:to>
    <xdr:sp macro="" textlink="">
      <xdr:nvSpPr>
        <xdr:cNvPr id="160" name="Text Box 2">
          <a:extLst>
            <a:ext uri="{FF2B5EF4-FFF2-40B4-BE49-F238E27FC236}">
              <a16:creationId xmlns:a16="http://schemas.microsoft.com/office/drawing/2014/main" id="{00000000-0008-0000-0300-0000A0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12</xdr:row>
      <xdr:rowOff>0</xdr:rowOff>
    </xdr:from>
    <xdr:to>
      <xdr:col>4</xdr:col>
      <xdr:colOff>76200</xdr:colOff>
      <xdr:row>13</xdr:row>
      <xdr:rowOff>0</xdr:rowOff>
    </xdr:to>
    <xdr:sp macro="" textlink="">
      <xdr:nvSpPr>
        <xdr:cNvPr id="161" name="Text Box 1">
          <a:extLst>
            <a:ext uri="{FF2B5EF4-FFF2-40B4-BE49-F238E27FC236}">
              <a16:creationId xmlns:a16="http://schemas.microsoft.com/office/drawing/2014/main" id="{00000000-0008-0000-0300-0000A1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12</xdr:row>
      <xdr:rowOff>0</xdr:rowOff>
    </xdr:from>
    <xdr:to>
      <xdr:col>4</xdr:col>
      <xdr:colOff>76200</xdr:colOff>
      <xdr:row>13</xdr:row>
      <xdr:rowOff>0</xdr:rowOff>
    </xdr:to>
    <xdr:sp macro="" textlink="">
      <xdr:nvSpPr>
        <xdr:cNvPr id="162" name="Text Box 1">
          <a:extLst>
            <a:ext uri="{FF2B5EF4-FFF2-40B4-BE49-F238E27FC236}">
              <a16:creationId xmlns:a16="http://schemas.microsoft.com/office/drawing/2014/main" id="{00000000-0008-0000-0300-0000A2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13</xdr:row>
      <xdr:rowOff>0</xdr:rowOff>
    </xdr:from>
    <xdr:to>
      <xdr:col>4</xdr:col>
      <xdr:colOff>76200</xdr:colOff>
      <xdr:row>14</xdr:row>
      <xdr:rowOff>0</xdr:rowOff>
    </xdr:to>
    <xdr:sp macro="" textlink="">
      <xdr:nvSpPr>
        <xdr:cNvPr id="163" name="Text Box 1">
          <a:extLst>
            <a:ext uri="{FF2B5EF4-FFF2-40B4-BE49-F238E27FC236}">
              <a16:creationId xmlns:a16="http://schemas.microsoft.com/office/drawing/2014/main" id="{00000000-0008-0000-0300-0000A3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13</xdr:row>
      <xdr:rowOff>0</xdr:rowOff>
    </xdr:from>
    <xdr:to>
      <xdr:col>4</xdr:col>
      <xdr:colOff>76200</xdr:colOff>
      <xdr:row>14</xdr:row>
      <xdr:rowOff>0</xdr:rowOff>
    </xdr:to>
    <xdr:sp macro="" textlink="">
      <xdr:nvSpPr>
        <xdr:cNvPr id="164" name="Text Box 2">
          <a:extLst>
            <a:ext uri="{FF2B5EF4-FFF2-40B4-BE49-F238E27FC236}">
              <a16:creationId xmlns:a16="http://schemas.microsoft.com/office/drawing/2014/main" id="{00000000-0008-0000-0300-0000A4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13</xdr:row>
      <xdr:rowOff>0</xdr:rowOff>
    </xdr:from>
    <xdr:to>
      <xdr:col>4</xdr:col>
      <xdr:colOff>76200</xdr:colOff>
      <xdr:row>14</xdr:row>
      <xdr:rowOff>0</xdr:rowOff>
    </xdr:to>
    <xdr:sp macro="" textlink="">
      <xdr:nvSpPr>
        <xdr:cNvPr id="165" name="Text Box 1">
          <a:extLst>
            <a:ext uri="{FF2B5EF4-FFF2-40B4-BE49-F238E27FC236}">
              <a16:creationId xmlns:a16="http://schemas.microsoft.com/office/drawing/2014/main" id="{00000000-0008-0000-0300-0000A5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13</xdr:row>
      <xdr:rowOff>0</xdr:rowOff>
    </xdr:from>
    <xdr:to>
      <xdr:col>4</xdr:col>
      <xdr:colOff>76200</xdr:colOff>
      <xdr:row>14</xdr:row>
      <xdr:rowOff>0</xdr:rowOff>
    </xdr:to>
    <xdr:sp macro="" textlink="">
      <xdr:nvSpPr>
        <xdr:cNvPr id="166" name="Text Box 1">
          <a:extLst>
            <a:ext uri="{FF2B5EF4-FFF2-40B4-BE49-F238E27FC236}">
              <a16:creationId xmlns:a16="http://schemas.microsoft.com/office/drawing/2014/main" id="{00000000-0008-0000-0300-0000A6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13</xdr:row>
      <xdr:rowOff>0</xdr:rowOff>
    </xdr:from>
    <xdr:to>
      <xdr:col>4</xdr:col>
      <xdr:colOff>76200</xdr:colOff>
      <xdr:row>14</xdr:row>
      <xdr:rowOff>0</xdr:rowOff>
    </xdr:to>
    <xdr:sp macro="" textlink="">
      <xdr:nvSpPr>
        <xdr:cNvPr id="167" name="Text Box 1">
          <a:extLst>
            <a:ext uri="{FF2B5EF4-FFF2-40B4-BE49-F238E27FC236}">
              <a16:creationId xmlns:a16="http://schemas.microsoft.com/office/drawing/2014/main" id="{00000000-0008-0000-0300-0000A7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13</xdr:row>
      <xdr:rowOff>0</xdr:rowOff>
    </xdr:from>
    <xdr:to>
      <xdr:col>4</xdr:col>
      <xdr:colOff>76200</xdr:colOff>
      <xdr:row>14</xdr:row>
      <xdr:rowOff>0</xdr:rowOff>
    </xdr:to>
    <xdr:sp macro="" textlink="">
      <xdr:nvSpPr>
        <xdr:cNvPr id="168" name="Text Box 2">
          <a:extLst>
            <a:ext uri="{FF2B5EF4-FFF2-40B4-BE49-F238E27FC236}">
              <a16:creationId xmlns:a16="http://schemas.microsoft.com/office/drawing/2014/main" id="{00000000-0008-0000-0300-0000A8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13</xdr:row>
      <xdr:rowOff>0</xdr:rowOff>
    </xdr:from>
    <xdr:to>
      <xdr:col>4</xdr:col>
      <xdr:colOff>76200</xdr:colOff>
      <xdr:row>14</xdr:row>
      <xdr:rowOff>0</xdr:rowOff>
    </xdr:to>
    <xdr:sp macro="" textlink="">
      <xdr:nvSpPr>
        <xdr:cNvPr id="169" name="Text Box 1">
          <a:extLst>
            <a:ext uri="{FF2B5EF4-FFF2-40B4-BE49-F238E27FC236}">
              <a16:creationId xmlns:a16="http://schemas.microsoft.com/office/drawing/2014/main" id="{00000000-0008-0000-0300-0000A9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13</xdr:row>
      <xdr:rowOff>0</xdr:rowOff>
    </xdr:from>
    <xdr:to>
      <xdr:col>4</xdr:col>
      <xdr:colOff>76200</xdr:colOff>
      <xdr:row>14</xdr:row>
      <xdr:rowOff>0</xdr:rowOff>
    </xdr:to>
    <xdr:sp macro="" textlink="">
      <xdr:nvSpPr>
        <xdr:cNvPr id="170" name="Text Box 1">
          <a:extLst>
            <a:ext uri="{FF2B5EF4-FFF2-40B4-BE49-F238E27FC236}">
              <a16:creationId xmlns:a16="http://schemas.microsoft.com/office/drawing/2014/main" id="{00000000-0008-0000-0300-0000AA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13</xdr:row>
      <xdr:rowOff>0</xdr:rowOff>
    </xdr:from>
    <xdr:to>
      <xdr:col>4</xdr:col>
      <xdr:colOff>76200</xdr:colOff>
      <xdr:row>14</xdr:row>
      <xdr:rowOff>0</xdr:rowOff>
    </xdr:to>
    <xdr:sp macro="" textlink="">
      <xdr:nvSpPr>
        <xdr:cNvPr id="171" name="Text Box 1">
          <a:extLst>
            <a:ext uri="{FF2B5EF4-FFF2-40B4-BE49-F238E27FC236}">
              <a16:creationId xmlns:a16="http://schemas.microsoft.com/office/drawing/2014/main" id="{00000000-0008-0000-0300-0000AB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13</xdr:row>
      <xdr:rowOff>0</xdr:rowOff>
    </xdr:from>
    <xdr:to>
      <xdr:col>4</xdr:col>
      <xdr:colOff>76200</xdr:colOff>
      <xdr:row>14</xdr:row>
      <xdr:rowOff>0</xdr:rowOff>
    </xdr:to>
    <xdr:sp macro="" textlink="">
      <xdr:nvSpPr>
        <xdr:cNvPr id="172" name="Text Box 2">
          <a:extLst>
            <a:ext uri="{FF2B5EF4-FFF2-40B4-BE49-F238E27FC236}">
              <a16:creationId xmlns:a16="http://schemas.microsoft.com/office/drawing/2014/main" id="{00000000-0008-0000-0300-0000AC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13</xdr:row>
      <xdr:rowOff>0</xdr:rowOff>
    </xdr:from>
    <xdr:to>
      <xdr:col>4</xdr:col>
      <xdr:colOff>76200</xdr:colOff>
      <xdr:row>14</xdr:row>
      <xdr:rowOff>0</xdr:rowOff>
    </xdr:to>
    <xdr:sp macro="" textlink="">
      <xdr:nvSpPr>
        <xdr:cNvPr id="173" name="Text Box 1">
          <a:extLst>
            <a:ext uri="{FF2B5EF4-FFF2-40B4-BE49-F238E27FC236}">
              <a16:creationId xmlns:a16="http://schemas.microsoft.com/office/drawing/2014/main" id="{00000000-0008-0000-0300-0000AD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13</xdr:row>
      <xdr:rowOff>0</xdr:rowOff>
    </xdr:from>
    <xdr:to>
      <xdr:col>4</xdr:col>
      <xdr:colOff>76200</xdr:colOff>
      <xdr:row>14</xdr:row>
      <xdr:rowOff>0</xdr:rowOff>
    </xdr:to>
    <xdr:sp macro="" textlink="">
      <xdr:nvSpPr>
        <xdr:cNvPr id="174" name="Text Box 1">
          <a:extLst>
            <a:ext uri="{FF2B5EF4-FFF2-40B4-BE49-F238E27FC236}">
              <a16:creationId xmlns:a16="http://schemas.microsoft.com/office/drawing/2014/main" id="{00000000-0008-0000-0300-0000AE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13</xdr:row>
      <xdr:rowOff>0</xdr:rowOff>
    </xdr:from>
    <xdr:to>
      <xdr:col>4</xdr:col>
      <xdr:colOff>76200</xdr:colOff>
      <xdr:row>14</xdr:row>
      <xdr:rowOff>0</xdr:rowOff>
    </xdr:to>
    <xdr:sp macro="" textlink="">
      <xdr:nvSpPr>
        <xdr:cNvPr id="175" name="Text Box 1">
          <a:extLst>
            <a:ext uri="{FF2B5EF4-FFF2-40B4-BE49-F238E27FC236}">
              <a16:creationId xmlns:a16="http://schemas.microsoft.com/office/drawing/2014/main" id="{00000000-0008-0000-0300-0000AF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13</xdr:row>
      <xdr:rowOff>0</xdr:rowOff>
    </xdr:from>
    <xdr:to>
      <xdr:col>4</xdr:col>
      <xdr:colOff>76200</xdr:colOff>
      <xdr:row>14</xdr:row>
      <xdr:rowOff>0</xdr:rowOff>
    </xdr:to>
    <xdr:sp macro="" textlink="">
      <xdr:nvSpPr>
        <xdr:cNvPr id="176" name="Text Box 2">
          <a:extLst>
            <a:ext uri="{FF2B5EF4-FFF2-40B4-BE49-F238E27FC236}">
              <a16:creationId xmlns:a16="http://schemas.microsoft.com/office/drawing/2014/main" id="{00000000-0008-0000-0300-0000B0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13</xdr:row>
      <xdr:rowOff>0</xdr:rowOff>
    </xdr:from>
    <xdr:to>
      <xdr:col>4</xdr:col>
      <xdr:colOff>76200</xdr:colOff>
      <xdr:row>14</xdr:row>
      <xdr:rowOff>0</xdr:rowOff>
    </xdr:to>
    <xdr:sp macro="" textlink="">
      <xdr:nvSpPr>
        <xdr:cNvPr id="177" name="Text Box 1">
          <a:extLst>
            <a:ext uri="{FF2B5EF4-FFF2-40B4-BE49-F238E27FC236}">
              <a16:creationId xmlns:a16="http://schemas.microsoft.com/office/drawing/2014/main" id="{00000000-0008-0000-0300-0000B1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13</xdr:row>
      <xdr:rowOff>0</xdr:rowOff>
    </xdr:from>
    <xdr:to>
      <xdr:col>4</xdr:col>
      <xdr:colOff>76200</xdr:colOff>
      <xdr:row>14</xdr:row>
      <xdr:rowOff>0</xdr:rowOff>
    </xdr:to>
    <xdr:sp macro="" textlink="">
      <xdr:nvSpPr>
        <xdr:cNvPr id="178" name="Text Box 1">
          <a:extLst>
            <a:ext uri="{FF2B5EF4-FFF2-40B4-BE49-F238E27FC236}">
              <a16:creationId xmlns:a16="http://schemas.microsoft.com/office/drawing/2014/main" id="{00000000-0008-0000-0300-0000B2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13</xdr:row>
      <xdr:rowOff>0</xdr:rowOff>
    </xdr:from>
    <xdr:to>
      <xdr:col>4</xdr:col>
      <xdr:colOff>76200</xdr:colOff>
      <xdr:row>14</xdr:row>
      <xdr:rowOff>0</xdr:rowOff>
    </xdr:to>
    <xdr:sp macro="" textlink="">
      <xdr:nvSpPr>
        <xdr:cNvPr id="179" name="Text Box 2">
          <a:extLst>
            <a:ext uri="{FF2B5EF4-FFF2-40B4-BE49-F238E27FC236}">
              <a16:creationId xmlns:a16="http://schemas.microsoft.com/office/drawing/2014/main" id="{00000000-0008-0000-0300-0000B3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13</xdr:row>
      <xdr:rowOff>0</xdr:rowOff>
    </xdr:from>
    <xdr:to>
      <xdr:col>4</xdr:col>
      <xdr:colOff>76200</xdr:colOff>
      <xdr:row>14</xdr:row>
      <xdr:rowOff>0</xdr:rowOff>
    </xdr:to>
    <xdr:sp macro="" textlink="">
      <xdr:nvSpPr>
        <xdr:cNvPr id="180" name="Text Box 1">
          <a:extLst>
            <a:ext uri="{FF2B5EF4-FFF2-40B4-BE49-F238E27FC236}">
              <a16:creationId xmlns:a16="http://schemas.microsoft.com/office/drawing/2014/main" id="{00000000-0008-0000-0300-0000B4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13</xdr:row>
      <xdr:rowOff>0</xdr:rowOff>
    </xdr:from>
    <xdr:to>
      <xdr:col>4</xdr:col>
      <xdr:colOff>76200</xdr:colOff>
      <xdr:row>14</xdr:row>
      <xdr:rowOff>0</xdr:rowOff>
    </xdr:to>
    <xdr:sp macro="" textlink="">
      <xdr:nvSpPr>
        <xdr:cNvPr id="181" name="Text Box 1">
          <a:extLst>
            <a:ext uri="{FF2B5EF4-FFF2-40B4-BE49-F238E27FC236}">
              <a16:creationId xmlns:a16="http://schemas.microsoft.com/office/drawing/2014/main" id="{00000000-0008-0000-0300-0000B5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13</xdr:row>
      <xdr:rowOff>0</xdr:rowOff>
    </xdr:from>
    <xdr:to>
      <xdr:col>4</xdr:col>
      <xdr:colOff>76200</xdr:colOff>
      <xdr:row>14</xdr:row>
      <xdr:rowOff>0</xdr:rowOff>
    </xdr:to>
    <xdr:sp macro="" textlink="">
      <xdr:nvSpPr>
        <xdr:cNvPr id="182" name="Text Box 1">
          <a:extLst>
            <a:ext uri="{FF2B5EF4-FFF2-40B4-BE49-F238E27FC236}">
              <a16:creationId xmlns:a16="http://schemas.microsoft.com/office/drawing/2014/main" id="{00000000-0008-0000-0300-0000B6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13</xdr:row>
      <xdr:rowOff>0</xdr:rowOff>
    </xdr:from>
    <xdr:to>
      <xdr:col>4</xdr:col>
      <xdr:colOff>76200</xdr:colOff>
      <xdr:row>14</xdr:row>
      <xdr:rowOff>0</xdr:rowOff>
    </xdr:to>
    <xdr:sp macro="" textlink="">
      <xdr:nvSpPr>
        <xdr:cNvPr id="183" name="Text Box 2">
          <a:extLst>
            <a:ext uri="{FF2B5EF4-FFF2-40B4-BE49-F238E27FC236}">
              <a16:creationId xmlns:a16="http://schemas.microsoft.com/office/drawing/2014/main" id="{00000000-0008-0000-0300-0000B7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13</xdr:row>
      <xdr:rowOff>0</xdr:rowOff>
    </xdr:from>
    <xdr:to>
      <xdr:col>4</xdr:col>
      <xdr:colOff>76200</xdr:colOff>
      <xdr:row>14</xdr:row>
      <xdr:rowOff>0</xdr:rowOff>
    </xdr:to>
    <xdr:sp macro="" textlink="">
      <xdr:nvSpPr>
        <xdr:cNvPr id="184" name="Text Box 1">
          <a:extLst>
            <a:ext uri="{FF2B5EF4-FFF2-40B4-BE49-F238E27FC236}">
              <a16:creationId xmlns:a16="http://schemas.microsoft.com/office/drawing/2014/main" id="{00000000-0008-0000-0300-0000B8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13</xdr:row>
      <xdr:rowOff>0</xdr:rowOff>
    </xdr:from>
    <xdr:to>
      <xdr:col>4</xdr:col>
      <xdr:colOff>76200</xdr:colOff>
      <xdr:row>14</xdr:row>
      <xdr:rowOff>0</xdr:rowOff>
    </xdr:to>
    <xdr:sp macro="" textlink="">
      <xdr:nvSpPr>
        <xdr:cNvPr id="185" name="Text Box 1">
          <a:extLst>
            <a:ext uri="{FF2B5EF4-FFF2-40B4-BE49-F238E27FC236}">
              <a16:creationId xmlns:a16="http://schemas.microsoft.com/office/drawing/2014/main" id="{00000000-0008-0000-0300-0000B9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14</xdr:row>
      <xdr:rowOff>0</xdr:rowOff>
    </xdr:from>
    <xdr:to>
      <xdr:col>4</xdr:col>
      <xdr:colOff>76200</xdr:colOff>
      <xdr:row>15</xdr:row>
      <xdr:rowOff>0</xdr:rowOff>
    </xdr:to>
    <xdr:sp macro="" textlink="">
      <xdr:nvSpPr>
        <xdr:cNvPr id="186" name="Text Box 1">
          <a:extLst>
            <a:ext uri="{FF2B5EF4-FFF2-40B4-BE49-F238E27FC236}">
              <a16:creationId xmlns:a16="http://schemas.microsoft.com/office/drawing/2014/main" id="{00000000-0008-0000-0300-0000BA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14</xdr:row>
      <xdr:rowOff>0</xdr:rowOff>
    </xdr:from>
    <xdr:to>
      <xdr:col>4</xdr:col>
      <xdr:colOff>76200</xdr:colOff>
      <xdr:row>15</xdr:row>
      <xdr:rowOff>0</xdr:rowOff>
    </xdr:to>
    <xdr:sp macro="" textlink="">
      <xdr:nvSpPr>
        <xdr:cNvPr id="187" name="Text Box 2">
          <a:extLst>
            <a:ext uri="{FF2B5EF4-FFF2-40B4-BE49-F238E27FC236}">
              <a16:creationId xmlns:a16="http://schemas.microsoft.com/office/drawing/2014/main" id="{00000000-0008-0000-0300-0000BB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14</xdr:row>
      <xdr:rowOff>0</xdr:rowOff>
    </xdr:from>
    <xdr:to>
      <xdr:col>4</xdr:col>
      <xdr:colOff>76200</xdr:colOff>
      <xdr:row>15</xdr:row>
      <xdr:rowOff>0</xdr:rowOff>
    </xdr:to>
    <xdr:sp macro="" textlink="">
      <xdr:nvSpPr>
        <xdr:cNvPr id="188" name="Text Box 1">
          <a:extLst>
            <a:ext uri="{FF2B5EF4-FFF2-40B4-BE49-F238E27FC236}">
              <a16:creationId xmlns:a16="http://schemas.microsoft.com/office/drawing/2014/main" id="{00000000-0008-0000-0300-0000BC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14</xdr:row>
      <xdr:rowOff>0</xdr:rowOff>
    </xdr:from>
    <xdr:to>
      <xdr:col>4</xdr:col>
      <xdr:colOff>76200</xdr:colOff>
      <xdr:row>15</xdr:row>
      <xdr:rowOff>0</xdr:rowOff>
    </xdr:to>
    <xdr:sp macro="" textlink="">
      <xdr:nvSpPr>
        <xdr:cNvPr id="189" name="Text Box 1">
          <a:extLst>
            <a:ext uri="{FF2B5EF4-FFF2-40B4-BE49-F238E27FC236}">
              <a16:creationId xmlns:a16="http://schemas.microsoft.com/office/drawing/2014/main" id="{00000000-0008-0000-0300-0000BD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14</xdr:row>
      <xdr:rowOff>0</xdr:rowOff>
    </xdr:from>
    <xdr:to>
      <xdr:col>4</xdr:col>
      <xdr:colOff>76200</xdr:colOff>
      <xdr:row>15</xdr:row>
      <xdr:rowOff>0</xdr:rowOff>
    </xdr:to>
    <xdr:sp macro="" textlink="">
      <xdr:nvSpPr>
        <xdr:cNvPr id="190" name="Text Box 1">
          <a:extLst>
            <a:ext uri="{FF2B5EF4-FFF2-40B4-BE49-F238E27FC236}">
              <a16:creationId xmlns:a16="http://schemas.microsoft.com/office/drawing/2014/main" id="{00000000-0008-0000-0300-0000BE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14</xdr:row>
      <xdr:rowOff>0</xdr:rowOff>
    </xdr:from>
    <xdr:to>
      <xdr:col>4</xdr:col>
      <xdr:colOff>76200</xdr:colOff>
      <xdr:row>15</xdr:row>
      <xdr:rowOff>0</xdr:rowOff>
    </xdr:to>
    <xdr:sp macro="" textlink="">
      <xdr:nvSpPr>
        <xdr:cNvPr id="191" name="Text Box 2">
          <a:extLst>
            <a:ext uri="{FF2B5EF4-FFF2-40B4-BE49-F238E27FC236}">
              <a16:creationId xmlns:a16="http://schemas.microsoft.com/office/drawing/2014/main" id="{00000000-0008-0000-0300-0000BF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14</xdr:row>
      <xdr:rowOff>0</xdr:rowOff>
    </xdr:from>
    <xdr:to>
      <xdr:col>4</xdr:col>
      <xdr:colOff>76200</xdr:colOff>
      <xdr:row>15</xdr:row>
      <xdr:rowOff>0</xdr:rowOff>
    </xdr:to>
    <xdr:sp macro="" textlink="">
      <xdr:nvSpPr>
        <xdr:cNvPr id="192" name="Text Box 1">
          <a:extLst>
            <a:ext uri="{FF2B5EF4-FFF2-40B4-BE49-F238E27FC236}">
              <a16:creationId xmlns:a16="http://schemas.microsoft.com/office/drawing/2014/main" id="{00000000-0008-0000-0300-0000C0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14</xdr:row>
      <xdr:rowOff>0</xdr:rowOff>
    </xdr:from>
    <xdr:to>
      <xdr:col>4</xdr:col>
      <xdr:colOff>76200</xdr:colOff>
      <xdr:row>15</xdr:row>
      <xdr:rowOff>0</xdr:rowOff>
    </xdr:to>
    <xdr:sp macro="" textlink="">
      <xdr:nvSpPr>
        <xdr:cNvPr id="193" name="Text Box 1">
          <a:extLst>
            <a:ext uri="{FF2B5EF4-FFF2-40B4-BE49-F238E27FC236}">
              <a16:creationId xmlns:a16="http://schemas.microsoft.com/office/drawing/2014/main" id="{00000000-0008-0000-0300-0000C1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14</xdr:row>
      <xdr:rowOff>0</xdr:rowOff>
    </xdr:from>
    <xdr:to>
      <xdr:col>4</xdr:col>
      <xdr:colOff>76200</xdr:colOff>
      <xdr:row>15</xdr:row>
      <xdr:rowOff>0</xdr:rowOff>
    </xdr:to>
    <xdr:sp macro="" textlink="">
      <xdr:nvSpPr>
        <xdr:cNvPr id="194" name="Text Box 1">
          <a:extLst>
            <a:ext uri="{FF2B5EF4-FFF2-40B4-BE49-F238E27FC236}">
              <a16:creationId xmlns:a16="http://schemas.microsoft.com/office/drawing/2014/main" id="{00000000-0008-0000-0300-0000C2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14</xdr:row>
      <xdr:rowOff>0</xdr:rowOff>
    </xdr:from>
    <xdr:to>
      <xdr:col>4</xdr:col>
      <xdr:colOff>76200</xdr:colOff>
      <xdr:row>15</xdr:row>
      <xdr:rowOff>0</xdr:rowOff>
    </xdr:to>
    <xdr:sp macro="" textlink="">
      <xdr:nvSpPr>
        <xdr:cNvPr id="195" name="Text Box 2">
          <a:extLst>
            <a:ext uri="{FF2B5EF4-FFF2-40B4-BE49-F238E27FC236}">
              <a16:creationId xmlns:a16="http://schemas.microsoft.com/office/drawing/2014/main" id="{00000000-0008-0000-0300-0000C3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14</xdr:row>
      <xdr:rowOff>0</xdr:rowOff>
    </xdr:from>
    <xdr:to>
      <xdr:col>4</xdr:col>
      <xdr:colOff>76200</xdr:colOff>
      <xdr:row>15</xdr:row>
      <xdr:rowOff>0</xdr:rowOff>
    </xdr:to>
    <xdr:sp macro="" textlink="">
      <xdr:nvSpPr>
        <xdr:cNvPr id="196" name="Text Box 1">
          <a:extLst>
            <a:ext uri="{FF2B5EF4-FFF2-40B4-BE49-F238E27FC236}">
              <a16:creationId xmlns:a16="http://schemas.microsoft.com/office/drawing/2014/main" id="{00000000-0008-0000-0300-0000C4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14</xdr:row>
      <xdr:rowOff>0</xdr:rowOff>
    </xdr:from>
    <xdr:to>
      <xdr:col>4</xdr:col>
      <xdr:colOff>76200</xdr:colOff>
      <xdr:row>15</xdr:row>
      <xdr:rowOff>0</xdr:rowOff>
    </xdr:to>
    <xdr:sp macro="" textlink="">
      <xdr:nvSpPr>
        <xdr:cNvPr id="197" name="Text Box 1">
          <a:extLst>
            <a:ext uri="{FF2B5EF4-FFF2-40B4-BE49-F238E27FC236}">
              <a16:creationId xmlns:a16="http://schemas.microsoft.com/office/drawing/2014/main" id="{00000000-0008-0000-0300-0000C5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14</xdr:row>
      <xdr:rowOff>0</xdr:rowOff>
    </xdr:from>
    <xdr:to>
      <xdr:col>4</xdr:col>
      <xdr:colOff>76200</xdr:colOff>
      <xdr:row>15</xdr:row>
      <xdr:rowOff>0</xdr:rowOff>
    </xdr:to>
    <xdr:sp macro="" textlink="">
      <xdr:nvSpPr>
        <xdr:cNvPr id="198" name="Text Box 1">
          <a:extLst>
            <a:ext uri="{FF2B5EF4-FFF2-40B4-BE49-F238E27FC236}">
              <a16:creationId xmlns:a16="http://schemas.microsoft.com/office/drawing/2014/main" id="{00000000-0008-0000-0300-0000C6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14</xdr:row>
      <xdr:rowOff>0</xdr:rowOff>
    </xdr:from>
    <xdr:to>
      <xdr:col>4</xdr:col>
      <xdr:colOff>76200</xdr:colOff>
      <xdr:row>15</xdr:row>
      <xdr:rowOff>0</xdr:rowOff>
    </xdr:to>
    <xdr:sp macro="" textlink="">
      <xdr:nvSpPr>
        <xdr:cNvPr id="199" name="Text Box 2">
          <a:extLst>
            <a:ext uri="{FF2B5EF4-FFF2-40B4-BE49-F238E27FC236}">
              <a16:creationId xmlns:a16="http://schemas.microsoft.com/office/drawing/2014/main" id="{00000000-0008-0000-0300-0000C7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14</xdr:row>
      <xdr:rowOff>0</xdr:rowOff>
    </xdr:from>
    <xdr:to>
      <xdr:col>4</xdr:col>
      <xdr:colOff>76200</xdr:colOff>
      <xdr:row>15</xdr:row>
      <xdr:rowOff>0</xdr:rowOff>
    </xdr:to>
    <xdr:sp macro="" textlink="">
      <xdr:nvSpPr>
        <xdr:cNvPr id="200" name="Text Box 1">
          <a:extLst>
            <a:ext uri="{FF2B5EF4-FFF2-40B4-BE49-F238E27FC236}">
              <a16:creationId xmlns:a16="http://schemas.microsoft.com/office/drawing/2014/main" id="{00000000-0008-0000-0300-0000C8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14</xdr:row>
      <xdr:rowOff>0</xdr:rowOff>
    </xdr:from>
    <xdr:to>
      <xdr:col>4</xdr:col>
      <xdr:colOff>76200</xdr:colOff>
      <xdr:row>15</xdr:row>
      <xdr:rowOff>0</xdr:rowOff>
    </xdr:to>
    <xdr:sp macro="" textlink="">
      <xdr:nvSpPr>
        <xdr:cNvPr id="201" name="Text Box 1">
          <a:extLst>
            <a:ext uri="{FF2B5EF4-FFF2-40B4-BE49-F238E27FC236}">
              <a16:creationId xmlns:a16="http://schemas.microsoft.com/office/drawing/2014/main" id="{00000000-0008-0000-0300-0000C9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14</xdr:row>
      <xdr:rowOff>0</xdr:rowOff>
    </xdr:from>
    <xdr:to>
      <xdr:col>4</xdr:col>
      <xdr:colOff>76200</xdr:colOff>
      <xdr:row>15</xdr:row>
      <xdr:rowOff>0</xdr:rowOff>
    </xdr:to>
    <xdr:sp macro="" textlink="">
      <xdr:nvSpPr>
        <xdr:cNvPr id="202" name="Text Box 2">
          <a:extLst>
            <a:ext uri="{FF2B5EF4-FFF2-40B4-BE49-F238E27FC236}">
              <a16:creationId xmlns:a16="http://schemas.microsoft.com/office/drawing/2014/main" id="{00000000-0008-0000-0300-0000CA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14</xdr:row>
      <xdr:rowOff>0</xdr:rowOff>
    </xdr:from>
    <xdr:to>
      <xdr:col>4</xdr:col>
      <xdr:colOff>76200</xdr:colOff>
      <xdr:row>15</xdr:row>
      <xdr:rowOff>0</xdr:rowOff>
    </xdr:to>
    <xdr:sp macro="" textlink="">
      <xdr:nvSpPr>
        <xdr:cNvPr id="203" name="Text Box 1">
          <a:extLst>
            <a:ext uri="{FF2B5EF4-FFF2-40B4-BE49-F238E27FC236}">
              <a16:creationId xmlns:a16="http://schemas.microsoft.com/office/drawing/2014/main" id="{00000000-0008-0000-0300-0000CB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14</xdr:row>
      <xdr:rowOff>0</xdr:rowOff>
    </xdr:from>
    <xdr:to>
      <xdr:col>4</xdr:col>
      <xdr:colOff>76200</xdr:colOff>
      <xdr:row>15</xdr:row>
      <xdr:rowOff>0</xdr:rowOff>
    </xdr:to>
    <xdr:sp macro="" textlink="">
      <xdr:nvSpPr>
        <xdr:cNvPr id="204" name="Text Box 1">
          <a:extLst>
            <a:ext uri="{FF2B5EF4-FFF2-40B4-BE49-F238E27FC236}">
              <a16:creationId xmlns:a16="http://schemas.microsoft.com/office/drawing/2014/main" id="{00000000-0008-0000-0300-0000CC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14</xdr:row>
      <xdr:rowOff>0</xdr:rowOff>
    </xdr:from>
    <xdr:to>
      <xdr:col>4</xdr:col>
      <xdr:colOff>76200</xdr:colOff>
      <xdr:row>15</xdr:row>
      <xdr:rowOff>0</xdr:rowOff>
    </xdr:to>
    <xdr:sp macro="" textlink="">
      <xdr:nvSpPr>
        <xdr:cNvPr id="205" name="Text Box 1">
          <a:extLst>
            <a:ext uri="{FF2B5EF4-FFF2-40B4-BE49-F238E27FC236}">
              <a16:creationId xmlns:a16="http://schemas.microsoft.com/office/drawing/2014/main" id="{00000000-0008-0000-0300-0000CD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14</xdr:row>
      <xdr:rowOff>0</xdr:rowOff>
    </xdr:from>
    <xdr:to>
      <xdr:col>4</xdr:col>
      <xdr:colOff>76200</xdr:colOff>
      <xdr:row>15</xdr:row>
      <xdr:rowOff>0</xdr:rowOff>
    </xdr:to>
    <xdr:sp macro="" textlink="">
      <xdr:nvSpPr>
        <xdr:cNvPr id="206" name="Text Box 2">
          <a:extLst>
            <a:ext uri="{FF2B5EF4-FFF2-40B4-BE49-F238E27FC236}">
              <a16:creationId xmlns:a16="http://schemas.microsoft.com/office/drawing/2014/main" id="{00000000-0008-0000-0300-0000CE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14</xdr:row>
      <xdr:rowOff>0</xdr:rowOff>
    </xdr:from>
    <xdr:to>
      <xdr:col>4</xdr:col>
      <xdr:colOff>76200</xdr:colOff>
      <xdr:row>15</xdr:row>
      <xdr:rowOff>0</xdr:rowOff>
    </xdr:to>
    <xdr:sp macro="" textlink="">
      <xdr:nvSpPr>
        <xdr:cNvPr id="207" name="Text Box 1">
          <a:extLst>
            <a:ext uri="{FF2B5EF4-FFF2-40B4-BE49-F238E27FC236}">
              <a16:creationId xmlns:a16="http://schemas.microsoft.com/office/drawing/2014/main" id="{00000000-0008-0000-0300-0000CF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14</xdr:row>
      <xdr:rowOff>0</xdr:rowOff>
    </xdr:from>
    <xdr:to>
      <xdr:col>4</xdr:col>
      <xdr:colOff>76200</xdr:colOff>
      <xdr:row>15</xdr:row>
      <xdr:rowOff>0</xdr:rowOff>
    </xdr:to>
    <xdr:sp macro="" textlink="">
      <xdr:nvSpPr>
        <xdr:cNvPr id="208" name="Text Box 1">
          <a:extLst>
            <a:ext uri="{FF2B5EF4-FFF2-40B4-BE49-F238E27FC236}">
              <a16:creationId xmlns:a16="http://schemas.microsoft.com/office/drawing/2014/main" id="{00000000-0008-0000-0300-0000D0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15</xdr:row>
      <xdr:rowOff>0</xdr:rowOff>
    </xdr:from>
    <xdr:to>
      <xdr:col>4</xdr:col>
      <xdr:colOff>76200</xdr:colOff>
      <xdr:row>16</xdr:row>
      <xdr:rowOff>0</xdr:rowOff>
    </xdr:to>
    <xdr:sp macro="" textlink="">
      <xdr:nvSpPr>
        <xdr:cNvPr id="209" name="Text Box 1">
          <a:extLst>
            <a:ext uri="{FF2B5EF4-FFF2-40B4-BE49-F238E27FC236}">
              <a16:creationId xmlns:a16="http://schemas.microsoft.com/office/drawing/2014/main" id="{00000000-0008-0000-0300-0000D1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15</xdr:row>
      <xdr:rowOff>0</xdr:rowOff>
    </xdr:from>
    <xdr:to>
      <xdr:col>4</xdr:col>
      <xdr:colOff>76200</xdr:colOff>
      <xdr:row>16</xdr:row>
      <xdr:rowOff>0</xdr:rowOff>
    </xdr:to>
    <xdr:sp macro="" textlink="">
      <xdr:nvSpPr>
        <xdr:cNvPr id="210" name="Text Box 2">
          <a:extLst>
            <a:ext uri="{FF2B5EF4-FFF2-40B4-BE49-F238E27FC236}">
              <a16:creationId xmlns:a16="http://schemas.microsoft.com/office/drawing/2014/main" id="{00000000-0008-0000-0300-0000D2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15</xdr:row>
      <xdr:rowOff>0</xdr:rowOff>
    </xdr:from>
    <xdr:to>
      <xdr:col>4</xdr:col>
      <xdr:colOff>76200</xdr:colOff>
      <xdr:row>16</xdr:row>
      <xdr:rowOff>0</xdr:rowOff>
    </xdr:to>
    <xdr:sp macro="" textlink="">
      <xdr:nvSpPr>
        <xdr:cNvPr id="211" name="Text Box 1">
          <a:extLst>
            <a:ext uri="{FF2B5EF4-FFF2-40B4-BE49-F238E27FC236}">
              <a16:creationId xmlns:a16="http://schemas.microsoft.com/office/drawing/2014/main" id="{00000000-0008-0000-0300-0000D3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15</xdr:row>
      <xdr:rowOff>0</xdr:rowOff>
    </xdr:from>
    <xdr:to>
      <xdr:col>4</xdr:col>
      <xdr:colOff>76200</xdr:colOff>
      <xdr:row>16</xdr:row>
      <xdr:rowOff>0</xdr:rowOff>
    </xdr:to>
    <xdr:sp macro="" textlink="">
      <xdr:nvSpPr>
        <xdr:cNvPr id="212" name="Text Box 1">
          <a:extLst>
            <a:ext uri="{FF2B5EF4-FFF2-40B4-BE49-F238E27FC236}">
              <a16:creationId xmlns:a16="http://schemas.microsoft.com/office/drawing/2014/main" id="{00000000-0008-0000-0300-0000D4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15</xdr:row>
      <xdr:rowOff>0</xdr:rowOff>
    </xdr:from>
    <xdr:to>
      <xdr:col>4</xdr:col>
      <xdr:colOff>76200</xdr:colOff>
      <xdr:row>16</xdr:row>
      <xdr:rowOff>0</xdr:rowOff>
    </xdr:to>
    <xdr:sp macro="" textlink="">
      <xdr:nvSpPr>
        <xdr:cNvPr id="213" name="Text Box 1">
          <a:extLst>
            <a:ext uri="{FF2B5EF4-FFF2-40B4-BE49-F238E27FC236}">
              <a16:creationId xmlns:a16="http://schemas.microsoft.com/office/drawing/2014/main" id="{00000000-0008-0000-0300-0000D5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15</xdr:row>
      <xdr:rowOff>0</xdr:rowOff>
    </xdr:from>
    <xdr:to>
      <xdr:col>4</xdr:col>
      <xdr:colOff>76200</xdr:colOff>
      <xdr:row>16</xdr:row>
      <xdr:rowOff>0</xdr:rowOff>
    </xdr:to>
    <xdr:sp macro="" textlink="">
      <xdr:nvSpPr>
        <xdr:cNvPr id="214" name="Text Box 2">
          <a:extLst>
            <a:ext uri="{FF2B5EF4-FFF2-40B4-BE49-F238E27FC236}">
              <a16:creationId xmlns:a16="http://schemas.microsoft.com/office/drawing/2014/main" id="{00000000-0008-0000-0300-0000D6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15</xdr:row>
      <xdr:rowOff>0</xdr:rowOff>
    </xdr:from>
    <xdr:to>
      <xdr:col>4</xdr:col>
      <xdr:colOff>76200</xdr:colOff>
      <xdr:row>16</xdr:row>
      <xdr:rowOff>0</xdr:rowOff>
    </xdr:to>
    <xdr:sp macro="" textlink="">
      <xdr:nvSpPr>
        <xdr:cNvPr id="215" name="Text Box 1">
          <a:extLst>
            <a:ext uri="{FF2B5EF4-FFF2-40B4-BE49-F238E27FC236}">
              <a16:creationId xmlns:a16="http://schemas.microsoft.com/office/drawing/2014/main" id="{00000000-0008-0000-0300-0000D7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15</xdr:row>
      <xdr:rowOff>0</xdr:rowOff>
    </xdr:from>
    <xdr:to>
      <xdr:col>4</xdr:col>
      <xdr:colOff>76200</xdr:colOff>
      <xdr:row>16</xdr:row>
      <xdr:rowOff>0</xdr:rowOff>
    </xdr:to>
    <xdr:sp macro="" textlink="">
      <xdr:nvSpPr>
        <xdr:cNvPr id="216" name="Text Box 1">
          <a:extLst>
            <a:ext uri="{FF2B5EF4-FFF2-40B4-BE49-F238E27FC236}">
              <a16:creationId xmlns:a16="http://schemas.microsoft.com/office/drawing/2014/main" id="{00000000-0008-0000-0300-0000D8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15</xdr:row>
      <xdr:rowOff>0</xdr:rowOff>
    </xdr:from>
    <xdr:to>
      <xdr:col>4</xdr:col>
      <xdr:colOff>76200</xdr:colOff>
      <xdr:row>16</xdr:row>
      <xdr:rowOff>0</xdr:rowOff>
    </xdr:to>
    <xdr:sp macro="" textlink="">
      <xdr:nvSpPr>
        <xdr:cNvPr id="217" name="Text Box 1">
          <a:extLst>
            <a:ext uri="{FF2B5EF4-FFF2-40B4-BE49-F238E27FC236}">
              <a16:creationId xmlns:a16="http://schemas.microsoft.com/office/drawing/2014/main" id="{00000000-0008-0000-0300-0000D9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15</xdr:row>
      <xdr:rowOff>0</xdr:rowOff>
    </xdr:from>
    <xdr:to>
      <xdr:col>4</xdr:col>
      <xdr:colOff>76200</xdr:colOff>
      <xdr:row>16</xdr:row>
      <xdr:rowOff>0</xdr:rowOff>
    </xdr:to>
    <xdr:sp macro="" textlink="">
      <xdr:nvSpPr>
        <xdr:cNvPr id="218" name="Text Box 2">
          <a:extLst>
            <a:ext uri="{FF2B5EF4-FFF2-40B4-BE49-F238E27FC236}">
              <a16:creationId xmlns:a16="http://schemas.microsoft.com/office/drawing/2014/main" id="{00000000-0008-0000-0300-0000DA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15</xdr:row>
      <xdr:rowOff>0</xdr:rowOff>
    </xdr:from>
    <xdr:to>
      <xdr:col>4</xdr:col>
      <xdr:colOff>76200</xdr:colOff>
      <xdr:row>16</xdr:row>
      <xdr:rowOff>0</xdr:rowOff>
    </xdr:to>
    <xdr:sp macro="" textlink="">
      <xdr:nvSpPr>
        <xdr:cNvPr id="219" name="Text Box 1">
          <a:extLst>
            <a:ext uri="{FF2B5EF4-FFF2-40B4-BE49-F238E27FC236}">
              <a16:creationId xmlns:a16="http://schemas.microsoft.com/office/drawing/2014/main" id="{00000000-0008-0000-0300-0000DB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15</xdr:row>
      <xdr:rowOff>0</xdr:rowOff>
    </xdr:from>
    <xdr:to>
      <xdr:col>4</xdr:col>
      <xdr:colOff>76200</xdr:colOff>
      <xdr:row>16</xdr:row>
      <xdr:rowOff>0</xdr:rowOff>
    </xdr:to>
    <xdr:sp macro="" textlink="">
      <xdr:nvSpPr>
        <xdr:cNvPr id="220" name="Text Box 1">
          <a:extLst>
            <a:ext uri="{FF2B5EF4-FFF2-40B4-BE49-F238E27FC236}">
              <a16:creationId xmlns:a16="http://schemas.microsoft.com/office/drawing/2014/main" id="{00000000-0008-0000-0300-0000DC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15</xdr:row>
      <xdr:rowOff>0</xdr:rowOff>
    </xdr:from>
    <xdr:to>
      <xdr:col>4</xdr:col>
      <xdr:colOff>76200</xdr:colOff>
      <xdr:row>16</xdr:row>
      <xdr:rowOff>0</xdr:rowOff>
    </xdr:to>
    <xdr:sp macro="" textlink="">
      <xdr:nvSpPr>
        <xdr:cNvPr id="221" name="Text Box 1">
          <a:extLst>
            <a:ext uri="{FF2B5EF4-FFF2-40B4-BE49-F238E27FC236}">
              <a16:creationId xmlns:a16="http://schemas.microsoft.com/office/drawing/2014/main" id="{00000000-0008-0000-0300-0000DD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15</xdr:row>
      <xdr:rowOff>0</xdr:rowOff>
    </xdr:from>
    <xdr:to>
      <xdr:col>4</xdr:col>
      <xdr:colOff>76200</xdr:colOff>
      <xdr:row>16</xdr:row>
      <xdr:rowOff>0</xdr:rowOff>
    </xdr:to>
    <xdr:sp macro="" textlink="">
      <xdr:nvSpPr>
        <xdr:cNvPr id="222" name="Text Box 2">
          <a:extLst>
            <a:ext uri="{FF2B5EF4-FFF2-40B4-BE49-F238E27FC236}">
              <a16:creationId xmlns:a16="http://schemas.microsoft.com/office/drawing/2014/main" id="{00000000-0008-0000-0300-0000DE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15</xdr:row>
      <xdr:rowOff>0</xdr:rowOff>
    </xdr:from>
    <xdr:to>
      <xdr:col>4</xdr:col>
      <xdr:colOff>76200</xdr:colOff>
      <xdr:row>16</xdr:row>
      <xdr:rowOff>0</xdr:rowOff>
    </xdr:to>
    <xdr:sp macro="" textlink="">
      <xdr:nvSpPr>
        <xdr:cNvPr id="223" name="Text Box 1">
          <a:extLst>
            <a:ext uri="{FF2B5EF4-FFF2-40B4-BE49-F238E27FC236}">
              <a16:creationId xmlns:a16="http://schemas.microsoft.com/office/drawing/2014/main" id="{00000000-0008-0000-0300-0000DF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15</xdr:row>
      <xdr:rowOff>0</xdr:rowOff>
    </xdr:from>
    <xdr:to>
      <xdr:col>4</xdr:col>
      <xdr:colOff>76200</xdr:colOff>
      <xdr:row>16</xdr:row>
      <xdr:rowOff>0</xdr:rowOff>
    </xdr:to>
    <xdr:sp macro="" textlink="">
      <xdr:nvSpPr>
        <xdr:cNvPr id="224" name="Text Box 1">
          <a:extLst>
            <a:ext uri="{FF2B5EF4-FFF2-40B4-BE49-F238E27FC236}">
              <a16:creationId xmlns:a16="http://schemas.microsoft.com/office/drawing/2014/main" id="{00000000-0008-0000-0300-0000E0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15</xdr:row>
      <xdr:rowOff>0</xdr:rowOff>
    </xdr:from>
    <xdr:to>
      <xdr:col>4</xdr:col>
      <xdr:colOff>76200</xdr:colOff>
      <xdr:row>16</xdr:row>
      <xdr:rowOff>0</xdr:rowOff>
    </xdr:to>
    <xdr:sp macro="" textlink="">
      <xdr:nvSpPr>
        <xdr:cNvPr id="225" name="Text Box 2">
          <a:extLst>
            <a:ext uri="{FF2B5EF4-FFF2-40B4-BE49-F238E27FC236}">
              <a16:creationId xmlns:a16="http://schemas.microsoft.com/office/drawing/2014/main" id="{00000000-0008-0000-0300-0000E1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15</xdr:row>
      <xdr:rowOff>0</xdr:rowOff>
    </xdr:from>
    <xdr:to>
      <xdr:col>4</xdr:col>
      <xdr:colOff>76200</xdr:colOff>
      <xdr:row>16</xdr:row>
      <xdr:rowOff>0</xdr:rowOff>
    </xdr:to>
    <xdr:sp macro="" textlink="">
      <xdr:nvSpPr>
        <xdr:cNvPr id="226" name="Text Box 1">
          <a:extLst>
            <a:ext uri="{FF2B5EF4-FFF2-40B4-BE49-F238E27FC236}">
              <a16:creationId xmlns:a16="http://schemas.microsoft.com/office/drawing/2014/main" id="{00000000-0008-0000-0300-0000E2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15</xdr:row>
      <xdr:rowOff>0</xdr:rowOff>
    </xdr:from>
    <xdr:to>
      <xdr:col>4</xdr:col>
      <xdr:colOff>76200</xdr:colOff>
      <xdr:row>16</xdr:row>
      <xdr:rowOff>0</xdr:rowOff>
    </xdr:to>
    <xdr:sp macro="" textlink="">
      <xdr:nvSpPr>
        <xdr:cNvPr id="227" name="Text Box 1">
          <a:extLst>
            <a:ext uri="{FF2B5EF4-FFF2-40B4-BE49-F238E27FC236}">
              <a16:creationId xmlns:a16="http://schemas.microsoft.com/office/drawing/2014/main" id="{00000000-0008-0000-0300-0000E3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15</xdr:row>
      <xdr:rowOff>0</xdr:rowOff>
    </xdr:from>
    <xdr:to>
      <xdr:col>4</xdr:col>
      <xdr:colOff>76200</xdr:colOff>
      <xdr:row>16</xdr:row>
      <xdr:rowOff>0</xdr:rowOff>
    </xdr:to>
    <xdr:sp macro="" textlink="">
      <xdr:nvSpPr>
        <xdr:cNvPr id="228" name="Text Box 1">
          <a:extLst>
            <a:ext uri="{FF2B5EF4-FFF2-40B4-BE49-F238E27FC236}">
              <a16:creationId xmlns:a16="http://schemas.microsoft.com/office/drawing/2014/main" id="{00000000-0008-0000-0300-0000E4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15</xdr:row>
      <xdr:rowOff>0</xdr:rowOff>
    </xdr:from>
    <xdr:to>
      <xdr:col>4</xdr:col>
      <xdr:colOff>76200</xdr:colOff>
      <xdr:row>16</xdr:row>
      <xdr:rowOff>0</xdr:rowOff>
    </xdr:to>
    <xdr:sp macro="" textlink="">
      <xdr:nvSpPr>
        <xdr:cNvPr id="229" name="Text Box 2">
          <a:extLst>
            <a:ext uri="{FF2B5EF4-FFF2-40B4-BE49-F238E27FC236}">
              <a16:creationId xmlns:a16="http://schemas.microsoft.com/office/drawing/2014/main" id="{00000000-0008-0000-0300-0000E5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15</xdr:row>
      <xdr:rowOff>0</xdr:rowOff>
    </xdr:from>
    <xdr:to>
      <xdr:col>4</xdr:col>
      <xdr:colOff>76200</xdr:colOff>
      <xdr:row>16</xdr:row>
      <xdr:rowOff>0</xdr:rowOff>
    </xdr:to>
    <xdr:sp macro="" textlink="">
      <xdr:nvSpPr>
        <xdr:cNvPr id="230" name="Text Box 1">
          <a:extLst>
            <a:ext uri="{FF2B5EF4-FFF2-40B4-BE49-F238E27FC236}">
              <a16:creationId xmlns:a16="http://schemas.microsoft.com/office/drawing/2014/main" id="{00000000-0008-0000-0300-0000E6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15</xdr:row>
      <xdr:rowOff>0</xdr:rowOff>
    </xdr:from>
    <xdr:to>
      <xdr:col>4</xdr:col>
      <xdr:colOff>76200</xdr:colOff>
      <xdr:row>16</xdr:row>
      <xdr:rowOff>0</xdr:rowOff>
    </xdr:to>
    <xdr:sp macro="" textlink="">
      <xdr:nvSpPr>
        <xdr:cNvPr id="231" name="Text Box 1">
          <a:extLst>
            <a:ext uri="{FF2B5EF4-FFF2-40B4-BE49-F238E27FC236}">
              <a16:creationId xmlns:a16="http://schemas.microsoft.com/office/drawing/2014/main" id="{00000000-0008-0000-0300-0000E7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16</xdr:row>
      <xdr:rowOff>0</xdr:rowOff>
    </xdr:from>
    <xdr:to>
      <xdr:col>4</xdr:col>
      <xdr:colOff>76200</xdr:colOff>
      <xdr:row>17</xdr:row>
      <xdr:rowOff>0</xdr:rowOff>
    </xdr:to>
    <xdr:sp macro="" textlink="">
      <xdr:nvSpPr>
        <xdr:cNvPr id="232" name="Text Box 1">
          <a:extLst>
            <a:ext uri="{FF2B5EF4-FFF2-40B4-BE49-F238E27FC236}">
              <a16:creationId xmlns:a16="http://schemas.microsoft.com/office/drawing/2014/main" id="{00000000-0008-0000-0300-0000E8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16</xdr:row>
      <xdr:rowOff>0</xdr:rowOff>
    </xdr:from>
    <xdr:to>
      <xdr:col>4</xdr:col>
      <xdr:colOff>76200</xdr:colOff>
      <xdr:row>17</xdr:row>
      <xdr:rowOff>0</xdr:rowOff>
    </xdr:to>
    <xdr:sp macro="" textlink="">
      <xdr:nvSpPr>
        <xdr:cNvPr id="233" name="Text Box 2">
          <a:extLst>
            <a:ext uri="{FF2B5EF4-FFF2-40B4-BE49-F238E27FC236}">
              <a16:creationId xmlns:a16="http://schemas.microsoft.com/office/drawing/2014/main" id="{00000000-0008-0000-0300-0000E9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16</xdr:row>
      <xdr:rowOff>0</xdr:rowOff>
    </xdr:from>
    <xdr:to>
      <xdr:col>4</xdr:col>
      <xdr:colOff>76200</xdr:colOff>
      <xdr:row>17</xdr:row>
      <xdr:rowOff>0</xdr:rowOff>
    </xdr:to>
    <xdr:sp macro="" textlink="">
      <xdr:nvSpPr>
        <xdr:cNvPr id="234" name="Text Box 1">
          <a:extLst>
            <a:ext uri="{FF2B5EF4-FFF2-40B4-BE49-F238E27FC236}">
              <a16:creationId xmlns:a16="http://schemas.microsoft.com/office/drawing/2014/main" id="{00000000-0008-0000-0300-0000EA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16</xdr:row>
      <xdr:rowOff>0</xdr:rowOff>
    </xdr:from>
    <xdr:to>
      <xdr:col>4</xdr:col>
      <xdr:colOff>76200</xdr:colOff>
      <xdr:row>17</xdr:row>
      <xdr:rowOff>0</xdr:rowOff>
    </xdr:to>
    <xdr:sp macro="" textlink="">
      <xdr:nvSpPr>
        <xdr:cNvPr id="235" name="Text Box 1">
          <a:extLst>
            <a:ext uri="{FF2B5EF4-FFF2-40B4-BE49-F238E27FC236}">
              <a16:creationId xmlns:a16="http://schemas.microsoft.com/office/drawing/2014/main" id="{00000000-0008-0000-0300-0000EB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16</xdr:row>
      <xdr:rowOff>0</xdr:rowOff>
    </xdr:from>
    <xdr:to>
      <xdr:col>4</xdr:col>
      <xdr:colOff>76200</xdr:colOff>
      <xdr:row>17</xdr:row>
      <xdr:rowOff>0</xdr:rowOff>
    </xdr:to>
    <xdr:sp macro="" textlink="">
      <xdr:nvSpPr>
        <xdr:cNvPr id="236" name="Text Box 1">
          <a:extLst>
            <a:ext uri="{FF2B5EF4-FFF2-40B4-BE49-F238E27FC236}">
              <a16:creationId xmlns:a16="http://schemas.microsoft.com/office/drawing/2014/main" id="{00000000-0008-0000-0300-0000EC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16</xdr:row>
      <xdr:rowOff>0</xdr:rowOff>
    </xdr:from>
    <xdr:to>
      <xdr:col>4</xdr:col>
      <xdr:colOff>76200</xdr:colOff>
      <xdr:row>17</xdr:row>
      <xdr:rowOff>0</xdr:rowOff>
    </xdr:to>
    <xdr:sp macro="" textlink="">
      <xdr:nvSpPr>
        <xdr:cNvPr id="237" name="Text Box 2">
          <a:extLst>
            <a:ext uri="{FF2B5EF4-FFF2-40B4-BE49-F238E27FC236}">
              <a16:creationId xmlns:a16="http://schemas.microsoft.com/office/drawing/2014/main" id="{00000000-0008-0000-0300-0000ED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16</xdr:row>
      <xdr:rowOff>0</xdr:rowOff>
    </xdr:from>
    <xdr:to>
      <xdr:col>4</xdr:col>
      <xdr:colOff>76200</xdr:colOff>
      <xdr:row>17</xdr:row>
      <xdr:rowOff>0</xdr:rowOff>
    </xdr:to>
    <xdr:sp macro="" textlink="">
      <xdr:nvSpPr>
        <xdr:cNvPr id="238" name="Text Box 1">
          <a:extLst>
            <a:ext uri="{FF2B5EF4-FFF2-40B4-BE49-F238E27FC236}">
              <a16:creationId xmlns:a16="http://schemas.microsoft.com/office/drawing/2014/main" id="{00000000-0008-0000-0300-0000EE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16</xdr:row>
      <xdr:rowOff>0</xdr:rowOff>
    </xdr:from>
    <xdr:to>
      <xdr:col>4</xdr:col>
      <xdr:colOff>76200</xdr:colOff>
      <xdr:row>17</xdr:row>
      <xdr:rowOff>0</xdr:rowOff>
    </xdr:to>
    <xdr:sp macro="" textlink="">
      <xdr:nvSpPr>
        <xdr:cNvPr id="239" name="Text Box 1">
          <a:extLst>
            <a:ext uri="{FF2B5EF4-FFF2-40B4-BE49-F238E27FC236}">
              <a16:creationId xmlns:a16="http://schemas.microsoft.com/office/drawing/2014/main" id="{00000000-0008-0000-0300-0000EF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16</xdr:row>
      <xdr:rowOff>0</xdr:rowOff>
    </xdr:from>
    <xdr:to>
      <xdr:col>4</xdr:col>
      <xdr:colOff>76200</xdr:colOff>
      <xdr:row>17</xdr:row>
      <xdr:rowOff>0</xdr:rowOff>
    </xdr:to>
    <xdr:sp macro="" textlink="">
      <xdr:nvSpPr>
        <xdr:cNvPr id="240" name="Text Box 1">
          <a:extLst>
            <a:ext uri="{FF2B5EF4-FFF2-40B4-BE49-F238E27FC236}">
              <a16:creationId xmlns:a16="http://schemas.microsoft.com/office/drawing/2014/main" id="{00000000-0008-0000-0300-0000F0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16</xdr:row>
      <xdr:rowOff>0</xdr:rowOff>
    </xdr:from>
    <xdr:to>
      <xdr:col>4</xdr:col>
      <xdr:colOff>76200</xdr:colOff>
      <xdr:row>17</xdr:row>
      <xdr:rowOff>0</xdr:rowOff>
    </xdr:to>
    <xdr:sp macro="" textlink="">
      <xdr:nvSpPr>
        <xdr:cNvPr id="241" name="Text Box 2">
          <a:extLst>
            <a:ext uri="{FF2B5EF4-FFF2-40B4-BE49-F238E27FC236}">
              <a16:creationId xmlns:a16="http://schemas.microsoft.com/office/drawing/2014/main" id="{00000000-0008-0000-0300-0000F1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16</xdr:row>
      <xdr:rowOff>0</xdr:rowOff>
    </xdr:from>
    <xdr:to>
      <xdr:col>4</xdr:col>
      <xdr:colOff>76200</xdr:colOff>
      <xdr:row>17</xdr:row>
      <xdr:rowOff>0</xdr:rowOff>
    </xdr:to>
    <xdr:sp macro="" textlink="">
      <xdr:nvSpPr>
        <xdr:cNvPr id="242" name="Text Box 1">
          <a:extLst>
            <a:ext uri="{FF2B5EF4-FFF2-40B4-BE49-F238E27FC236}">
              <a16:creationId xmlns:a16="http://schemas.microsoft.com/office/drawing/2014/main" id="{00000000-0008-0000-0300-0000F2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16</xdr:row>
      <xdr:rowOff>0</xdr:rowOff>
    </xdr:from>
    <xdr:to>
      <xdr:col>4</xdr:col>
      <xdr:colOff>76200</xdr:colOff>
      <xdr:row>17</xdr:row>
      <xdr:rowOff>0</xdr:rowOff>
    </xdr:to>
    <xdr:sp macro="" textlink="">
      <xdr:nvSpPr>
        <xdr:cNvPr id="243" name="Text Box 1">
          <a:extLst>
            <a:ext uri="{FF2B5EF4-FFF2-40B4-BE49-F238E27FC236}">
              <a16:creationId xmlns:a16="http://schemas.microsoft.com/office/drawing/2014/main" id="{00000000-0008-0000-0300-0000F3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16</xdr:row>
      <xdr:rowOff>0</xdr:rowOff>
    </xdr:from>
    <xdr:to>
      <xdr:col>4</xdr:col>
      <xdr:colOff>76200</xdr:colOff>
      <xdr:row>17</xdr:row>
      <xdr:rowOff>0</xdr:rowOff>
    </xdr:to>
    <xdr:sp macro="" textlink="">
      <xdr:nvSpPr>
        <xdr:cNvPr id="244" name="Text Box 1">
          <a:extLst>
            <a:ext uri="{FF2B5EF4-FFF2-40B4-BE49-F238E27FC236}">
              <a16:creationId xmlns:a16="http://schemas.microsoft.com/office/drawing/2014/main" id="{00000000-0008-0000-0300-0000F4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16</xdr:row>
      <xdr:rowOff>0</xdr:rowOff>
    </xdr:from>
    <xdr:to>
      <xdr:col>4</xdr:col>
      <xdr:colOff>76200</xdr:colOff>
      <xdr:row>17</xdr:row>
      <xdr:rowOff>0</xdr:rowOff>
    </xdr:to>
    <xdr:sp macro="" textlink="">
      <xdr:nvSpPr>
        <xdr:cNvPr id="245" name="Text Box 2">
          <a:extLst>
            <a:ext uri="{FF2B5EF4-FFF2-40B4-BE49-F238E27FC236}">
              <a16:creationId xmlns:a16="http://schemas.microsoft.com/office/drawing/2014/main" id="{00000000-0008-0000-0300-0000F5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16</xdr:row>
      <xdr:rowOff>0</xdr:rowOff>
    </xdr:from>
    <xdr:to>
      <xdr:col>4</xdr:col>
      <xdr:colOff>76200</xdr:colOff>
      <xdr:row>17</xdr:row>
      <xdr:rowOff>0</xdr:rowOff>
    </xdr:to>
    <xdr:sp macro="" textlink="">
      <xdr:nvSpPr>
        <xdr:cNvPr id="246" name="Text Box 1">
          <a:extLst>
            <a:ext uri="{FF2B5EF4-FFF2-40B4-BE49-F238E27FC236}">
              <a16:creationId xmlns:a16="http://schemas.microsoft.com/office/drawing/2014/main" id="{00000000-0008-0000-0300-0000F6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16</xdr:row>
      <xdr:rowOff>0</xdr:rowOff>
    </xdr:from>
    <xdr:to>
      <xdr:col>4</xdr:col>
      <xdr:colOff>76200</xdr:colOff>
      <xdr:row>17</xdr:row>
      <xdr:rowOff>0</xdr:rowOff>
    </xdr:to>
    <xdr:sp macro="" textlink="">
      <xdr:nvSpPr>
        <xdr:cNvPr id="247" name="Text Box 1">
          <a:extLst>
            <a:ext uri="{FF2B5EF4-FFF2-40B4-BE49-F238E27FC236}">
              <a16:creationId xmlns:a16="http://schemas.microsoft.com/office/drawing/2014/main" id="{00000000-0008-0000-0300-0000F7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16</xdr:row>
      <xdr:rowOff>0</xdr:rowOff>
    </xdr:from>
    <xdr:to>
      <xdr:col>4</xdr:col>
      <xdr:colOff>76200</xdr:colOff>
      <xdr:row>17</xdr:row>
      <xdr:rowOff>0</xdr:rowOff>
    </xdr:to>
    <xdr:sp macro="" textlink="">
      <xdr:nvSpPr>
        <xdr:cNvPr id="248" name="Text Box 2">
          <a:extLst>
            <a:ext uri="{FF2B5EF4-FFF2-40B4-BE49-F238E27FC236}">
              <a16:creationId xmlns:a16="http://schemas.microsoft.com/office/drawing/2014/main" id="{00000000-0008-0000-0300-0000F8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16</xdr:row>
      <xdr:rowOff>0</xdr:rowOff>
    </xdr:from>
    <xdr:to>
      <xdr:col>4</xdr:col>
      <xdr:colOff>76200</xdr:colOff>
      <xdr:row>17</xdr:row>
      <xdr:rowOff>0</xdr:rowOff>
    </xdr:to>
    <xdr:sp macro="" textlink="">
      <xdr:nvSpPr>
        <xdr:cNvPr id="249" name="Text Box 1">
          <a:extLst>
            <a:ext uri="{FF2B5EF4-FFF2-40B4-BE49-F238E27FC236}">
              <a16:creationId xmlns:a16="http://schemas.microsoft.com/office/drawing/2014/main" id="{00000000-0008-0000-0300-0000F9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16</xdr:row>
      <xdr:rowOff>0</xdr:rowOff>
    </xdr:from>
    <xdr:to>
      <xdr:col>4</xdr:col>
      <xdr:colOff>76200</xdr:colOff>
      <xdr:row>17</xdr:row>
      <xdr:rowOff>0</xdr:rowOff>
    </xdr:to>
    <xdr:sp macro="" textlink="">
      <xdr:nvSpPr>
        <xdr:cNvPr id="250" name="Text Box 1">
          <a:extLst>
            <a:ext uri="{FF2B5EF4-FFF2-40B4-BE49-F238E27FC236}">
              <a16:creationId xmlns:a16="http://schemas.microsoft.com/office/drawing/2014/main" id="{00000000-0008-0000-0300-0000FA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16</xdr:row>
      <xdr:rowOff>0</xdr:rowOff>
    </xdr:from>
    <xdr:to>
      <xdr:col>4</xdr:col>
      <xdr:colOff>76200</xdr:colOff>
      <xdr:row>17</xdr:row>
      <xdr:rowOff>0</xdr:rowOff>
    </xdr:to>
    <xdr:sp macro="" textlink="">
      <xdr:nvSpPr>
        <xdr:cNvPr id="251" name="Text Box 1">
          <a:extLst>
            <a:ext uri="{FF2B5EF4-FFF2-40B4-BE49-F238E27FC236}">
              <a16:creationId xmlns:a16="http://schemas.microsoft.com/office/drawing/2014/main" id="{00000000-0008-0000-0300-0000FB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16</xdr:row>
      <xdr:rowOff>0</xdr:rowOff>
    </xdr:from>
    <xdr:to>
      <xdr:col>4</xdr:col>
      <xdr:colOff>76200</xdr:colOff>
      <xdr:row>17</xdr:row>
      <xdr:rowOff>0</xdr:rowOff>
    </xdr:to>
    <xdr:sp macro="" textlink="">
      <xdr:nvSpPr>
        <xdr:cNvPr id="252" name="Text Box 2">
          <a:extLst>
            <a:ext uri="{FF2B5EF4-FFF2-40B4-BE49-F238E27FC236}">
              <a16:creationId xmlns:a16="http://schemas.microsoft.com/office/drawing/2014/main" id="{00000000-0008-0000-0300-0000FC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16</xdr:row>
      <xdr:rowOff>0</xdr:rowOff>
    </xdr:from>
    <xdr:to>
      <xdr:col>4</xdr:col>
      <xdr:colOff>76200</xdr:colOff>
      <xdr:row>17</xdr:row>
      <xdr:rowOff>0</xdr:rowOff>
    </xdr:to>
    <xdr:sp macro="" textlink="">
      <xdr:nvSpPr>
        <xdr:cNvPr id="253" name="Text Box 1">
          <a:extLst>
            <a:ext uri="{FF2B5EF4-FFF2-40B4-BE49-F238E27FC236}">
              <a16:creationId xmlns:a16="http://schemas.microsoft.com/office/drawing/2014/main" id="{00000000-0008-0000-0300-0000FD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16</xdr:row>
      <xdr:rowOff>0</xdr:rowOff>
    </xdr:from>
    <xdr:to>
      <xdr:col>4</xdr:col>
      <xdr:colOff>76200</xdr:colOff>
      <xdr:row>17</xdr:row>
      <xdr:rowOff>0</xdr:rowOff>
    </xdr:to>
    <xdr:sp macro="" textlink="">
      <xdr:nvSpPr>
        <xdr:cNvPr id="254" name="Text Box 1">
          <a:extLst>
            <a:ext uri="{FF2B5EF4-FFF2-40B4-BE49-F238E27FC236}">
              <a16:creationId xmlns:a16="http://schemas.microsoft.com/office/drawing/2014/main" id="{00000000-0008-0000-0300-0000FE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17</xdr:row>
      <xdr:rowOff>0</xdr:rowOff>
    </xdr:from>
    <xdr:to>
      <xdr:col>4</xdr:col>
      <xdr:colOff>76200</xdr:colOff>
      <xdr:row>18</xdr:row>
      <xdr:rowOff>0</xdr:rowOff>
    </xdr:to>
    <xdr:sp macro="" textlink="">
      <xdr:nvSpPr>
        <xdr:cNvPr id="255" name="Text Box 1">
          <a:extLst>
            <a:ext uri="{FF2B5EF4-FFF2-40B4-BE49-F238E27FC236}">
              <a16:creationId xmlns:a16="http://schemas.microsoft.com/office/drawing/2014/main" id="{00000000-0008-0000-0300-0000FF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17</xdr:row>
      <xdr:rowOff>0</xdr:rowOff>
    </xdr:from>
    <xdr:to>
      <xdr:col>4</xdr:col>
      <xdr:colOff>76200</xdr:colOff>
      <xdr:row>18</xdr:row>
      <xdr:rowOff>0</xdr:rowOff>
    </xdr:to>
    <xdr:sp macro="" textlink="">
      <xdr:nvSpPr>
        <xdr:cNvPr id="256" name="Text Box 2">
          <a:extLst>
            <a:ext uri="{FF2B5EF4-FFF2-40B4-BE49-F238E27FC236}">
              <a16:creationId xmlns:a16="http://schemas.microsoft.com/office/drawing/2014/main" id="{00000000-0008-0000-0300-000000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17</xdr:row>
      <xdr:rowOff>0</xdr:rowOff>
    </xdr:from>
    <xdr:to>
      <xdr:col>4</xdr:col>
      <xdr:colOff>76200</xdr:colOff>
      <xdr:row>18</xdr:row>
      <xdr:rowOff>0</xdr:rowOff>
    </xdr:to>
    <xdr:sp macro="" textlink="">
      <xdr:nvSpPr>
        <xdr:cNvPr id="257" name="Text Box 1">
          <a:extLst>
            <a:ext uri="{FF2B5EF4-FFF2-40B4-BE49-F238E27FC236}">
              <a16:creationId xmlns:a16="http://schemas.microsoft.com/office/drawing/2014/main" id="{00000000-0008-0000-0300-000001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17</xdr:row>
      <xdr:rowOff>0</xdr:rowOff>
    </xdr:from>
    <xdr:to>
      <xdr:col>4</xdr:col>
      <xdr:colOff>76200</xdr:colOff>
      <xdr:row>18</xdr:row>
      <xdr:rowOff>0</xdr:rowOff>
    </xdr:to>
    <xdr:sp macro="" textlink="">
      <xdr:nvSpPr>
        <xdr:cNvPr id="258" name="Text Box 1">
          <a:extLst>
            <a:ext uri="{FF2B5EF4-FFF2-40B4-BE49-F238E27FC236}">
              <a16:creationId xmlns:a16="http://schemas.microsoft.com/office/drawing/2014/main" id="{00000000-0008-0000-0300-000002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17</xdr:row>
      <xdr:rowOff>0</xdr:rowOff>
    </xdr:from>
    <xdr:to>
      <xdr:col>4</xdr:col>
      <xdr:colOff>76200</xdr:colOff>
      <xdr:row>18</xdr:row>
      <xdr:rowOff>0</xdr:rowOff>
    </xdr:to>
    <xdr:sp macro="" textlink="">
      <xdr:nvSpPr>
        <xdr:cNvPr id="259" name="Text Box 1">
          <a:extLst>
            <a:ext uri="{FF2B5EF4-FFF2-40B4-BE49-F238E27FC236}">
              <a16:creationId xmlns:a16="http://schemas.microsoft.com/office/drawing/2014/main" id="{00000000-0008-0000-0300-000003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17</xdr:row>
      <xdr:rowOff>0</xdr:rowOff>
    </xdr:from>
    <xdr:to>
      <xdr:col>4</xdr:col>
      <xdr:colOff>76200</xdr:colOff>
      <xdr:row>18</xdr:row>
      <xdr:rowOff>0</xdr:rowOff>
    </xdr:to>
    <xdr:sp macro="" textlink="">
      <xdr:nvSpPr>
        <xdr:cNvPr id="260" name="Text Box 2">
          <a:extLst>
            <a:ext uri="{FF2B5EF4-FFF2-40B4-BE49-F238E27FC236}">
              <a16:creationId xmlns:a16="http://schemas.microsoft.com/office/drawing/2014/main" id="{00000000-0008-0000-0300-000004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17</xdr:row>
      <xdr:rowOff>0</xdr:rowOff>
    </xdr:from>
    <xdr:to>
      <xdr:col>4</xdr:col>
      <xdr:colOff>76200</xdr:colOff>
      <xdr:row>18</xdr:row>
      <xdr:rowOff>0</xdr:rowOff>
    </xdr:to>
    <xdr:sp macro="" textlink="">
      <xdr:nvSpPr>
        <xdr:cNvPr id="261" name="Text Box 1">
          <a:extLst>
            <a:ext uri="{FF2B5EF4-FFF2-40B4-BE49-F238E27FC236}">
              <a16:creationId xmlns:a16="http://schemas.microsoft.com/office/drawing/2014/main" id="{00000000-0008-0000-0300-000005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17</xdr:row>
      <xdr:rowOff>0</xdr:rowOff>
    </xdr:from>
    <xdr:to>
      <xdr:col>4</xdr:col>
      <xdr:colOff>76200</xdr:colOff>
      <xdr:row>18</xdr:row>
      <xdr:rowOff>0</xdr:rowOff>
    </xdr:to>
    <xdr:sp macro="" textlink="">
      <xdr:nvSpPr>
        <xdr:cNvPr id="262" name="Text Box 1">
          <a:extLst>
            <a:ext uri="{FF2B5EF4-FFF2-40B4-BE49-F238E27FC236}">
              <a16:creationId xmlns:a16="http://schemas.microsoft.com/office/drawing/2014/main" id="{00000000-0008-0000-0300-000006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17</xdr:row>
      <xdr:rowOff>0</xdr:rowOff>
    </xdr:from>
    <xdr:to>
      <xdr:col>4</xdr:col>
      <xdr:colOff>76200</xdr:colOff>
      <xdr:row>18</xdr:row>
      <xdr:rowOff>0</xdr:rowOff>
    </xdr:to>
    <xdr:sp macro="" textlink="">
      <xdr:nvSpPr>
        <xdr:cNvPr id="263" name="Text Box 1">
          <a:extLst>
            <a:ext uri="{FF2B5EF4-FFF2-40B4-BE49-F238E27FC236}">
              <a16:creationId xmlns:a16="http://schemas.microsoft.com/office/drawing/2014/main" id="{00000000-0008-0000-0300-000007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17</xdr:row>
      <xdr:rowOff>0</xdr:rowOff>
    </xdr:from>
    <xdr:to>
      <xdr:col>4</xdr:col>
      <xdr:colOff>76200</xdr:colOff>
      <xdr:row>18</xdr:row>
      <xdr:rowOff>0</xdr:rowOff>
    </xdr:to>
    <xdr:sp macro="" textlink="">
      <xdr:nvSpPr>
        <xdr:cNvPr id="264" name="Text Box 2">
          <a:extLst>
            <a:ext uri="{FF2B5EF4-FFF2-40B4-BE49-F238E27FC236}">
              <a16:creationId xmlns:a16="http://schemas.microsoft.com/office/drawing/2014/main" id="{00000000-0008-0000-0300-000008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17</xdr:row>
      <xdr:rowOff>0</xdr:rowOff>
    </xdr:from>
    <xdr:to>
      <xdr:col>4</xdr:col>
      <xdr:colOff>76200</xdr:colOff>
      <xdr:row>18</xdr:row>
      <xdr:rowOff>0</xdr:rowOff>
    </xdr:to>
    <xdr:sp macro="" textlink="">
      <xdr:nvSpPr>
        <xdr:cNvPr id="265" name="Text Box 1">
          <a:extLst>
            <a:ext uri="{FF2B5EF4-FFF2-40B4-BE49-F238E27FC236}">
              <a16:creationId xmlns:a16="http://schemas.microsoft.com/office/drawing/2014/main" id="{00000000-0008-0000-0300-000009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17</xdr:row>
      <xdr:rowOff>0</xdr:rowOff>
    </xdr:from>
    <xdr:to>
      <xdr:col>4</xdr:col>
      <xdr:colOff>76200</xdr:colOff>
      <xdr:row>18</xdr:row>
      <xdr:rowOff>0</xdr:rowOff>
    </xdr:to>
    <xdr:sp macro="" textlink="">
      <xdr:nvSpPr>
        <xdr:cNvPr id="266" name="Text Box 1">
          <a:extLst>
            <a:ext uri="{FF2B5EF4-FFF2-40B4-BE49-F238E27FC236}">
              <a16:creationId xmlns:a16="http://schemas.microsoft.com/office/drawing/2014/main" id="{00000000-0008-0000-0300-00000A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17</xdr:row>
      <xdr:rowOff>0</xdr:rowOff>
    </xdr:from>
    <xdr:to>
      <xdr:col>4</xdr:col>
      <xdr:colOff>76200</xdr:colOff>
      <xdr:row>18</xdr:row>
      <xdr:rowOff>0</xdr:rowOff>
    </xdr:to>
    <xdr:sp macro="" textlink="">
      <xdr:nvSpPr>
        <xdr:cNvPr id="267" name="Text Box 1">
          <a:extLst>
            <a:ext uri="{FF2B5EF4-FFF2-40B4-BE49-F238E27FC236}">
              <a16:creationId xmlns:a16="http://schemas.microsoft.com/office/drawing/2014/main" id="{00000000-0008-0000-0300-00000B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17</xdr:row>
      <xdr:rowOff>0</xdr:rowOff>
    </xdr:from>
    <xdr:to>
      <xdr:col>4</xdr:col>
      <xdr:colOff>76200</xdr:colOff>
      <xdr:row>18</xdr:row>
      <xdr:rowOff>0</xdr:rowOff>
    </xdr:to>
    <xdr:sp macro="" textlink="">
      <xdr:nvSpPr>
        <xdr:cNvPr id="268" name="Text Box 2">
          <a:extLst>
            <a:ext uri="{FF2B5EF4-FFF2-40B4-BE49-F238E27FC236}">
              <a16:creationId xmlns:a16="http://schemas.microsoft.com/office/drawing/2014/main" id="{00000000-0008-0000-0300-00000C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17</xdr:row>
      <xdr:rowOff>0</xdr:rowOff>
    </xdr:from>
    <xdr:to>
      <xdr:col>4</xdr:col>
      <xdr:colOff>76200</xdr:colOff>
      <xdr:row>18</xdr:row>
      <xdr:rowOff>0</xdr:rowOff>
    </xdr:to>
    <xdr:sp macro="" textlink="">
      <xdr:nvSpPr>
        <xdr:cNvPr id="269" name="Text Box 1">
          <a:extLst>
            <a:ext uri="{FF2B5EF4-FFF2-40B4-BE49-F238E27FC236}">
              <a16:creationId xmlns:a16="http://schemas.microsoft.com/office/drawing/2014/main" id="{00000000-0008-0000-0300-00000D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17</xdr:row>
      <xdr:rowOff>0</xdr:rowOff>
    </xdr:from>
    <xdr:to>
      <xdr:col>4</xdr:col>
      <xdr:colOff>76200</xdr:colOff>
      <xdr:row>18</xdr:row>
      <xdr:rowOff>0</xdr:rowOff>
    </xdr:to>
    <xdr:sp macro="" textlink="">
      <xdr:nvSpPr>
        <xdr:cNvPr id="270" name="Text Box 1">
          <a:extLst>
            <a:ext uri="{FF2B5EF4-FFF2-40B4-BE49-F238E27FC236}">
              <a16:creationId xmlns:a16="http://schemas.microsoft.com/office/drawing/2014/main" id="{00000000-0008-0000-0300-00000E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17</xdr:row>
      <xdr:rowOff>0</xdr:rowOff>
    </xdr:from>
    <xdr:to>
      <xdr:col>4</xdr:col>
      <xdr:colOff>76200</xdr:colOff>
      <xdr:row>18</xdr:row>
      <xdr:rowOff>0</xdr:rowOff>
    </xdr:to>
    <xdr:sp macro="" textlink="">
      <xdr:nvSpPr>
        <xdr:cNvPr id="271" name="Text Box 2">
          <a:extLst>
            <a:ext uri="{FF2B5EF4-FFF2-40B4-BE49-F238E27FC236}">
              <a16:creationId xmlns:a16="http://schemas.microsoft.com/office/drawing/2014/main" id="{00000000-0008-0000-0300-00000F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17</xdr:row>
      <xdr:rowOff>0</xdr:rowOff>
    </xdr:from>
    <xdr:to>
      <xdr:col>4</xdr:col>
      <xdr:colOff>76200</xdr:colOff>
      <xdr:row>18</xdr:row>
      <xdr:rowOff>0</xdr:rowOff>
    </xdr:to>
    <xdr:sp macro="" textlink="">
      <xdr:nvSpPr>
        <xdr:cNvPr id="272" name="Text Box 1">
          <a:extLst>
            <a:ext uri="{FF2B5EF4-FFF2-40B4-BE49-F238E27FC236}">
              <a16:creationId xmlns:a16="http://schemas.microsoft.com/office/drawing/2014/main" id="{00000000-0008-0000-0300-000010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17</xdr:row>
      <xdr:rowOff>0</xdr:rowOff>
    </xdr:from>
    <xdr:to>
      <xdr:col>4</xdr:col>
      <xdr:colOff>76200</xdr:colOff>
      <xdr:row>18</xdr:row>
      <xdr:rowOff>0</xdr:rowOff>
    </xdr:to>
    <xdr:sp macro="" textlink="">
      <xdr:nvSpPr>
        <xdr:cNvPr id="273" name="Text Box 1">
          <a:extLst>
            <a:ext uri="{FF2B5EF4-FFF2-40B4-BE49-F238E27FC236}">
              <a16:creationId xmlns:a16="http://schemas.microsoft.com/office/drawing/2014/main" id="{00000000-0008-0000-0300-000011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17</xdr:row>
      <xdr:rowOff>0</xdr:rowOff>
    </xdr:from>
    <xdr:to>
      <xdr:col>4</xdr:col>
      <xdr:colOff>76200</xdr:colOff>
      <xdr:row>18</xdr:row>
      <xdr:rowOff>0</xdr:rowOff>
    </xdr:to>
    <xdr:sp macro="" textlink="">
      <xdr:nvSpPr>
        <xdr:cNvPr id="274" name="Text Box 1">
          <a:extLst>
            <a:ext uri="{FF2B5EF4-FFF2-40B4-BE49-F238E27FC236}">
              <a16:creationId xmlns:a16="http://schemas.microsoft.com/office/drawing/2014/main" id="{00000000-0008-0000-0300-000012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17</xdr:row>
      <xdr:rowOff>0</xdr:rowOff>
    </xdr:from>
    <xdr:to>
      <xdr:col>4</xdr:col>
      <xdr:colOff>76200</xdr:colOff>
      <xdr:row>18</xdr:row>
      <xdr:rowOff>0</xdr:rowOff>
    </xdr:to>
    <xdr:sp macro="" textlink="">
      <xdr:nvSpPr>
        <xdr:cNvPr id="275" name="Text Box 2">
          <a:extLst>
            <a:ext uri="{FF2B5EF4-FFF2-40B4-BE49-F238E27FC236}">
              <a16:creationId xmlns:a16="http://schemas.microsoft.com/office/drawing/2014/main" id="{00000000-0008-0000-0300-000013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17</xdr:row>
      <xdr:rowOff>0</xdr:rowOff>
    </xdr:from>
    <xdr:to>
      <xdr:col>4</xdr:col>
      <xdr:colOff>76200</xdr:colOff>
      <xdr:row>18</xdr:row>
      <xdr:rowOff>0</xdr:rowOff>
    </xdr:to>
    <xdr:sp macro="" textlink="">
      <xdr:nvSpPr>
        <xdr:cNvPr id="276" name="Text Box 1">
          <a:extLst>
            <a:ext uri="{FF2B5EF4-FFF2-40B4-BE49-F238E27FC236}">
              <a16:creationId xmlns:a16="http://schemas.microsoft.com/office/drawing/2014/main" id="{00000000-0008-0000-0300-000014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17</xdr:row>
      <xdr:rowOff>0</xdr:rowOff>
    </xdr:from>
    <xdr:to>
      <xdr:col>4</xdr:col>
      <xdr:colOff>76200</xdr:colOff>
      <xdr:row>18</xdr:row>
      <xdr:rowOff>0</xdr:rowOff>
    </xdr:to>
    <xdr:sp macro="" textlink="">
      <xdr:nvSpPr>
        <xdr:cNvPr id="277" name="Text Box 1">
          <a:extLst>
            <a:ext uri="{FF2B5EF4-FFF2-40B4-BE49-F238E27FC236}">
              <a16:creationId xmlns:a16="http://schemas.microsoft.com/office/drawing/2014/main" id="{00000000-0008-0000-0300-000015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76200</xdr:colOff>
      <xdr:row>19</xdr:row>
      <xdr:rowOff>0</xdr:rowOff>
    </xdr:to>
    <xdr:sp macro="" textlink="">
      <xdr:nvSpPr>
        <xdr:cNvPr id="278" name="Text Box 1">
          <a:extLst>
            <a:ext uri="{FF2B5EF4-FFF2-40B4-BE49-F238E27FC236}">
              <a16:creationId xmlns:a16="http://schemas.microsoft.com/office/drawing/2014/main" id="{00000000-0008-0000-0300-000016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76200</xdr:colOff>
      <xdr:row>19</xdr:row>
      <xdr:rowOff>0</xdr:rowOff>
    </xdr:to>
    <xdr:sp macro="" textlink="">
      <xdr:nvSpPr>
        <xdr:cNvPr id="279" name="Text Box 2">
          <a:extLst>
            <a:ext uri="{FF2B5EF4-FFF2-40B4-BE49-F238E27FC236}">
              <a16:creationId xmlns:a16="http://schemas.microsoft.com/office/drawing/2014/main" id="{00000000-0008-0000-0300-000017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76200</xdr:colOff>
      <xdr:row>19</xdr:row>
      <xdr:rowOff>0</xdr:rowOff>
    </xdr:to>
    <xdr:sp macro="" textlink="">
      <xdr:nvSpPr>
        <xdr:cNvPr id="280" name="Text Box 1">
          <a:extLst>
            <a:ext uri="{FF2B5EF4-FFF2-40B4-BE49-F238E27FC236}">
              <a16:creationId xmlns:a16="http://schemas.microsoft.com/office/drawing/2014/main" id="{00000000-0008-0000-0300-000018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76200</xdr:colOff>
      <xdr:row>19</xdr:row>
      <xdr:rowOff>0</xdr:rowOff>
    </xdr:to>
    <xdr:sp macro="" textlink="">
      <xdr:nvSpPr>
        <xdr:cNvPr id="281" name="Text Box 1">
          <a:extLst>
            <a:ext uri="{FF2B5EF4-FFF2-40B4-BE49-F238E27FC236}">
              <a16:creationId xmlns:a16="http://schemas.microsoft.com/office/drawing/2014/main" id="{00000000-0008-0000-0300-000019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76200</xdr:colOff>
      <xdr:row>19</xdr:row>
      <xdr:rowOff>0</xdr:rowOff>
    </xdr:to>
    <xdr:sp macro="" textlink="">
      <xdr:nvSpPr>
        <xdr:cNvPr id="282" name="Text Box 1">
          <a:extLst>
            <a:ext uri="{FF2B5EF4-FFF2-40B4-BE49-F238E27FC236}">
              <a16:creationId xmlns:a16="http://schemas.microsoft.com/office/drawing/2014/main" id="{00000000-0008-0000-0300-00001A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76200</xdr:colOff>
      <xdr:row>19</xdr:row>
      <xdr:rowOff>0</xdr:rowOff>
    </xdr:to>
    <xdr:sp macro="" textlink="">
      <xdr:nvSpPr>
        <xdr:cNvPr id="283" name="Text Box 2">
          <a:extLst>
            <a:ext uri="{FF2B5EF4-FFF2-40B4-BE49-F238E27FC236}">
              <a16:creationId xmlns:a16="http://schemas.microsoft.com/office/drawing/2014/main" id="{00000000-0008-0000-0300-00001B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76200</xdr:colOff>
      <xdr:row>19</xdr:row>
      <xdr:rowOff>0</xdr:rowOff>
    </xdr:to>
    <xdr:sp macro="" textlink="">
      <xdr:nvSpPr>
        <xdr:cNvPr id="284" name="Text Box 1">
          <a:extLst>
            <a:ext uri="{FF2B5EF4-FFF2-40B4-BE49-F238E27FC236}">
              <a16:creationId xmlns:a16="http://schemas.microsoft.com/office/drawing/2014/main" id="{00000000-0008-0000-0300-00001C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76200</xdr:colOff>
      <xdr:row>19</xdr:row>
      <xdr:rowOff>0</xdr:rowOff>
    </xdr:to>
    <xdr:sp macro="" textlink="">
      <xdr:nvSpPr>
        <xdr:cNvPr id="285" name="Text Box 1">
          <a:extLst>
            <a:ext uri="{FF2B5EF4-FFF2-40B4-BE49-F238E27FC236}">
              <a16:creationId xmlns:a16="http://schemas.microsoft.com/office/drawing/2014/main" id="{00000000-0008-0000-0300-00001D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76200</xdr:colOff>
      <xdr:row>19</xdr:row>
      <xdr:rowOff>0</xdr:rowOff>
    </xdr:to>
    <xdr:sp macro="" textlink="">
      <xdr:nvSpPr>
        <xdr:cNvPr id="286" name="Text Box 1">
          <a:extLst>
            <a:ext uri="{FF2B5EF4-FFF2-40B4-BE49-F238E27FC236}">
              <a16:creationId xmlns:a16="http://schemas.microsoft.com/office/drawing/2014/main" id="{00000000-0008-0000-0300-00001E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76200</xdr:colOff>
      <xdr:row>19</xdr:row>
      <xdr:rowOff>0</xdr:rowOff>
    </xdr:to>
    <xdr:sp macro="" textlink="">
      <xdr:nvSpPr>
        <xdr:cNvPr id="287" name="Text Box 2">
          <a:extLst>
            <a:ext uri="{FF2B5EF4-FFF2-40B4-BE49-F238E27FC236}">
              <a16:creationId xmlns:a16="http://schemas.microsoft.com/office/drawing/2014/main" id="{00000000-0008-0000-0300-00001F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76200</xdr:colOff>
      <xdr:row>19</xdr:row>
      <xdr:rowOff>0</xdr:rowOff>
    </xdr:to>
    <xdr:sp macro="" textlink="">
      <xdr:nvSpPr>
        <xdr:cNvPr id="288" name="Text Box 1">
          <a:extLst>
            <a:ext uri="{FF2B5EF4-FFF2-40B4-BE49-F238E27FC236}">
              <a16:creationId xmlns:a16="http://schemas.microsoft.com/office/drawing/2014/main" id="{00000000-0008-0000-0300-000020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76200</xdr:colOff>
      <xdr:row>19</xdr:row>
      <xdr:rowOff>0</xdr:rowOff>
    </xdr:to>
    <xdr:sp macro="" textlink="">
      <xdr:nvSpPr>
        <xdr:cNvPr id="289" name="Text Box 1">
          <a:extLst>
            <a:ext uri="{FF2B5EF4-FFF2-40B4-BE49-F238E27FC236}">
              <a16:creationId xmlns:a16="http://schemas.microsoft.com/office/drawing/2014/main" id="{00000000-0008-0000-0300-000021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76200</xdr:colOff>
      <xdr:row>19</xdr:row>
      <xdr:rowOff>0</xdr:rowOff>
    </xdr:to>
    <xdr:sp macro="" textlink="">
      <xdr:nvSpPr>
        <xdr:cNvPr id="290" name="Text Box 1">
          <a:extLst>
            <a:ext uri="{FF2B5EF4-FFF2-40B4-BE49-F238E27FC236}">
              <a16:creationId xmlns:a16="http://schemas.microsoft.com/office/drawing/2014/main" id="{00000000-0008-0000-0300-000022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76200</xdr:colOff>
      <xdr:row>19</xdr:row>
      <xdr:rowOff>0</xdr:rowOff>
    </xdr:to>
    <xdr:sp macro="" textlink="">
      <xdr:nvSpPr>
        <xdr:cNvPr id="291" name="Text Box 2">
          <a:extLst>
            <a:ext uri="{FF2B5EF4-FFF2-40B4-BE49-F238E27FC236}">
              <a16:creationId xmlns:a16="http://schemas.microsoft.com/office/drawing/2014/main" id="{00000000-0008-0000-0300-000023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76200</xdr:colOff>
      <xdr:row>19</xdr:row>
      <xdr:rowOff>0</xdr:rowOff>
    </xdr:to>
    <xdr:sp macro="" textlink="">
      <xdr:nvSpPr>
        <xdr:cNvPr id="292" name="Text Box 1">
          <a:extLst>
            <a:ext uri="{FF2B5EF4-FFF2-40B4-BE49-F238E27FC236}">
              <a16:creationId xmlns:a16="http://schemas.microsoft.com/office/drawing/2014/main" id="{00000000-0008-0000-0300-000024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76200</xdr:colOff>
      <xdr:row>19</xdr:row>
      <xdr:rowOff>0</xdr:rowOff>
    </xdr:to>
    <xdr:sp macro="" textlink="">
      <xdr:nvSpPr>
        <xdr:cNvPr id="293" name="Text Box 1">
          <a:extLst>
            <a:ext uri="{FF2B5EF4-FFF2-40B4-BE49-F238E27FC236}">
              <a16:creationId xmlns:a16="http://schemas.microsoft.com/office/drawing/2014/main" id="{00000000-0008-0000-0300-000025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76200</xdr:colOff>
      <xdr:row>19</xdr:row>
      <xdr:rowOff>0</xdr:rowOff>
    </xdr:to>
    <xdr:sp macro="" textlink="">
      <xdr:nvSpPr>
        <xdr:cNvPr id="294" name="Text Box 2">
          <a:extLst>
            <a:ext uri="{FF2B5EF4-FFF2-40B4-BE49-F238E27FC236}">
              <a16:creationId xmlns:a16="http://schemas.microsoft.com/office/drawing/2014/main" id="{00000000-0008-0000-0300-000026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76200</xdr:colOff>
      <xdr:row>19</xdr:row>
      <xdr:rowOff>0</xdr:rowOff>
    </xdr:to>
    <xdr:sp macro="" textlink="">
      <xdr:nvSpPr>
        <xdr:cNvPr id="295" name="Text Box 1">
          <a:extLst>
            <a:ext uri="{FF2B5EF4-FFF2-40B4-BE49-F238E27FC236}">
              <a16:creationId xmlns:a16="http://schemas.microsoft.com/office/drawing/2014/main" id="{00000000-0008-0000-0300-000027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76200</xdr:colOff>
      <xdr:row>19</xdr:row>
      <xdr:rowOff>0</xdr:rowOff>
    </xdr:to>
    <xdr:sp macro="" textlink="">
      <xdr:nvSpPr>
        <xdr:cNvPr id="296" name="Text Box 1">
          <a:extLst>
            <a:ext uri="{FF2B5EF4-FFF2-40B4-BE49-F238E27FC236}">
              <a16:creationId xmlns:a16="http://schemas.microsoft.com/office/drawing/2014/main" id="{00000000-0008-0000-0300-000028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76200</xdr:colOff>
      <xdr:row>19</xdr:row>
      <xdr:rowOff>0</xdr:rowOff>
    </xdr:to>
    <xdr:sp macro="" textlink="">
      <xdr:nvSpPr>
        <xdr:cNvPr id="297" name="Text Box 1">
          <a:extLst>
            <a:ext uri="{FF2B5EF4-FFF2-40B4-BE49-F238E27FC236}">
              <a16:creationId xmlns:a16="http://schemas.microsoft.com/office/drawing/2014/main" id="{00000000-0008-0000-0300-000029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76200</xdr:colOff>
      <xdr:row>19</xdr:row>
      <xdr:rowOff>0</xdr:rowOff>
    </xdr:to>
    <xdr:sp macro="" textlink="">
      <xdr:nvSpPr>
        <xdr:cNvPr id="298" name="Text Box 2">
          <a:extLst>
            <a:ext uri="{FF2B5EF4-FFF2-40B4-BE49-F238E27FC236}">
              <a16:creationId xmlns:a16="http://schemas.microsoft.com/office/drawing/2014/main" id="{00000000-0008-0000-0300-00002A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76200</xdr:colOff>
      <xdr:row>19</xdr:row>
      <xdr:rowOff>0</xdr:rowOff>
    </xdr:to>
    <xdr:sp macro="" textlink="">
      <xdr:nvSpPr>
        <xdr:cNvPr id="299" name="Text Box 1">
          <a:extLst>
            <a:ext uri="{FF2B5EF4-FFF2-40B4-BE49-F238E27FC236}">
              <a16:creationId xmlns:a16="http://schemas.microsoft.com/office/drawing/2014/main" id="{00000000-0008-0000-0300-00002B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76200</xdr:colOff>
      <xdr:row>19</xdr:row>
      <xdr:rowOff>0</xdr:rowOff>
    </xdr:to>
    <xdr:sp macro="" textlink="">
      <xdr:nvSpPr>
        <xdr:cNvPr id="300" name="Text Box 1">
          <a:extLst>
            <a:ext uri="{FF2B5EF4-FFF2-40B4-BE49-F238E27FC236}">
              <a16:creationId xmlns:a16="http://schemas.microsoft.com/office/drawing/2014/main" id="{00000000-0008-0000-0300-00002C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19</xdr:row>
      <xdr:rowOff>0</xdr:rowOff>
    </xdr:from>
    <xdr:to>
      <xdr:col>4</xdr:col>
      <xdr:colOff>76200</xdr:colOff>
      <xdr:row>20</xdr:row>
      <xdr:rowOff>0</xdr:rowOff>
    </xdr:to>
    <xdr:sp macro="" textlink="">
      <xdr:nvSpPr>
        <xdr:cNvPr id="301" name="Text Box 1">
          <a:extLst>
            <a:ext uri="{FF2B5EF4-FFF2-40B4-BE49-F238E27FC236}">
              <a16:creationId xmlns:a16="http://schemas.microsoft.com/office/drawing/2014/main" id="{00000000-0008-0000-0300-00002D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19</xdr:row>
      <xdr:rowOff>0</xdr:rowOff>
    </xdr:from>
    <xdr:to>
      <xdr:col>4</xdr:col>
      <xdr:colOff>76200</xdr:colOff>
      <xdr:row>20</xdr:row>
      <xdr:rowOff>0</xdr:rowOff>
    </xdr:to>
    <xdr:sp macro="" textlink="">
      <xdr:nvSpPr>
        <xdr:cNvPr id="302" name="Text Box 2">
          <a:extLst>
            <a:ext uri="{FF2B5EF4-FFF2-40B4-BE49-F238E27FC236}">
              <a16:creationId xmlns:a16="http://schemas.microsoft.com/office/drawing/2014/main" id="{00000000-0008-0000-0300-00002E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19</xdr:row>
      <xdr:rowOff>0</xdr:rowOff>
    </xdr:from>
    <xdr:to>
      <xdr:col>4</xdr:col>
      <xdr:colOff>76200</xdr:colOff>
      <xdr:row>20</xdr:row>
      <xdr:rowOff>0</xdr:rowOff>
    </xdr:to>
    <xdr:sp macro="" textlink="">
      <xdr:nvSpPr>
        <xdr:cNvPr id="303" name="Text Box 1">
          <a:extLst>
            <a:ext uri="{FF2B5EF4-FFF2-40B4-BE49-F238E27FC236}">
              <a16:creationId xmlns:a16="http://schemas.microsoft.com/office/drawing/2014/main" id="{00000000-0008-0000-0300-00002F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19</xdr:row>
      <xdr:rowOff>0</xdr:rowOff>
    </xdr:from>
    <xdr:to>
      <xdr:col>4</xdr:col>
      <xdr:colOff>76200</xdr:colOff>
      <xdr:row>20</xdr:row>
      <xdr:rowOff>0</xdr:rowOff>
    </xdr:to>
    <xdr:sp macro="" textlink="">
      <xdr:nvSpPr>
        <xdr:cNvPr id="304" name="Text Box 1">
          <a:extLst>
            <a:ext uri="{FF2B5EF4-FFF2-40B4-BE49-F238E27FC236}">
              <a16:creationId xmlns:a16="http://schemas.microsoft.com/office/drawing/2014/main" id="{00000000-0008-0000-0300-000030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19</xdr:row>
      <xdr:rowOff>0</xdr:rowOff>
    </xdr:from>
    <xdr:to>
      <xdr:col>4</xdr:col>
      <xdr:colOff>76200</xdr:colOff>
      <xdr:row>20</xdr:row>
      <xdr:rowOff>0</xdr:rowOff>
    </xdr:to>
    <xdr:sp macro="" textlink="">
      <xdr:nvSpPr>
        <xdr:cNvPr id="305" name="Text Box 1">
          <a:extLst>
            <a:ext uri="{FF2B5EF4-FFF2-40B4-BE49-F238E27FC236}">
              <a16:creationId xmlns:a16="http://schemas.microsoft.com/office/drawing/2014/main" id="{00000000-0008-0000-0300-000031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19</xdr:row>
      <xdr:rowOff>0</xdr:rowOff>
    </xdr:from>
    <xdr:to>
      <xdr:col>4</xdr:col>
      <xdr:colOff>76200</xdr:colOff>
      <xdr:row>20</xdr:row>
      <xdr:rowOff>0</xdr:rowOff>
    </xdr:to>
    <xdr:sp macro="" textlink="">
      <xdr:nvSpPr>
        <xdr:cNvPr id="306" name="Text Box 2">
          <a:extLst>
            <a:ext uri="{FF2B5EF4-FFF2-40B4-BE49-F238E27FC236}">
              <a16:creationId xmlns:a16="http://schemas.microsoft.com/office/drawing/2014/main" id="{00000000-0008-0000-0300-000032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19</xdr:row>
      <xdr:rowOff>0</xdr:rowOff>
    </xdr:from>
    <xdr:to>
      <xdr:col>4</xdr:col>
      <xdr:colOff>76200</xdr:colOff>
      <xdr:row>20</xdr:row>
      <xdr:rowOff>0</xdr:rowOff>
    </xdr:to>
    <xdr:sp macro="" textlink="">
      <xdr:nvSpPr>
        <xdr:cNvPr id="307" name="Text Box 1">
          <a:extLst>
            <a:ext uri="{FF2B5EF4-FFF2-40B4-BE49-F238E27FC236}">
              <a16:creationId xmlns:a16="http://schemas.microsoft.com/office/drawing/2014/main" id="{00000000-0008-0000-0300-000033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19</xdr:row>
      <xdr:rowOff>0</xdr:rowOff>
    </xdr:from>
    <xdr:to>
      <xdr:col>4</xdr:col>
      <xdr:colOff>76200</xdr:colOff>
      <xdr:row>20</xdr:row>
      <xdr:rowOff>0</xdr:rowOff>
    </xdr:to>
    <xdr:sp macro="" textlink="">
      <xdr:nvSpPr>
        <xdr:cNvPr id="308" name="Text Box 1">
          <a:extLst>
            <a:ext uri="{FF2B5EF4-FFF2-40B4-BE49-F238E27FC236}">
              <a16:creationId xmlns:a16="http://schemas.microsoft.com/office/drawing/2014/main" id="{00000000-0008-0000-0300-000034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19</xdr:row>
      <xdr:rowOff>0</xdr:rowOff>
    </xdr:from>
    <xdr:to>
      <xdr:col>4</xdr:col>
      <xdr:colOff>76200</xdr:colOff>
      <xdr:row>20</xdr:row>
      <xdr:rowOff>0</xdr:rowOff>
    </xdr:to>
    <xdr:sp macro="" textlink="">
      <xdr:nvSpPr>
        <xdr:cNvPr id="309" name="Text Box 1">
          <a:extLst>
            <a:ext uri="{FF2B5EF4-FFF2-40B4-BE49-F238E27FC236}">
              <a16:creationId xmlns:a16="http://schemas.microsoft.com/office/drawing/2014/main" id="{00000000-0008-0000-0300-000035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19</xdr:row>
      <xdr:rowOff>0</xdr:rowOff>
    </xdr:from>
    <xdr:to>
      <xdr:col>4</xdr:col>
      <xdr:colOff>76200</xdr:colOff>
      <xdr:row>20</xdr:row>
      <xdr:rowOff>0</xdr:rowOff>
    </xdr:to>
    <xdr:sp macro="" textlink="">
      <xdr:nvSpPr>
        <xdr:cNvPr id="310" name="Text Box 2">
          <a:extLst>
            <a:ext uri="{FF2B5EF4-FFF2-40B4-BE49-F238E27FC236}">
              <a16:creationId xmlns:a16="http://schemas.microsoft.com/office/drawing/2014/main" id="{00000000-0008-0000-0300-000036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19</xdr:row>
      <xdr:rowOff>0</xdr:rowOff>
    </xdr:from>
    <xdr:to>
      <xdr:col>4</xdr:col>
      <xdr:colOff>76200</xdr:colOff>
      <xdr:row>20</xdr:row>
      <xdr:rowOff>0</xdr:rowOff>
    </xdr:to>
    <xdr:sp macro="" textlink="">
      <xdr:nvSpPr>
        <xdr:cNvPr id="311" name="Text Box 1">
          <a:extLst>
            <a:ext uri="{FF2B5EF4-FFF2-40B4-BE49-F238E27FC236}">
              <a16:creationId xmlns:a16="http://schemas.microsoft.com/office/drawing/2014/main" id="{00000000-0008-0000-0300-000037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19</xdr:row>
      <xdr:rowOff>0</xdr:rowOff>
    </xdr:from>
    <xdr:to>
      <xdr:col>4</xdr:col>
      <xdr:colOff>76200</xdr:colOff>
      <xdr:row>20</xdr:row>
      <xdr:rowOff>0</xdr:rowOff>
    </xdr:to>
    <xdr:sp macro="" textlink="">
      <xdr:nvSpPr>
        <xdr:cNvPr id="312" name="Text Box 1">
          <a:extLst>
            <a:ext uri="{FF2B5EF4-FFF2-40B4-BE49-F238E27FC236}">
              <a16:creationId xmlns:a16="http://schemas.microsoft.com/office/drawing/2014/main" id="{00000000-0008-0000-0300-000038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19</xdr:row>
      <xdr:rowOff>0</xdr:rowOff>
    </xdr:from>
    <xdr:to>
      <xdr:col>4</xdr:col>
      <xdr:colOff>76200</xdr:colOff>
      <xdr:row>20</xdr:row>
      <xdr:rowOff>0</xdr:rowOff>
    </xdr:to>
    <xdr:sp macro="" textlink="">
      <xdr:nvSpPr>
        <xdr:cNvPr id="313" name="Text Box 1">
          <a:extLst>
            <a:ext uri="{FF2B5EF4-FFF2-40B4-BE49-F238E27FC236}">
              <a16:creationId xmlns:a16="http://schemas.microsoft.com/office/drawing/2014/main" id="{00000000-0008-0000-0300-000039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19</xdr:row>
      <xdr:rowOff>0</xdr:rowOff>
    </xdr:from>
    <xdr:to>
      <xdr:col>4</xdr:col>
      <xdr:colOff>76200</xdr:colOff>
      <xdr:row>20</xdr:row>
      <xdr:rowOff>0</xdr:rowOff>
    </xdr:to>
    <xdr:sp macro="" textlink="">
      <xdr:nvSpPr>
        <xdr:cNvPr id="314" name="Text Box 2">
          <a:extLst>
            <a:ext uri="{FF2B5EF4-FFF2-40B4-BE49-F238E27FC236}">
              <a16:creationId xmlns:a16="http://schemas.microsoft.com/office/drawing/2014/main" id="{00000000-0008-0000-0300-00003A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19</xdr:row>
      <xdr:rowOff>0</xdr:rowOff>
    </xdr:from>
    <xdr:to>
      <xdr:col>4</xdr:col>
      <xdr:colOff>76200</xdr:colOff>
      <xdr:row>20</xdr:row>
      <xdr:rowOff>0</xdr:rowOff>
    </xdr:to>
    <xdr:sp macro="" textlink="">
      <xdr:nvSpPr>
        <xdr:cNvPr id="315" name="Text Box 1">
          <a:extLst>
            <a:ext uri="{FF2B5EF4-FFF2-40B4-BE49-F238E27FC236}">
              <a16:creationId xmlns:a16="http://schemas.microsoft.com/office/drawing/2014/main" id="{00000000-0008-0000-0300-00003B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19</xdr:row>
      <xdr:rowOff>0</xdr:rowOff>
    </xdr:from>
    <xdr:to>
      <xdr:col>4</xdr:col>
      <xdr:colOff>76200</xdr:colOff>
      <xdr:row>20</xdr:row>
      <xdr:rowOff>0</xdr:rowOff>
    </xdr:to>
    <xdr:sp macro="" textlink="">
      <xdr:nvSpPr>
        <xdr:cNvPr id="316" name="Text Box 1">
          <a:extLst>
            <a:ext uri="{FF2B5EF4-FFF2-40B4-BE49-F238E27FC236}">
              <a16:creationId xmlns:a16="http://schemas.microsoft.com/office/drawing/2014/main" id="{00000000-0008-0000-0300-00003C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19</xdr:row>
      <xdr:rowOff>0</xdr:rowOff>
    </xdr:from>
    <xdr:to>
      <xdr:col>4</xdr:col>
      <xdr:colOff>76200</xdr:colOff>
      <xdr:row>20</xdr:row>
      <xdr:rowOff>0</xdr:rowOff>
    </xdr:to>
    <xdr:sp macro="" textlink="">
      <xdr:nvSpPr>
        <xdr:cNvPr id="317" name="Text Box 2">
          <a:extLst>
            <a:ext uri="{FF2B5EF4-FFF2-40B4-BE49-F238E27FC236}">
              <a16:creationId xmlns:a16="http://schemas.microsoft.com/office/drawing/2014/main" id="{00000000-0008-0000-0300-00003D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19</xdr:row>
      <xdr:rowOff>0</xdr:rowOff>
    </xdr:from>
    <xdr:to>
      <xdr:col>4</xdr:col>
      <xdr:colOff>76200</xdr:colOff>
      <xdr:row>20</xdr:row>
      <xdr:rowOff>0</xdr:rowOff>
    </xdr:to>
    <xdr:sp macro="" textlink="">
      <xdr:nvSpPr>
        <xdr:cNvPr id="318" name="Text Box 1">
          <a:extLst>
            <a:ext uri="{FF2B5EF4-FFF2-40B4-BE49-F238E27FC236}">
              <a16:creationId xmlns:a16="http://schemas.microsoft.com/office/drawing/2014/main" id="{00000000-0008-0000-0300-00003E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19</xdr:row>
      <xdr:rowOff>0</xdr:rowOff>
    </xdr:from>
    <xdr:to>
      <xdr:col>4</xdr:col>
      <xdr:colOff>76200</xdr:colOff>
      <xdr:row>20</xdr:row>
      <xdr:rowOff>0</xdr:rowOff>
    </xdr:to>
    <xdr:sp macro="" textlink="">
      <xdr:nvSpPr>
        <xdr:cNvPr id="319" name="Text Box 1">
          <a:extLst>
            <a:ext uri="{FF2B5EF4-FFF2-40B4-BE49-F238E27FC236}">
              <a16:creationId xmlns:a16="http://schemas.microsoft.com/office/drawing/2014/main" id="{00000000-0008-0000-0300-00003F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19</xdr:row>
      <xdr:rowOff>0</xdr:rowOff>
    </xdr:from>
    <xdr:to>
      <xdr:col>4</xdr:col>
      <xdr:colOff>76200</xdr:colOff>
      <xdr:row>20</xdr:row>
      <xdr:rowOff>0</xdr:rowOff>
    </xdr:to>
    <xdr:sp macro="" textlink="">
      <xdr:nvSpPr>
        <xdr:cNvPr id="320" name="Text Box 1">
          <a:extLst>
            <a:ext uri="{FF2B5EF4-FFF2-40B4-BE49-F238E27FC236}">
              <a16:creationId xmlns:a16="http://schemas.microsoft.com/office/drawing/2014/main" id="{00000000-0008-0000-0300-000040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19</xdr:row>
      <xdr:rowOff>0</xdr:rowOff>
    </xdr:from>
    <xdr:to>
      <xdr:col>4</xdr:col>
      <xdr:colOff>76200</xdr:colOff>
      <xdr:row>20</xdr:row>
      <xdr:rowOff>0</xdr:rowOff>
    </xdr:to>
    <xdr:sp macro="" textlink="">
      <xdr:nvSpPr>
        <xdr:cNvPr id="321" name="Text Box 2">
          <a:extLst>
            <a:ext uri="{FF2B5EF4-FFF2-40B4-BE49-F238E27FC236}">
              <a16:creationId xmlns:a16="http://schemas.microsoft.com/office/drawing/2014/main" id="{00000000-0008-0000-0300-000041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19</xdr:row>
      <xdr:rowOff>0</xdr:rowOff>
    </xdr:from>
    <xdr:to>
      <xdr:col>4</xdr:col>
      <xdr:colOff>76200</xdr:colOff>
      <xdr:row>20</xdr:row>
      <xdr:rowOff>0</xdr:rowOff>
    </xdr:to>
    <xdr:sp macro="" textlink="">
      <xdr:nvSpPr>
        <xdr:cNvPr id="322" name="Text Box 1">
          <a:extLst>
            <a:ext uri="{FF2B5EF4-FFF2-40B4-BE49-F238E27FC236}">
              <a16:creationId xmlns:a16="http://schemas.microsoft.com/office/drawing/2014/main" id="{00000000-0008-0000-0300-000042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19</xdr:row>
      <xdr:rowOff>0</xdr:rowOff>
    </xdr:from>
    <xdr:to>
      <xdr:col>4</xdr:col>
      <xdr:colOff>76200</xdr:colOff>
      <xdr:row>20</xdr:row>
      <xdr:rowOff>0</xdr:rowOff>
    </xdr:to>
    <xdr:sp macro="" textlink="">
      <xdr:nvSpPr>
        <xdr:cNvPr id="323" name="Text Box 1">
          <a:extLst>
            <a:ext uri="{FF2B5EF4-FFF2-40B4-BE49-F238E27FC236}">
              <a16:creationId xmlns:a16="http://schemas.microsoft.com/office/drawing/2014/main" id="{00000000-0008-0000-0300-000043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76200</xdr:colOff>
      <xdr:row>21</xdr:row>
      <xdr:rowOff>0</xdr:rowOff>
    </xdr:to>
    <xdr:sp macro="" textlink="">
      <xdr:nvSpPr>
        <xdr:cNvPr id="324" name="Text Box 1">
          <a:extLst>
            <a:ext uri="{FF2B5EF4-FFF2-40B4-BE49-F238E27FC236}">
              <a16:creationId xmlns:a16="http://schemas.microsoft.com/office/drawing/2014/main" id="{00000000-0008-0000-0300-000044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76200</xdr:colOff>
      <xdr:row>21</xdr:row>
      <xdr:rowOff>0</xdr:rowOff>
    </xdr:to>
    <xdr:sp macro="" textlink="">
      <xdr:nvSpPr>
        <xdr:cNvPr id="325" name="Text Box 2">
          <a:extLst>
            <a:ext uri="{FF2B5EF4-FFF2-40B4-BE49-F238E27FC236}">
              <a16:creationId xmlns:a16="http://schemas.microsoft.com/office/drawing/2014/main" id="{00000000-0008-0000-0300-000045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76200</xdr:colOff>
      <xdr:row>21</xdr:row>
      <xdr:rowOff>0</xdr:rowOff>
    </xdr:to>
    <xdr:sp macro="" textlink="">
      <xdr:nvSpPr>
        <xdr:cNvPr id="326" name="Text Box 1">
          <a:extLst>
            <a:ext uri="{FF2B5EF4-FFF2-40B4-BE49-F238E27FC236}">
              <a16:creationId xmlns:a16="http://schemas.microsoft.com/office/drawing/2014/main" id="{00000000-0008-0000-0300-000046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76200</xdr:colOff>
      <xdr:row>21</xdr:row>
      <xdr:rowOff>0</xdr:rowOff>
    </xdr:to>
    <xdr:sp macro="" textlink="">
      <xdr:nvSpPr>
        <xdr:cNvPr id="327" name="Text Box 1">
          <a:extLst>
            <a:ext uri="{FF2B5EF4-FFF2-40B4-BE49-F238E27FC236}">
              <a16:creationId xmlns:a16="http://schemas.microsoft.com/office/drawing/2014/main" id="{00000000-0008-0000-0300-000047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76200</xdr:colOff>
      <xdr:row>21</xdr:row>
      <xdr:rowOff>0</xdr:rowOff>
    </xdr:to>
    <xdr:sp macro="" textlink="">
      <xdr:nvSpPr>
        <xdr:cNvPr id="328" name="Text Box 1">
          <a:extLst>
            <a:ext uri="{FF2B5EF4-FFF2-40B4-BE49-F238E27FC236}">
              <a16:creationId xmlns:a16="http://schemas.microsoft.com/office/drawing/2014/main" id="{00000000-0008-0000-0300-000048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76200</xdr:colOff>
      <xdr:row>21</xdr:row>
      <xdr:rowOff>0</xdr:rowOff>
    </xdr:to>
    <xdr:sp macro="" textlink="">
      <xdr:nvSpPr>
        <xdr:cNvPr id="329" name="Text Box 2">
          <a:extLst>
            <a:ext uri="{FF2B5EF4-FFF2-40B4-BE49-F238E27FC236}">
              <a16:creationId xmlns:a16="http://schemas.microsoft.com/office/drawing/2014/main" id="{00000000-0008-0000-0300-000049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76200</xdr:colOff>
      <xdr:row>21</xdr:row>
      <xdr:rowOff>0</xdr:rowOff>
    </xdr:to>
    <xdr:sp macro="" textlink="">
      <xdr:nvSpPr>
        <xdr:cNvPr id="330" name="Text Box 1">
          <a:extLst>
            <a:ext uri="{FF2B5EF4-FFF2-40B4-BE49-F238E27FC236}">
              <a16:creationId xmlns:a16="http://schemas.microsoft.com/office/drawing/2014/main" id="{00000000-0008-0000-0300-00004A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76200</xdr:colOff>
      <xdr:row>21</xdr:row>
      <xdr:rowOff>0</xdr:rowOff>
    </xdr:to>
    <xdr:sp macro="" textlink="">
      <xdr:nvSpPr>
        <xdr:cNvPr id="331" name="Text Box 1">
          <a:extLst>
            <a:ext uri="{FF2B5EF4-FFF2-40B4-BE49-F238E27FC236}">
              <a16:creationId xmlns:a16="http://schemas.microsoft.com/office/drawing/2014/main" id="{00000000-0008-0000-0300-00004B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76200</xdr:colOff>
      <xdr:row>21</xdr:row>
      <xdr:rowOff>0</xdr:rowOff>
    </xdr:to>
    <xdr:sp macro="" textlink="">
      <xdr:nvSpPr>
        <xdr:cNvPr id="332" name="Text Box 1">
          <a:extLst>
            <a:ext uri="{FF2B5EF4-FFF2-40B4-BE49-F238E27FC236}">
              <a16:creationId xmlns:a16="http://schemas.microsoft.com/office/drawing/2014/main" id="{00000000-0008-0000-0300-00004C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76200</xdr:colOff>
      <xdr:row>21</xdr:row>
      <xdr:rowOff>0</xdr:rowOff>
    </xdr:to>
    <xdr:sp macro="" textlink="">
      <xdr:nvSpPr>
        <xdr:cNvPr id="333" name="Text Box 2">
          <a:extLst>
            <a:ext uri="{FF2B5EF4-FFF2-40B4-BE49-F238E27FC236}">
              <a16:creationId xmlns:a16="http://schemas.microsoft.com/office/drawing/2014/main" id="{00000000-0008-0000-0300-00004D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76200</xdr:colOff>
      <xdr:row>21</xdr:row>
      <xdr:rowOff>0</xdr:rowOff>
    </xdr:to>
    <xdr:sp macro="" textlink="">
      <xdr:nvSpPr>
        <xdr:cNvPr id="334" name="Text Box 1">
          <a:extLst>
            <a:ext uri="{FF2B5EF4-FFF2-40B4-BE49-F238E27FC236}">
              <a16:creationId xmlns:a16="http://schemas.microsoft.com/office/drawing/2014/main" id="{00000000-0008-0000-0300-00004E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76200</xdr:colOff>
      <xdr:row>21</xdr:row>
      <xdr:rowOff>0</xdr:rowOff>
    </xdr:to>
    <xdr:sp macro="" textlink="">
      <xdr:nvSpPr>
        <xdr:cNvPr id="335" name="Text Box 1">
          <a:extLst>
            <a:ext uri="{FF2B5EF4-FFF2-40B4-BE49-F238E27FC236}">
              <a16:creationId xmlns:a16="http://schemas.microsoft.com/office/drawing/2014/main" id="{00000000-0008-0000-0300-00004F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76200</xdr:colOff>
      <xdr:row>21</xdr:row>
      <xdr:rowOff>0</xdr:rowOff>
    </xdr:to>
    <xdr:sp macro="" textlink="">
      <xdr:nvSpPr>
        <xdr:cNvPr id="336" name="Text Box 1">
          <a:extLst>
            <a:ext uri="{FF2B5EF4-FFF2-40B4-BE49-F238E27FC236}">
              <a16:creationId xmlns:a16="http://schemas.microsoft.com/office/drawing/2014/main" id="{00000000-0008-0000-0300-000050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76200</xdr:colOff>
      <xdr:row>21</xdr:row>
      <xdr:rowOff>0</xdr:rowOff>
    </xdr:to>
    <xdr:sp macro="" textlink="">
      <xdr:nvSpPr>
        <xdr:cNvPr id="337" name="Text Box 2">
          <a:extLst>
            <a:ext uri="{FF2B5EF4-FFF2-40B4-BE49-F238E27FC236}">
              <a16:creationId xmlns:a16="http://schemas.microsoft.com/office/drawing/2014/main" id="{00000000-0008-0000-0300-000051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76200</xdr:colOff>
      <xdr:row>21</xdr:row>
      <xdr:rowOff>0</xdr:rowOff>
    </xdr:to>
    <xdr:sp macro="" textlink="">
      <xdr:nvSpPr>
        <xdr:cNvPr id="338" name="Text Box 1">
          <a:extLst>
            <a:ext uri="{FF2B5EF4-FFF2-40B4-BE49-F238E27FC236}">
              <a16:creationId xmlns:a16="http://schemas.microsoft.com/office/drawing/2014/main" id="{00000000-0008-0000-0300-000052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76200</xdr:colOff>
      <xdr:row>21</xdr:row>
      <xdr:rowOff>0</xdr:rowOff>
    </xdr:to>
    <xdr:sp macro="" textlink="">
      <xdr:nvSpPr>
        <xdr:cNvPr id="339" name="Text Box 1">
          <a:extLst>
            <a:ext uri="{FF2B5EF4-FFF2-40B4-BE49-F238E27FC236}">
              <a16:creationId xmlns:a16="http://schemas.microsoft.com/office/drawing/2014/main" id="{00000000-0008-0000-0300-000053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76200</xdr:colOff>
      <xdr:row>21</xdr:row>
      <xdr:rowOff>0</xdr:rowOff>
    </xdr:to>
    <xdr:sp macro="" textlink="">
      <xdr:nvSpPr>
        <xdr:cNvPr id="340" name="Text Box 2">
          <a:extLst>
            <a:ext uri="{FF2B5EF4-FFF2-40B4-BE49-F238E27FC236}">
              <a16:creationId xmlns:a16="http://schemas.microsoft.com/office/drawing/2014/main" id="{00000000-0008-0000-0300-000054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76200</xdr:colOff>
      <xdr:row>21</xdr:row>
      <xdr:rowOff>0</xdr:rowOff>
    </xdr:to>
    <xdr:sp macro="" textlink="">
      <xdr:nvSpPr>
        <xdr:cNvPr id="341" name="Text Box 1">
          <a:extLst>
            <a:ext uri="{FF2B5EF4-FFF2-40B4-BE49-F238E27FC236}">
              <a16:creationId xmlns:a16="http://schemas.microsoft.com/office/drawing/2014/main" id="{00000000-0008-0000-0300-000055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76200</xdr:colOff>
      <xdr:row>21</xdr:row>
      <xdr:rowOff>0</xdr:rowOff>
    </xdr:to>
    <xdr:sp macro="" textlink="">
      <xdr:nvSpPr>
        <xdr:cNvPr id="342" name="Text Box 1">
          <a:extLst>
            <a:ext uri="{FF2B5EF4-FFF2-40B4-BE49-F238E27FC236}">
              <a16:creationId xmlns:a16="http://schemas.microsoft.com/office/drawing/2014/main" id="{00000000-0008-0000-0300-000056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76200</xdr:colOff>
      <xdr:row>21</xdr:row>
      <xdr:rowOff>0</xdr:rowOff>
    </xdr:to>
    <xdr:sp macro="" textlink="">
      <xdr:nvSpPr>
        <xdr:cNvPr id="343" name="Text Box 1">
          <a:extLst>
            <a:ext uri="{FF2B5EF4-FFF2-40B4-BE49-F238E27FC236}">
              <a16:creationId xmlns:a16="http://schemas.microsoft.com/office/drawing/2014/main" id="{00000000-0008-0000-0300-000057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76200</xdr:colOff>
      <xdr:row>21</xdr:row>
      <xdr:rowOff>0</xdr:rowOff>
    </xdr:to>
    <xdr:sp macro="" textlink="">
      <xdr:nvSpPr>
        <xdr:cNvPr id="344" name="Text Box 2">
          <a:extLst>
            <a:ext uri="{FF2B5EF4-FFF2-40B4-BE49-F238E27FC236}">
              <a16:creationId xmlns:a16="http://schemas.microsoft.com/office/drawing/2014/main" id="{00000000-0008-0000-0300-000058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76200</xdr:colOff>
      <xdr:row>21</xdr:row>
      <xdr:rowOff>0</xdr:rowOff>
    </xdr:to>
    <xdr:sp macro="" textlink="">
      <xdr:nvSpPr>
        <xdr:cNvPr id="345" name="Text Box 1">
          <a:extLst>
            <a:ext uri="{FF2B5EF4-FFF2-40B4-BE49-F238E27FC236}">
              <a16:creationId xmlns:a16="http://schemas.microsoft.com/office/drawing/2014/main" id="{00000000-0008-0000-0300-000059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76200</xdr:colOff>
      <xdr:row>21</xdr:row>
      <xdr:rowOff>0</xdr:rowOff>
    </xdr:to>
    <xdr:sp macro="" textlink="">
      <xdr:nvSpPr>
        <xdr:cNvPr id="346" name="Text Box 1">
          <a:extLst>
            <a:ext uri="{FF2B5EF4-FFF2-40B4-BE49-F238E27FC236}">
              <a16:creationId xmlns:a16="http://schemas.microsoft.com/office/drawing/2014/main" id="{00000000-0008-0000-0300-00005A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76200</xdr:colOff>
      <xdr:row>22</xdr:row>
      <xdr:rowOff>0</xdr:rowOff>
    </xdr:to>
    <xdr:sp macro="" textlink="">
      <xdr:nvSpPr>
        <xdr:cNvPr id="347" name="Text Box 1">
          <a:extLst>
            <a:ext uri="{FF2B5EF4-FFF2-40B4-BE49-F238E27FC236}">
              <a16:creationId xmlns:a16="http://schemas.microsoft.com/office/drawing/2014/main" id="{00000000-0008-0000-0300-00005B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76200</xdr:colOff>
      <xdr:row>22</xdr:row>
      <xdr:rowOff>0</xdr:rowOff>
    </xdr:to>
    <xdr:sp macro="" textlink="">
      <xdr:nvSpPr>
        <xdr:cNvPr id="348" name="Text Box 2">
          <a:extLst>
            <a:ext uri="{FF2B5EF4-FFF2-40B4-BE49-F238E27FC236}">
              <a16:creationId xmlns:a16="http://schemas.microsoft.com/office/drawing/2014/main" id="{00000000-0008-0000-0300-00005C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76200</xdr:colOff>
      <xdr:row>22</xdr:row>
      <xdr:rowOff>0</xdr:rowOff>
    </xdr:to>
    <xdr:sp macro="" textlink="">
      <xdr:nvSpPr>
        <xdr:cNvPr id="349" name="Text Box 1">
          <a:extLst>
            <a:ext uri="{FF2B5EF4-FFF2-40B4-BE49-F238E27FC236}">
              <a16:creationId xmlns:a16="http://schemas.microsoft.com/office/drawing/2014/main" id="{00000000-0008-0000-0300-00005D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76200</xdr:colOff>
      <xdr:row>22</xdr:row>
      <xdr:rowOff>0</xdr:rowOff>
    </xdr:to>
    <xdr:sp macro="" textlink="">
      <xdr:nvSpPr>
        <xdr:cNvPr id="350" name="Text Box 1">
          <a:extLst>
            <a:ext uri="{FF2B5EF4-FFF2-40B4-BE49-F238E27FC236}">
              <a16:creationId xmlns:a16="http://schemas.microsoft.com/office/drawing/2014/main" id="{00000000-0008-0000-0300-00005E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76200</xdr:colOff>
      <xdr:row>22</xdr:row>
      <xdr:rowOff>0</xdr:rowOff>
    </xdr:to>
    <xdr:sp macro="" textlink="">
      <xdr:nvSpPr>
        <xdr:cNvPr id="351" name="Text Box 1">
          <a:extLst>
            <a:ext uri="{FF2B5EF4-FFF2-40B4-BE49-F238E27FC236}">
              <a16:creationId xmlns:a16="http://schemas.microsoft.com/office/drawing/2014/main" id="{00000000-0008-0000-0300-00005F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76200</xdr:colOff>
      <xdr:row>22</xdr:row>
      <xdr:rowOff>0</xdr:rowOff>
    </xdr:to>
    <xdr:sp macro="" textlink="">
      <xdr:nvSpPr>
        <xdr:cNvPr id="352" name="Text Box 2">
          <a:extLst>
            <a:ext uri="{FF2B5EF4-FFF2-40B4-BE49-F238E27FC236}">
              <a16:creationId xmlns:a16="http://schemas.microsoft.com/office/drawing/2014/main" id="{00000000-0008-0000-0300-000060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76200</xdr:colOff>
      <xdr:row>22</xdr:row>
      <xdr:rowOff>0</xdr:rowOff>
    </xdr:to>
    <xdr:sp macro="" textlink="">
      <xdr:nvSpPr>
        <xdr:cNvPr id="353" name="Text Box 1">
          <a:extLst>
            <a:ext uri="{FF2B5EF4-FFF2-40B4-BE49-F238E27FC236}">
              <a16:creationId xmlns:a16="http://schemas.microsoft.com/office/drawing/2014/main" id="{00000000-0008-0000-0300-000061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76200</xdr:colOff>
      <xdr:row>22</xdr:row>
      <xdr:rowOff>0</xdr:rowOff>
    </xdr:to>
    <xdr:sp macro="" textlink="">
      <xdr:nvSpPr>
        <xdr:cNvPr id="354" name="Text Box 1">
          <a:extLst>
            <a:ext uri="{FF2B5EF4-FFF2-40B4-BE49-F238E27FC236}">
              <a16:creationId xmlns:a16="http://schemas.microsoft.com/office/drawing/2014/main" id="{00000000-0008-0000-0300-000062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76200</xdr:colOff>
      <xdr:row>22</xdr:row>
      <xdr:rowOff>0</xdr:rowOff>
    </xdr:to>
    <xdr:sp macro="" textlink="">
      <xdr:nvSpPr>
        <xdr:cNvPr id="355" name="Text Box 1">
          <a:extLst>
            <a:ext uri="{FF2B5EF4-FFF2-40B4-BE49-F238E27FC236}">
              <a16:creationId xmlns:a16="http://schemas.microsoft.com/office/drawing/2014/main" id="{00000000-0008-0000-0300-000063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76200</xdr:colOff>
      <xdr:row>22</xdr:row>
      <xdr:rowOff>0</xdr:rowOff>
    </xdr:to>
    <xdr:sp macro="" textlink="">
      <xdr:nvSpPr>
        <xdr:cNvPr id="356" name="Text Box 2">
          <a:extLst>
            <a:ext uri="{FF2B5EF4-FFF2-40B4-BE49-F238E27FC236}">
              <a16:creationId xmlns:a16="http://schemas.microsoft.com/office/drawing/2014/main" id="{00000000-0008-0000-0300-000064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76200</xdr:colOff>
      <xdr:row>22</xdr:row>
      <xdr:rowOff>0</xdr:rowOff>
    </xdr:to>
    <xdr:sp macro="" textlink="">
      <xdr:nvSpPr>
        <xdr:cNvPr id="357" name="Text Box 1">
          <a:extLst>
            <a:ext uri="{FF2B5EF4-FFF2-40B4-BE49-F238E27FC236}">
              <a16:creationId xmlns:a16="http://schemas.microsoft.com/office/drawing/2014/main" id="{00000000-0008-0000-0300-000065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76200</xdr:colOff>
      <xdr:row>22</xdr:row>
      <xdr:rowOff>0</xdr:rowOff>
    </xdr:to>
    <xdr:sp macro="" textlink="">
      <xdr:nvSpPr>
        <xdr:cNvPr id="358" name="Text Box 1">
          <a:extLst>
            <a:ext uri="{FF2B5EF4-FFF2-40B4-BE49-F238E27FC236}">
              <a16:creationId xmlns:a16="http://schemas.microsoft.com/office/drawing/2014/main" id="{00000000-0008-0000-0300-000066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76200</xdr:colOff>
      <xdr:row>22</xdr:row>
      <xdr:rowOff>0</xdr:rowOff>
    </xdr:to>
    <xdr:sp macro="" textlink="">
      <xdr:nvSpPr>
        <xdr:cNvPr id="359" name="Text Box 1">
          <a:extLst>
            <a:ext uri="{FF2B5EF4-FFF2-40B4-BE49-F238E27FC236}">
              <a16:creationId xmlns:a16="http://schemas.microsoft.com/office/drawing/2014/main" id="{00000000-0008-0000-0300-000067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76200</xdr:colOff>
      <xdr:row>22</xdr:row>
      <xdr:rowOff>0</xdr:rowOff>
    </xdr:to>
    <xdr:sp macro="" textlink="">
      <xdr:nvSpPr>
        <xdr:cNvPr id="360" name="Text Box 2">
          <a:extLst>
            <a:ext uri="{FF2B5EF4-FFF2-40B4-BE49-F238E27FC236}">
              <a16:creationId xmlns:a16="http://schemas.microsoft.com/office/drawing/2014/main" id="{00000000-0008-0000-0300-000068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76200</xdr:colOff>
      <xdr:row>22</xdr:row>
      <xdr:rowOff>0</xdr:rowOff>
    </xdr:to>
    <xdr:sp macro="" textlink="">
      <xdr:nvSpPr>
        <xdr:cNvPr id="361" name="Text Box 1">
          <a:extLst>
            <a:ext uri="{FF2B5EF4-FFF2-40B4-BE49-F238E27FC236}">
              <a16:creationId xmlns:a16="http://schemas.microsoft.com/office/drawing/2014/main" id="{00000000-0008-0000-0300-000069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76200</xdr:colOff>
      <xdr:row>22</xdr:row>
      <xdr:rowOff>0</xdr:rowOff>
    </xdr:to>
    <xdr:sp macro="" textlink="">
      <xdr:nvSpPr>
        <xdr:cNvPr id="362" name="Text Box 1">
          <a:extLst>
            <a:ext uri="{FF2B5EF4-FFF2-40B4-BE49-F238E27FC236}">
              <a16:creationId xmlns:a16="http://schemas.microsoft.com/office/drawing/2014/main" id="{00000000-0008-0000-0300-00006A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76200</xdr:colOff>
      <xdr:row>22</xdr:row>
      <xdr:rowOff>0</xdr:rowOff>
    </xdr:to>
    <xdr:sp macro="" textlink="">
      <xdr:nvSpPr>
        <xdr:cNvPr id="363" name="Text Box 2">
          <a:extLst>
            <a:ext uri="{FF2B5EF4-FFF2-40B4-BE49-F238E27FC236}">
              <a16:creationId xmlns:a16="http://schemas.microsoft.com/office/drawing/2014/main" id="{00000000-0008-0000-0300-00006B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76200</xdr:colOff>
      <xdr:row>22</xdr:row>
      <xdr:rowOff>0</xdr:rowOff>
    </xdr:to>
    <xdr:sp macro="" textlink="">
      <xdr:nvSpPr>
        <xdr:cNvPr id="364" name="Text Box 1">
          <a:extLst>
            <a:ext uri="{FF2B5EF4-FFF2-40B4-BE49-F238E27FC236}">
              <a16:creationId xmlns:a16="http://schemas.microsoft.com/office/drawing/2014/main" id="{00000000-0008-0000-0300-00006C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76200</xdr:colOff>
      <xdr:row>22</xdr:row>
      <xdr:rowOff>0</xdr:rowOff>
    </xdr:to>
    <xdr:sp macro="" textlink="">
      <xdr:nvSpPr>
        <xdr:cNvPr id="365" name="Text Box 1">
          <a:extLst>
            <a:ext uri="{FF2B5EF4-FFF2-40B4-BE49-F238E27FC236}">
              <a16:creationId xmlns:a16="http://schemas.microsoft.com/office/drawing/2014/main" id="{00000000-0008-0000-0300-00006D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76200</xdr:colOff>
      <xdr:row>22</xdr:row>
      <xdr:rowOff>0</xdr:rowOff>
    </xdr:to>
    <xdr:sp macro="" textlink="">
      <xdr:nvSpPr>
        <xdr:cNvPr id="366" name="Text Box 1">
          <a:extLst>
            <a:ext uri="{FF2B5EF4-FFF2-40B4-BE49-F238E27FC236}">
              <a16:creationId xmlns:a16="http://schemas.microsoft.com/office/drawing/2014/main" id="{00000000-0008-0000-0300-00006E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76200</xdr:colOff>
      <xdr:row>22</xdr:row>
      <xdr:rowOff>0</xdr:rowOff>
    </xdr:to>
    <xdr:sp macro="" textlink="">
      <xdr:nvSpPr>
        <xdr:cNvPr id="367" name="Text Box 2">
          <a:extLst>
            <a:ext uri="{FF2B5EF4-FFF2-40B4-BE49-F238E27FC236}">
              <a16:creationId xmlns:a16="http://schemas.microsoft.com/office/drawing/2014/main" id="{00000000-0008-0000-0300-00006F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76200</xdr:colOff>
      <xdr:row>22</xdr:row>
      <xdr:rowOff>0</xdr:rowOff>
    </xdr:to>
    <xdr:sp macro="" textlink="">
      <xdr:nvSpPr>
        <xdr:cNvPr id="368" name="Text Box 1">
          <a:extLst>
            <a:ext uri="{FF2B5EF4-FFF2-40B4-BE49-F238E27FC236}">
              <a16:creationId xmlns:a16="http://schemas.microsoft.com/office/drawing/2014/main" id="{00000000-0008-0000-0300-000070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76200</xdr:colOff>
      <xdr:row>22</xdr:row>
      <xdr:rowOff>0</xdr:rowOff>
    </xdr:to>
    <xdr:sp macro="" textlink="">
      <xdr:nvSpPr>
        <xdr:cNvPr id="369" name="Text Box 1">
          <a:extLst>
            <a:ext uri="{FF2B5EF4-FFF2-40B4-BE49-F238E27FC236}">
              <a16:creationId xmlns:a16="http://schemas.microsoft.com/office/drawing/2014/main" id="{00000000-0008-0000-0300-000071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76200</xdr:colOff>
      <xdr:row>23</xdr:row>
      <xdr:rowOff>0</xdr:rowOff>
    </xdr:to>
    <xdr:sp macro="" textlink="">
      <xdr:nvSpPr>
        <xdr:cNvPr id="370" name="Text Box 1">
          <a:extLst>
            <a:ext uri="{FF2B5EF4-FFF2-40B4-BE49-F238E27FC236}">
              <a16:creationId xmlns:a16="http://schemas.microsoft.com/office/drawing/2014/main" id="{00000000-0008-0000-0300-000072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76200</xdr:colOff>
      <xdr:row>23</xdr:row>
      <xdr:rowOff>0</xdr:rowOff>
    </xdr:to>
    <xdr:sp macro="" textlink="">
      <xdr:nvSpPr>
        <xdr:cNvPr id="371" name="Text Box 2">
          <a:extLst>
            <a:ext uri="{FF2B5EF4-FFF2-40B4-BE49-F238E27FC236}">
              <a16:creationId xmlns:a16="http://schemas.microsoft.com/office/drawing/2014/main" id="{00000000-0008-0000-0300-000073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76200</xdr:colOff>
      <xdr:row>23</xdr:row>
      <xdr:rowOff>0</xdr:rowOff>
    </xdr:to>
    <xdr:sp macro="" textlink="">
      <xdr:nvSpPr>
        <xdr:cNvPr id="372" name="Text Box 1">
          <a:extLst>
            <a:ext uri="{FF2B5EF4-FFF2-40B4-BE49-F238E27FC236}">
              <a16:creationId xmlns:a16="http://schemas.microsoft.com/office/drawing/2014/main" id="{00000000-0008-0000-0300-000074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76200</xdr:colOff>
      <xdr:row>23</xdr:row>
      <xdr:rowOff>0</xdr:rowOff>
    </xdr:to>
    <xdr:sp macro="" textlink="">
      <xdr:nvSpPr>
        <xdr:cNvPr id="373" name="Text Box 1">
          <a:extLst>
            <a:ext uri="{FF2B5EF4-FFF2-40B4-BE49-F238E27FC236}">
              <a16:creationId xmlns:a16="http://schemas.microsoft.com/office/drawing/2014/main" id="{00000000-0008-0000-0300-000075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76200</xdr:colOff>
      <xdr:row>23</xdr:row>
      <xdr:rowOff>0</xdr:rowOff>
    </xdr:to>
    <xdr:sp macro="" textlink="">
      <xdr:nvSpPr>
        <xdr:cNvPr id="374" name="Text Box 1">
          <a:extLst>
            <a:ext uri="{FF2B5EF4-FFF2-40B4-BE49-F238E27FC236}">
              <a16:creationId xmlns:a16="http://schemas.microsoft.com/office/drawing/2014/main" id="{00000000-0008-0000-0300-000076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76200</xdr:colOff>
      <xdr:row>23</xdr:row>
      <xdr:rowOff>0</xdr:rowOff>
    </xdr:to>
    <xdr:sp macro="" textlink="">
      <xdr:nvSpPr>
        <xdr:cNvPr id="375" name="Text Box 2">
          <a:extLst>
            <a:ext uri="{FF2B5EF4-FFF2-40B4-BE49-F238E27FC236}">
              <a16:creationId xmlns:a16="http://schemas.microsoft.com/office/drawing/2014/main" id="{00000000-0008-0000-0300-000077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76200</xdr:colOff>
      <xdr:row>23</xdr:row>
      <xdr:rowOff>0</xdr:rowOff>
    </xdr:to>
    <xdr:sp macro="" textlink="">
      <xdr:nvSpPr>
        <xdr:cNvPr id="376" name="Text Box 1">
          <a:extLst>
            <a:ext uri="{FF2B5EF4-FFF2-40B4-BE49-F238E27FC236}">
              <a16:creationId xmlns:a16="http://schemas.microsoft.com/office/drawing/2014/main" id="{00000000-0008-0000-0300-000078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76200</xdr:colOff>
      <xdr:row>23</xdr:row>
      <xdr:rowOff>0</xdr:rowOff>
    </xdr:to>
    <xdr:sp macro="" textlink="">
      <xdr:nvSpPr>
        <xdr:cNvPr id="377" name="Text Box 1">
          <a:extLst>
            <a:ext uri="{FF2B5EF4-FFF2-40B4-BE49-F238E27FC236}">
              <a16:creationId xmlns:a16="http://schemas.microsoft.com/office/drawing/2014/main" id="{00000000-0008-0000-0300-000079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76200</xdr:colOff>
      <xdr:row>23</xdr:row>
      <xdr:rowOff>0</xdr:rowOff>
    </xdr:to>
    <xdr:sp macro="" textlink="">
      <xdr:nvSpPr>
        <xdr:cNvPr id="378" name="Text Box 1">
          <a:extLst>
            <a:ext uri="{FF2B5EF4-FFF2-40B4-BE49-F238E27FC236}">
              <a16:creationId xmlns:a16="http://schemas.microsoft.com/office/drawing/2014/main" id="{00000000-0008-0000-0300-00007A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76200</xdr:colOff>
      <xdr:row>23</xdr:row>
      <xdr:rowOff>0</xdr:rowOff>
    </xdr:to>
    <xdr:sp macro="" textlink="">
      <xdr:nvSpPr>
        <xdr:cNvPr id="379" name="Text Box 2">
          <a:extLst>
            <a:ext uri="{FF2B5EF4-FFF2-40B4-BE49-F238E27FC236}">
              <a16:creationId xmlns:a16="http://schemas.microsoft.com/office/drawing/2014/main" id="{00000000-0008-0000-0300-00007B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76200</xdr:colOff>
      <xdr:row>23</xdr:row>
      <xdr:rowOff>0</xdr:rowOff>
    </xdr:to>
    <xdr:sp macro="" textlink="">
      <xdr:nvSpPr>
        <xdr:cNvPr id="380" name="Text Box 1">
          <a:extLst>
            <a:ext uri="{FF2B5EF4-FFF2-40B4-BE49-F238E27FC236}">
              <a16:creationId xmlns:a16="http://schemas.microsoft.com/office/drawing/2014/main" id="{00000000-0008-0000-0300-00007C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76200</xdr:colOff>
      <xdr:row>23</xdr:row>
      <xdr:rowOff>0</xdr:rowOff>
    </xdr:to>
    <xdr:sp macro="" textlink="">
      <xdr:nvSpPr>
        <xdr:cNvPr id="381" name="Text Box 1">
          <a:extLst>
            <a:ext uri="{FF2B5EF4-FFF2-40B4-BE49-F238E27FC236}">
              <a16:creationId xmlns:a16="http://schemas.microsoft.com/office/drawing/2014/main" id="{00000000-0008-0000-0300-00007D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76200</xdr:colOff>
      <xdr:row>23</xdr:row>
      <xdr:rowOff>0</xdr:rowOff>
    </xdr:to>
    <xdr:sp macro="" textlink="">
      <xdr:nvSpPr>
        <xdr:cNvPr id="382" name="Text Box 1">
          <a:extLst>
            <a:ext uri="{FF2B5EF4-FFF2-40B4-BE49-F238E27FC236}">
              <a16:creationId xmlns:a16="http://schemas.microsoft.com/office/drawing/2014/main" id="{00000000-0008-0000-0300-00007E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76200</xdr:colOff>
      <xdr:row>23</xdr:row>
      <xdr:rowOff>0</xdr:rowOff>
    </xdr:to>
    <xdr:sp macro="" textlink="">
      <xdr:nvSpPr>
        <xdr:cNvPr id="383" name="Text Box 2">
          <a:extLst>
            <a:ext uri="{FF2B5EF4-FFF2-40B4-BE49-F238E27FC236}">
              <a16:creationId xmlns:a16="http://schemas.microsoft.com/office/drawing/2014/main" id="{00000000-0008-0000-0300-00007F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76200</xdr:colOff>
      <xdr:row>23</xdr:row>
      <xdr:rowOff>0</xdr:rowOff>
    </xdr:to>
    <xdr:sp macro="" textlink="">
      <xdr:nvSpPr>
        <xdr:cNvPr id="384" name="Text Box 1">
          <a:extLst>
            <a:ext uri="{FF2B5EF4-FFF2-40B4-BE49-F238E27FC236}">
              <a16:creationId xmlns:a16="http://schemas.microsoft.com/office/drawing/2014/main" id="{00000000-0008-0000-0300-000080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76200</xdr:colOff>
      <xdr:row>23</xdr:row>
      <xdr:rowOff>0</xdr:rowOff>
    </xdr:to>
    <xdr:sp macro="" textlink="">
      <xdr:nvSpPr>
        <xdr:cNvPr id="385" name="Text Box 1">
          <a:extLst>
            <a:ext uri="{FF2B5EF4-FFF2-40B4-BE49-F238E27FC236}">
              <a16:creationId xmlns:a16="http://schemas.microsoft.com/office/drawing/2014/main" id="{00000000-0008-0000-0300-000081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76200</xdr:colOff>
      <xdr:row>23</xdr:row>
      <xdr:rowOff>0</xdr:rowOff>
    </xdr:to>
    <xdr:sp macro="" textlink="">
      <xdr:nvSpPr>
        <xdr:cNvPr id="386" name="Text Box 2">
          <a:extLst>
            <a:ext uri="{FF2B5EF4-FFF2-40B4-BE49-F238E27FC236}">
              <a16:creationId xmlns:a16="http://schemas.microsoft.com/office/drawing/2014/main" id="{00000000-0008-0000-0300-000082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76200</xdr:colOff>
      <xdr:row>23</xdr:row>
      <xdr:rowOff>0</xdr:rowOff>
    </xdr:to>
    <xdr:sp macro="" textlink="">
      <xdr:nvSpPr>
        <xdr:cNvPr id="387" name="Text Box 1">
          <a:extLst>
            <a:ext uri="{FF2B5EF4-FFF2-40B4-BE49-F238E27FC236}">
              <a16:creationId xmlns:a16="http://schemas.microsoft.com/office/drawing/2014/main" id="{00000000-0008-0000-0300-000083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76200</xdr:colOff>
      <xdr:row>23</xdr:row>
      <xdr:rowOff>0</xdr:rowOff>
    </xdr:to>
    <xdr:sp macro="" textlink="">
      <xdr:nvSpPr>
        <xdr:cNvPr id="388" name="Text Box 1">
          <a:extLst>
            <a:ext uri="{FF2B5EF4-FFF2-40B4-BE49-F238E27FC236}">
              <a16:creationId xmlns:a16="http://schemas.microsoft.com/office/drawing/2014/main" id="{00000000-0008-0000-0300-000084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76200</xdr:colOff>
      <xdr:row>23</xdr:row>
      <xdr:rowOff>0</xdr:rowOff>
    </xdr:to>
    <xdr:sp macro="" textlink="">
      <xdr:nvSpPr>
        <xdr:cNvPr id="389" name="Text Box 1">
          <a:extLst>
            <a:ext uri="{FF2B5EF4-FFF2-40B4-BE49-F238E27FC236}">
              <a16:creationId xmlns:a16="http://schemas.microsoft.com/office/drawing/2014/main" id="{00000000-0008-0000-0300-000085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76200</xdr:colOff>
      <xdr:row>23</xdr:row>
      <xdr:rowOff>0</xdr:rowOff>
    </xdr:to>
    <xdr:sp macro="" textlink="">
      <xdr:nvSpPr>
        <xdr:cNvPr id="390" name="Text Box 2">
          <a:extLst>
            <a:ext uri="{FF2B5EF4-FFF2-40B4-BE49-F238E27FC236}">
              <a16:creationId xmlns:a16="http://schemas.microsoft.com/office/drawing/2014/main" id="{00000000-0008-0000-0300-000086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76200</xdr:colOff>
      <xdr:row>23</xdr:row>
      <xdr:rowOff>0</xdr:rowOff>
    </xdr:to>
    <xdr:sp macro="" textlink="">
      <xdr:nvSpPr>
        <xdr:cNvPr id="391" name="Text Box 1">
          <a:extLst>
            <a:ext uri="{FF2B5EF4-FFF2-40B4-BE49-F238E27FC236}">
              <a16:creationId xmlns:a16="http://schemas.microsoft.com/office/drawing/2014/main" id="{00000000-0008-0000-0300-000087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76200</xdr:colOff>
      <xdr:row>23</xdr:row>
      <xdr:rowOff>0</xdr:rowOff>
    </xdr:to>
    <xdr:sp macro="" textlink="">
      <xdr:nvSpPr>
        <xdr:cNvPr id="392" name="Text Box 1">
          <a:extLst>
            <a:ext uri="{FF2B5EF4-FFF2-40B4-BE49-F238E27FC236}">
              <a16:creationId xmlns:a16="http://schemas.microsoft.com/office/drawing/2014/main" id="{00000000-0008-0000-0300-000088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23</xdr:row>
      <xdr:rowOff>0</xdr:rowOff>
    </xdr:from>
    <xdr:to>
      <xdr:col>4</xdr:col>
      <xdr:colOff>76200</xdr:colOff>
      <xdr:row>24</xdr:row>
      <xdr:rowOff>0</xdr:rowOff>
    </xdr:to>
    <xdr:sp macro="" textlink="">
      <xdr:nvSpPr>
        <xdr:cNvPr id="393" name="Text Box 1">
          <a:extLst>
            <a:ext uri="{FF2B5EF4-FFF2-40B4-BE49-F238E27FC236}">
              <a16:creationId xmlns:a16="http://schemas.microsoft.com/office/drawing/2014/main" id="{00000000-0008-0000-0300-000089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23</xdr:row>
      <xdr:rowOff>0</xdr:rowOff>
    </xdr:from>
    <xdr:to>
      <xdr:col>4</xdr:col>
      <xdr:colOff>76200</xdr:colOff>
      <xdr:row>24</xdr:row>
      <xdr:rowOff>0</xdr:rowOff>
    </xdr:to>
    <xdr:sp macro="" textlink="">
      <xdr:nvSpPr>
        <xdr:cNvPr id="394" name="Text Box 2">
          <a:extLst>
            <a:ext uri="{FF2B5EF4-FFF2-40B4-BE49-F238E27FC236}">
              <a16:creationId xmlns:a16="http://schemas.microsoft.com/office/drawing/2014/main" id="{00000000-0008-0000-0300-00008A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23</xdr:row>
      <xdr:rowOff>0</xdr:rowOff>
    </xdr:from>
    <xdr:to>
      <xdr:col>4</xdr:col>
      <xdr:colOff>76200</xdr:colOff>
      <xdr:row>24</xdr:row>
      <xdr:rowOff>0</xdr:rowOff>
    </xdr:to>
    <xdr:sp macro="" textlink="">
      <xdr:nvSpPr>
        <xdr:cNvPr id="395" name="Text Box 1">
          <a:extLst>
            <a:ext uri="{FF2B5EF4-FFF2-40B4-BE49-F238E27FC236}">
              <a16:creationId xmlns:a16="http://schemas.microsoft.com/office/drawing/2014/main" id="{00000000-0008-0000-0300-00008B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23</xdr:row>
      <xdr:rowOff>0</xdr:rowOff>
    </xdr:from>
    <xdr:to>
      <xdr:col>4</xdr:col>
      <xdr:colOff>76200</xdr:colOff>
      <xdr:row>24</xdr:row>
      <xdr:rowOff>0</xdr:rowOff>
    </xdr:to>
    <xdr:sp macro="" textlink="">
      <xdr:nvSpPr>
        <xdr:cNvPr id="396" name="Text Box 1">
          <a:extLst>
            <a:ext uri="{FF2B5EF4-FFF2-40B4-BE49-F238E27FC236}">
              <a16:creationId xmlns:a16="http://schemas.microsoft.com/office/drawing/2014/main" id="{00000000-0008-0000-0300-00008C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23</xdr:row>
      <xdr:rowOff>0</xdr:rowOff>
    </xdr:from>
    <xdr:to>
      <xdr:col>4</xdr:col>
      <xdr:colOff>76200</xdr:colOff>
      <xdr:row>24</xdr:row>
      <xdr:rowOff>0</xdr:rowOff>
    </xdr:to>
    <xdr:sp macro="" textlink="">
      <xdr:nvSpPr>
        <xdr:cNvPr id="397" name="Text Box 1">
          <a:extLst>
            <a:ext uri="{FF2B5EF4-FFF2-40B4-BE49-F238E27FC236}">
              <a16:creationId xmlns:a16="http://schemas.microsoft.com/office/drawing/2014/main" id="{00000000-0008-0000-0300-00008D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23</xdr:row>
      <xdr:rowOff>0</xdr:rowOff>
    </xdr:from>
    <xdr:to>
      <xdr:col>4</xdr:col>
      <xdr:colOff>76200</xdr:colOff>
      <xdr:row>24</xdr:row>
      <xdr:rowOff>0</xdr:rowOff>
    </xdr:to>
    <xdr:sp macro="" textlink="">
      <xdr:nvSpPr>
        <xdr:cNvPr id="398" name="Text Box 2">
          <a:extLst>
            <a:ext uri="{FF2B5EF4-FFF2-40B4-BE49-F238E27FC236}">
              <a16:creationId xmlns:a16="http://schemas.microsoft.com/office/drawing/2014/main" id="{00000000-0008-0000-0300-00008E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23</xdr:row>
      <xdr:rowOff>0</xdr:rowOff>
    </xdr:from>
    <xdr:to>
      <xdr:col>4</xdr:col>
      <xdr:colOff>76200</xdr:colOff>
      <xdr:row>24</xdr:row>
      <xdr:rowOff>0</xdr:rowOff>
    </xdr:to>
    <xdr:sp macro="" textlink="">
      <xdr:nvSpPr>
        <xdr:cNvPr id="399" name="Text Box 1">
          <a:extLst>
            <a:ext uri="{FF2B5EF4-FFF2-40B4-BE49-F238E27FC236}">
              <a16:creationId xmlns:a16="http://schemas.microsoft.com/office/drawing/2014/main" id="{00000000-0008-0000-0300-00008F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23</xdr:row>
      <xdr:rowOff>0</xdr:rowOff>
    </xdr:from>
    <xdr:to>
      <xdr:col>4</xdr:col>
      <xdr:colOff>76200</xdr:colOff>
      <xdr:row>24</xdr:row>
      <xdr:rowOff>0</xdr:rowOff>
    </xdr:to>
    <xdr:sp macro="" textlink="">
      <xdr:nvSpPr>
        <xdr:cNvPr id="400" name="Text Box 1">
          <a:extLst>
            <a:ext uri="{FF2B5EF4-FFF2-40B4-BE49-F238E27FC236}">
              <a16:creationId xmlns:a16="http://schemas.microsoft.com/office/drawing/2014/main" id="{00000000-0008-0000-0300-000090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23</xdr:row>
      <xdr:rowOff>0</xdr:rowOff>
    </xdr:from>
    <xdr:to>
      <xdr:col>4</xdr:col>
      <xdr:colOff>76200</xdr:colOff>
      <xdr:row>24</xdr:row>
      <xdr:rowOff>0</xdr:rowOff>
    </xdr:to>
    <xdr:sp macro="" textlink="">
      <xdr:nvSpPr>
        <xdr:cNvPr id="401" name="Text Box 1">
          <a:extLst>
            <a:ext uri="{FF2B5EF4-FFF2-40B4-BE49-F238E27FC236}">
              <a16:creationId xmlns:a16="http://schemas.microsoft.com/office/drawing/2014/main" id="{00000000-0008-0000-0300-000091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23</xdr:row>
      <xdr:rowOff>0</xdr:rowOff>
    </xdr:from>
    <xdr:to>
      <xdr:col>4</xdr:col>
      <xdr:colOff>76200</xdr:colOff>
      <xdr:row>24</xdr:row>
      <xdr:rowOff>0</xdr:rowOff>
    </xdr:to>
    <xdr:sp macro="" textlink="">
      <xdr:nvSpPr>
        <xdr:cNvPr id="402" name="Text Box 2">
          <a:extLst>
            <a:ext uri="{FF2B5EF4-FFF2-40B4-BE49-F238E27FC236}">
              <a16:creationId xmlns:a16="http://schemas.microsoft.com/office/drawing/2014/main" id="{00000000-0008-0000-0300-000092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23</xdr:row>
      <xdr:rowOff>0</xdr:rowOff>
    </xdr:from>
    <xdr:to>
      <xdr:col>4</xdr:col>
      <xdr:colOff>76200</xdr:colOff>
      <xdr:row>24</xdr:row>
      <xdr:rowOff>0</xdr:rowOff>
    </xdr:to>
    <xdr:sp macro="" textlink="">
      <xdr:nvSpPr>
        <xdr:cNvPr id="403" name="Text Box 1">
          <a:extLst>
            <a:ext uri="{FF2B5EF4-FFF2-40B4-BE49-F238E27FC236}">
              <a16:creationId xmlns:a16="http://schemas.microsoft.com/office/drawing/2014/main" id="{00000000-0008-0000-0300-000093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23</xdr:row>
      <xdr:rowOff>0</xdr:rowOff>
    </xdr:from>
    <xdr:to>
      <xdr:col>4</xdr:col>
      <xdr:colOff>76200</xdr:colOff>
      <xdr:row>24</xdr:row>
      <xdr:rowOff>0</xdr:rowOff>
    </xdr:to>
    <xdr:sp macro="" textlink="">
      <xdr:nvSpPr>
        <xdr:cNvPr id="404" name="Text Box 1">
          <a:extLst>
            <a:ext uri="{FF2B5EF4-FFF2-40B4-BE49-F238E27FC236}">
              <a16:creationId xmlns:a16="http://schemas.microsoft.com/office/drawing/2014/main" id="{00000000-0008-0000-0300-000094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23</xdr:row>
      <xdr:rowOff>0</xdr:rowOff>
    </xdr:from>
    <xdr:to>
      <xdr:col>4</xdr:col>
      <xdr:colOff>76200</xdr:colOff>
      <xdr:row>24</xdr:row>
      <xdr:rowOff>0</xdr:rowOff>
    </xdr:to>
    <xdr:sp macro="" textlink="">
      <xdr:nvSpPr>
        <xdr:cNvPr id="405" name="Text Box 1">
          <a:extLst>
            <a:ext uri="{FF2B5EF4-FFF2-40B4-BE49-F238E27FC236}">
              <a16:creationId xmlns:a16="http://schemas.microsoft.com/office/drawing/2014/main" id="{00000000-0008-0000-0300-000095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23</xdr:row>
      <xdr:rowOff>0</xdr:rowOff>
    </xdr:from>
    <xdr:to>
      <xdr:col>4</xdr:col>
      <xdr:colOff>76200</xdr:colOff>
      <xdr:row>24</xdr:row>
      <xdr:rowOff>0</xdr:rowOff>
    </xdr:to>
    <xdr:sp macro="" textlink="">
      <xdr:nvSpPr>
        <xdr:cNvPr id="406" name="Text Box 2">
          <a:extLst>
            <a:ext uri="{FF2B5EF4-FFF2-40B4-BE49-F238E27FC236}">
              <a16:creationId xmlns:a16="http://schemas.microsoft.com/office/drawing/2014/main" id="{00000000-0008-0000-0300-000096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23</xdr:row>
      <xdr:rowOff>0</xdr:rowOff>
    </xdr:from>
    <xdr:to>
      <xdr:col>4</xdr:col>
      <xdr:colOff>76200</xdr:colOff>
      <xdr:row>24</xdr:row>
      <xdr:rowOff>0</xdr:rowOff>
    </xdr:to>
    <xdr:sp macro="" textlink="">
      <xdr:nvSpPr>
        <xdr:cNvPr id="407" name="Text Box 1">
          <a:extLst>
            <a:ext uri="{FF2B5EF4-FFF2-40B4-BE49-F238E27FC236}">
              <a16:creationId xmlns:a16="http://schemas.microsoft.com/office/drawing/2014/main" id="{00000000-0008-0000-0300-000097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23</xdr:row>
      <xdr:rowOff>0</xdr:rowOff>
    </xdr:from>
    <xdr:to>
      <xdr:col>4</xdr:col>
      <xdr:colOff>76200</xdr:colOff>
      <xdr:row>24</xdr:row>
      <xdr:rowOff>0</xdr:rowOff>
    </xdr:to>
    <xdr:sp macro="" textlink="">
      <xdr:nvSpPr>
        <xdr:cNvPr id="408" name="Text Box 1">
          <a:extLst>
            <a:ext uri="{FF2B5EF4-FFF2-40B4-BE49-F238E27FC236}">
              <a16:creationId xmlns:a16="http://schemas.microsoft.com/office/drawing/2014/main" id="{00000000-0008-0000-0300-000098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23</xdr:row>
      <xdr:rowOff>0</xdr:rowOff>
    </xdr:from>
    <xdr:to>
      <xdr:col>4</xdr:col>
      <xdr:colOff>76200</xdr:colOff>
      <xdr:row>24</xdr:row>
      <xdr:rowOff>0</xdr:rowOff>
    </xdr:to>
    <xdr:sp macro="" textlink="">
      <xdr:nvSpPr>
        <xdr:cNvPr id="409" name="Text Box 2">
          <a:extLst>
            <a:ext uri="{FF2B5EF4-FFF2-40B4-BE49-F238E27FC236}">
              <a16:creationId xmlns:a16="http://schemas.microsoft.com/office/drawing/2014/main" id="{00000000-0008-0000-0300-000099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23</xdr:row>
      <xdr:rowOff>0</xdr:rowOff>
    </xdr:from>
    <xdr:to>
      <xdr:col>4</xdr:col>
      <xdr:colOff>76200</xdr:colOff>
      <xdr:row>24</xdr:row>
      <xdr:rowOff>0</xdr:rowOff>
    </xdr:to>
    <xdr:sp macro="" textlink="">
      <xdr:nvSpPr>
        <xdr:cNvPr id="410" name="Text Box 1">
          <a:extLst>
            <a:ext uri="{FF2B5EF4-FFF2-40B4-BE49-F238E27FC236}">
              <a16:creationId xmlns:a16="http://schemas.microsoft.com/office/drawing/2014/main" id="{00000000-0008-0000-0300-00009A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23</xdr:row>
      <xdr:rowOff>0</xdr:rowOff>
    </xdr:from>
    <xdr:to>
      <xdr:col>4</xdr:col>
      <xdr:colOff>76200</xdr:colOff>
      <xdr:row>24</xdr:row>
      <xdr:rowOff>0</xdr:rowOff>
    </xdr:to>
    <xdr:sp macro="" textlink="">
      <xdr:nvSpPr>
        <xdr:cNvPr id="411" name="Text Box 1">
          <a:extLst>
            <a:ext uri="{FF2B5EF4-FFF2-40B4-BE49-F238E27FC236}">
              <a16:creationId xmlns:a16="http://schemas.microsoft.com/office/drawing/2014/main" id="{00000000-0008-0000-0300-00009B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23</xdr:row>
      <xdr:rowOff>0</xdr:rowOff>
    </xdr:from>
    <xdr:to>
      <xdr:col>4</xdr:col>
      <xdr:colOff>76200</xdr:colOff>
      <xdr:row>24</xdr:row>
      <xdr:rowOff>0</xdr:rowOff>
    </xdr:to>
    <xdr:sp macro="" textlink="">
      <xdr:nvSpPr>
        <xdr:cNvPr id="412" name="Text Box 1">
          <a:extLst>
            <a:ext uri="{FF2B5EF4-FFF2-40B4-BE49-F238E27FC236}">
              <a16:creationId xmlns:a16="http://schemas.microsoft.com/office/drawing/2014/main" id="{00000000-0008-0000-0300-00009C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23</xdr:row>
      <xdr:rowOff>0</xdr:rowOff>
    </xdr:from>
    <xdr:to>
      <xdr:col>4</xdr:col>
      <xdr:colOff>76200</xdr:colOff>
      <xdr:row>24</xdr:row>
      <xdr:rowOff>0</xdr:rowOff>
    </xdr:to>
    <xdr:sp macro="" textlink="">
      <xdr:nvSpPr>
        <xdr:cNvPr id="413" name="Text Box 2">
          <a:extLst>
            <a:ext uri="{FF2B5EF4-FFF2-40B4-BE49-F238E27FC236}">
              <a16:creationId xmlns:a16="http://schemas.microsoft.com/office/drawing/2014/main" id="{00000000-0008-0000-0300-00009D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23</xdr:row>
      <xdr:rowOff>0</xdr:rowOff>
    </xdr:from>
    <xdr:to>
      <xdr:col>4</xdr:col>
      <xdr:colOff>76200</xdr:colOff>
      <xdr:row>24</xdr:row>
      <xdr:rowOff>0</xdr:rowOff>
    </xdr:to>
    <xdr:sp macro="" textlink="">
      <xdr:nvSpPr>
        <xdr:cNvPr id="414" name="Text Box 1">
          <a:extLst>
            <a:ext uri="{FF2B5EF4-FFF2-40B4-BE49-F238E27FC236}">
              <a16:creationId xmlns:a16="http://schemas.microsoft.com/office/drawing/2014/main" id="{00000000-0008-0000-0300-00009E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23</xdr:row>
      <xdr:rowOff>0</xdr:rowOff>
    </xdr:from>
    <xdr:to>
      <xdr:col>4</xdr:col>
      <xdr:colOff>76200</xdr:colOff>
      <xdr:row>24</xdr:row>
      <xdr:rowOff>0</xdr:rowOff>
    </xdr:to>
    <xdr:sp macro="" textlink="">
      <xdr:nvSpPr>
        <xdr:cNvPr id="415" name="Text Box 1">
          <a:extLst>
            <a:ext uri="{FF2B5EF4-FFF2-40B4-BE49-F238E27FC236}">
              <a16:creationId xmlns:a16="http://schemas.microsoft.com/office/drawing/2014/main" id="{00000000-0008-0000-0300-00009F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76200</xdr:colOff>
      <xdr:row>25</xdr:row>
      <xdr:rowOff>0</xdr:rowOff>
    </xdr:to>
    <xdr:sp macro="" textlink="">
      <xdr:nvSpPr>
        <xdr:cNvPr id="416" name="Text Box 1">
          <a:extLst>
            <a:ext uri="{FF2B5EF4-FFF2-40B4-BE49-F238E27FC236}">
              <a16:creationId xmlns:a16="http://schemas.microsoft.com/office/drawing/2014/main" id="{00000000-0008-0000-0300-0000A0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76200</xdr:colOff>
      <xdr:row>25</xdr:row>
      <xdr:rowOff>0</xdr:rowOff>
    </xdr:to>
    <xdr:sp macro="" textlink="">
      <xdr:nvSpPr>
        <xdr:cNvPr id="417" name="Text Box 2">
          <a:extLst>
            <a:ext uri="{FF2B5EF4-FFF2-40B4-BE49-F238E27FC236}">
              <a16:creationId xmlns:a16="http://schemas.microsoft.com/office/drawing/2014/main" id="{00000000-0008-0000-0300-0000A1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76200</xdr:colOff>
      <xdr:row>25</xdr:row>
      <xdr:rowOff>0</xdr:rowOff>
    </xdr:to>
    <xdr:sp macro="" textlink="">
      <xdr:nvSpPr>
        <xdr:cNvPr id="418" name="Text Box 1">
          <a:extLst>
            <a:ext uri="{FF2B5EF4-FFF2-40B4-BE49-F238E27FC236}">
              <a16:creationId xmlns:a16="http://schemas.microsoft.com/office/drawing/2014/main" id="{00000000-0008-0000-0300-0000A2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76200</xdr:colOff>
      <xdr:row>25</xdr:row>
      <xdr:rowOff>0</xdr:rowOff>
    </xdr:to>
    <xdr:sp macro="" textlink="">
      <xdr:nvSpPr>
        <xdr:cNvPr id="419" name="Text Box 1">
          <a:extLst>
            <a:ext uri="{FF2B5EF4-FFF2-40B4-BE49-F238E27FC236}">
              <a16:creationId xmlns:a16="http://schemas.microsoft.com/office/drawing/2014/main" id="{00000000-0008-0000-0300-0000A3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76200</xdr:colOff>
      <xdr:row>25</xdr:row>
      <xdr:rowOff>0</xdr:rowOff>
    </xdr:to>
    <xdr:sp macro="" textlink="">
      <xdr:nvSpPr>
        <xdr:cNvPr id="420" name="Text Box 1">
          <a:extLst>
            <a:ext uri="{FF2B5EF4-FFF2-40B4-BE49-F238E27FC236}">
              <a16:creationId xmlns:a16="http://schemas.microsoft.com/office/drawing/2014/main" id="{00000000-0008-0000-0300-0000A4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76200</xdr:colOff>
      <xdr:row>25</xdr:row>
      <xdr:rowOff>0</xdr:rowOff>
    </xdr:to>
    <xdr:sp macro="" textlink="">
      <xdr:nvSpPr>
        <xdr:cNvPr id="421" name="Text Box 2">
          <a:extLst>
            <a:ext uri="{FF2B5EF4-FFF2-40B4-BE49-F238E27FC236}">
              <a16:creationId xmlns:a16="http://schemas.microsoft.com/office/drawing/2014/main" id="{00000000-0008-0000-0300-0000A5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76200</xdr:colOff>
      <xdr:row>25</xdr:row>
      <xdr:rowOff>0</xdr:rowOff>
    </xdr:to>
    <xdr:sp macro="" textlink="">
      <xdr:nvSpPr>
        <xdr:cNvPr id="422" name="Text Box 1">
          <a:extLst>
            <a:ext uri="{FF2B5EF4-FFF2-40B4-BE49-F238E27FC236}">
              <a16:creationId xmlns:a16="http://schemas.microsoft.com/office/drawing/2014/main" id="{00000000-0008-0000-0300-0000A6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76200</xdr:colOff>
      <xdr:row>25</xdr:row>
      <xdr:rowOff>0</xdr:rowOff>
    </xdr:to>
    <xdr:sp macro="" textlink="">
      <xdr:nvSpPr>
        <xdr:cNvPr id="423" name="Text Box 1">
          <a:extLst>
            <a:ext uri="{FF2B5EF4-FFF2-40B4-BE49-F238E27FC236}">
              <a16:creationId xmlns:a16="http://schemas.microsoft.com/office/drawing/2014/main" id="{00000000-0008-0000-0300-0000A7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76200</xdr:colOff>
      <xdr:row>25</xdr:row>
      <xdr:rowOff>0</xdr:rowOff>
    </xdr:to>
    <xdr:sp macro="" textlink="">
      <xdr:nvSpPr>
        <xdr:cNvPr id="424" name="Text Box 1">
          <a:extLst>
            <a:ext uri="{FF2B5EF4-FFF2-40B4-BE49-F238E27FC236}">
              <a16:creationId xmlns:a16="http://schemas.microsoft.com/office/drawing/2014/main" id="{00000000-0008-0000-0300-0000A8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76200</xdr:colOff>
      <xdr:row>25</xdr:row>
      <xdr:rowOff>0</xdr:rowOff>
    </xdr:to>
    <xdr:sp macro="" textlink="">
      <xdr:nvSpPr>
        <xdr:cNvPr id="425" name="Text Box 2">
          <a:extLst>
            <a:ext uri="{FF2B5EF4-FFF2-40B4-BE49-F238E27FC236}">
              <a16:creationId xmlns:a16="http://schemas.microsoft.com/office/drawing/2014/main" id="{00000000-0008-0000-0300-0000A9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76200</xdr:colOff>
      <xdr:row>25</xdr:row>
      <xdr:rowOff>0</xdr:rowOff>
    </xdr:to>
    <xdr:sp macro="" textlink="">
      <xdr:nvSpPr>
        <xdr:cNvPr id="426" name="Text Box 1">
          <a:extLst>
            <a:ext uri="{FF2B5EF4-FFF2-40B4-BE49-F238E27FC236}">
              <a16:creationId xmlns:a16="http://schemas.microsoft.com/office/drawing/2014/main" id="{00000000-0008-0000-0300-0000AA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76200</xdr:colOff>
      <xdr:row>25</xdr:row>
      <xdr:rowOff>0</xdr:rowOff>
    </xdr:to>
    <xdr:sp macro="" textlink="">
      <xdr:nvSpPr>
        <xdr:cNvPr id="427" name="Text Box 1">
          <a:extLst>
            <a:ext uri="{FF2B5EF4-FFF2-40B4-BE49-F238E27FC236}">
              <a16:creationId xmlns:a16="http://schemas.microsoft.com/office/drawing/2014/main" id="{00000000-0008-0000-0300-0000AB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76200</xdr:colOff>
      <xdr:row>25</xdr:row>
      <xdr:rowOff>0</xdr:rowOff>
    </xdr:to>
    <xdr:sp macro="" textlink="">
      <xdr:nvSpPr>
        <xdr:cNvPr id="428" name="Text Box 1">
          <a:extLst>
            <a:ext uri="{FF2B5EF4-FFF2-40B4-BE49-F238E27FC236}">
              <a16:creationId xmlns:a16="http://schemas.microsoft.com/office/drawing/2014/main" id="{00000000-0008-0000-0300-0000AC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76200</xdr:colOff>
      <xdr:row>25</xdr:row>
      <xdr:rowOff>0</xdr:rowOff>
    </xdr:to>
    <xdr:sp macro="" textlink="">
      <xdr:nvSpPr>
        <xdr:cNvPr id="429" name="Text Box 2">
          <a:extLst>
            <a:ext uri="{FF2B5EF4-FFF2-40B4-BE49-F238E27FC236}">
              <a16:creationId xmlns:a16="http://schemas.microsoft.com/office/drawing/2014/main" id="{00000000-0008-0000-0300-0000AD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76200</xdr:colOff>
      <xdr:row>25</xdr:row>
      <xdr:rowOff>0</xdr:rowOff>
    </xdr:to>
    <xdr:sp macro="" textlink="">
      <xdr:nvSpPr>
        <xdr:cNvPr id="430" name="Text Box 1">
          <a:extLst>
            <a:ext uri="{FF2B5EF4-FFF2-40B4-BE49-F238E27FC236}">
              <a16:creationId xmlns:a16="http://schemas.microsoft.com/office/drawing/2014/main" id="{00000000-0008-0000-0300-0000AE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76200</xdr:colOff>
      <xdr:row>25</xdr:row>
      <xdr:rowOff>0</xdr:rowOff>
    </xdr:to>
    <xdr:sp macro="" textlink="">
      <xdr:nvSpPr>
        <xdr:cNvPr id="431" name="Text Box 1">
          <a:extLst>
            <a:ext uri="{FF2B5EF4-FFF2-40B4-BE49-F238E27FC236}">
              <a16:creationId xmlns:a16="http://schemas.microsoft.com/office/drawing/2014/main" id="{00000000-0008-0000-0300-0000AF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76200</xdr:colOff>
      <xdr:row>25</xdr:row>
      <xdr:rowOff>0</xdr:rowOff>
    </xdr:to>
    <xdr:sp macro="" textlink="">
      <xdr:nvSpPr>
        <xdr:cNvPr id="432" name="Text Box 2">
          <a:extLst>
            <a:ext uri="{FF2B5EF4-FFF2-40B4-BE49-F238E27FC236}">
              <a16:creationId xmlns:a16="http://schemas.microsoft.com/office/drawing/2014/main" id="{00000000-0008-0000-0300-0000B0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76200</xdr:colOff>
      <xdr:row>25</xdr:row>
      <xdr:rowOff>0</xdr:rowOff>
    </xdr:to>
    <xdr:sp macro="" textlink="">
      <xdr:nvSpPr>
        <xdr:cNvPr id="433" name="Text Box 1">
          <a:extLst>
            <a:ext uri="{FF2B5EF4-FFF2-40B4-BE49-F238E27FC236}">
              <a16:creationId xmlns:a16="http://schemas.microsoft.com/office/drawing/2014/main" id="{00000000-0008-0000-0300-0000B1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76200</xdr:colOff>
      <xdr:row>25</xdr:row>
      <xdr:rowOff>0</xdr:rowOff>
    </xdr:to>
    <xdr:sp macro="" textlink="">
      <xdr:nvSpPr>
        <xdr:cNvPr id="434" name="Text Box 1">
          <a:extLst>
            <a:ext uri="{FF2B5EF4-FFF2-40B4-BE49-F238E27FC236}">
              <a16:creationId xmlns:a16="http://schemas.microsoft.com/office/drawing/2014/main" id="{00000000-0008-0000-0300-0000B2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76200</xdr:colOff>
      <xdr:row>25</xdr:row>
      <xdr:rowOff>0</xdr:rowOff>
    </xdr:to>
    <xdr:sp macro="" textlink="">
      <xdr:nvSpPr>
        <xdr:cNvPr id="435" name="Text Box 1">
          <a:extLst>
            <a:ext uri="{FF2B5EF4-FFF2-40B4-BE49-F238E27FC236}">
              <a16:creationId xmlns:a16="http://schemas.microsoft.com/office/drawing/2014/main" id="{00000000-0008-0000-0300-0000B3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76200</xdr:colOff>
      <xdr:row>25</xdr:row>
      <xdr:rowOff>0</xdr:rowOff>
    </xdr:to>
    <xdr:sp macro="" textlink="">
      <xdr:nvSpPr>
        <xdr:cNvPr id="436" name="Text Box 2">
          <a:extLst>
            <a:ext uri="{FF2B5EF4-FFF2-40B4-BE49-F238E27FC236}">
              <a16:creationId xmlns:a16="http://schemas.microsoft.com/office/drawing/2014/main" id="{00000000-0008-0000-0300-0000B4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76200</xdr:colOff>
      <xdr:row>25</xdr:row>
      <xdr:rowOff>0</xdr:rowOff>
    </xdr:to>
    <xdr:sp macro="" textlink="">
      <xdr:nvSpPr>
        <xdr:cNvPr id="437" name="Text Box 1">
          <a:extLst>
            <a:ext uri="{FF2B5EF4-FFF2-40B4-BE49-F238E27FC236}">
              <a16:creationId xmlns:a16="http://schemas.microsoft.com/office/drawing/2014/main" id="{00000000-0008-0000-0300-0000B5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76200</xdr:colOff>
      <xdr:row>25</xdr:row>
      <xdr:rowOff>0</xdr:rowOff>
    </xdr:to>
    <xdr:sp macro="" textlink="">
      <xdr:nvSpPr>
        <xdr:cNvPr id="438" name="Text Box 1">
          <a:extLst>
            <a:ext uri="{FF2B5EF4-FFF2-40B4-BE49-F238E27FC236}">
              <a16:creationId xmlns:a16="http://schemas.microsoft.com/office/drawing/2014/main" id="{00000000-0008-0000-0300-0000B6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25</xdr:row>
      <xdr:rowOff>0</xdr:rowOff>
    </xdr:from>
    <xdr:to>
      <xdr:col>4</xdr:col>
      <xdr:colOff>76200</xdr:colOff>
      <xdr:row>26</xdr:row>
      <xdr:rowOff>0</xdr:rowOff>
    </xdr:to>
    <xdr:sp macro="" textlink="">
      <xdr:nvSpPr>
        <xdr:cNvPr id="439" name="Text Box 1">
          <a:extLst>
            <a:ext uri="{FF2B5EF4-FFF2-40B4-BE49-F238E27FC236}">
              <a16:creationId xmlns:a16="http://schemas.microsoft.com/office/drawing/2014/main" id="{00000000-0008-0000-0300-0000B7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25</xdr:row>
      <xdr:rowOff>0</xdr:rowOff>
    </xdr:from>
    <xdr:to>
      <xdr:col>4</xdr:col>
      <xdr:colOff>76200</xdr:colOff>
      <xdr:row>26</xdr:row>
      <xdr:rowOff>0</xdr:rowOff>
    </xdr:to>
    <xdr:sp macro="" textlink="">
      <xdr:nvSpPr>
        <xdr:cNvPr id="440" name="Text Box 2">
          <a:extLst>
            <a:ext uri="{FF2B5EF4-FFF2-40B4-BE49-F238E27FC236}">
              <a16:creationId xmlns:a16="http://schemas.microsoft.com/office/drawing/2014/main" id="{00000000-0008-0000-0300-0000B8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25</xdr:row>
      <xdr:rowOff>0</xdr:rowOff>
    </xdr:from>
    <xdr:to>
      <xdr:col>4</xdr:col>
      <xdr:colOff>76200</xdr:colOff>
      <xdr:row>26</xdr:row>
      <xdr:rowOff>0</xdr:rowOff>
    </xdr:to>
    <xdr:sp macro="" textlink="">
      <xdr:nvSpPr>
        <xdr:cNvPr id="441" name="Text Box 1">
          <a:extLst>
            <a:ext uri="{FF2B5EF4-FFF2-40B4-BE49-F238E27FC236}">
              <a16:creationId xmlns:a16="http://schemas.microsoft.com/office/drawing/2014/main" id="{00000000-0008-0000-0300-0000B9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25</xdr:row>
      <xdr:rowOff>0</xdr:rowOff>
    </xdr:from>
    <xdr:to>
      <xdr:col>4</xdr:col>
      <xdr:colOff>76200</xdr:colOff>
      <xdr:row>26</xdr:row>
      <xdr:rowOff>0</xdr:rowOff>
    </xdr:to>
    <xdr:sp macro="" textlink="">
      <xdr:nvSpPr>
        <xdr:cNvPr id="442" name="Text Box 1">
          <a:extLst>
            <a:ext uri="{FF2B5EF4-FFF2-40B4-BE49-F238E27FC236}">
              <a16:creationId xmlns:a16="http://schemas.microsoft.com/office/drawing/2014/main" id="{00000000-0008-0000-0300-0000BA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25</xdr:row>
      <xdr:rowOff>0</xdr:rowOff>
    </xdr:from>
    <xdr:to>
      <xdr:col>4</xdr:col>
      <xdr:colOff>76200</xdr:colOff>
      <xdr:row>26</xdr:row>
      <xdr:rowOff>0</xdr:rowOff>
    </xdr:to>
    <xdr:sp macro="" textlink="">
      <xdr:nvSpPr>
        <xdr:cNvPr id="443" name="Text Box 1">
          <a:extLst>
            <a:ext uri="{FF2B5EF4-FFF2-40B4-BE49-F238E27FC236}">
              <a16:creationId xmlns:a16="http://schemas.microsoft.com/office/drawing/2014/main" id="{00000000-0008-0000-0300-0000BB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25</xdr:row>
      <xdr:rowOff>0</xdr:rowOff>
    </xdr:from>
    <xdr:to>
      <xdr:col>4</xdr:col>
      <xdr:colOff>76200</xdr:colOff>
      <xdr:row>26</xdr:row>
      <xdr:rowOff>0</xdr:rowOff>
    </xdr:to>
    <xdr:sp macro="" textlink="">
      <xdr:nvSpPr>
        <xdr:cNvPr id="444" name="Text Box 2">
          <a:extLst>
            <a:ext uri="{FF2B5EF4-FFF2-40B4-BE49-F238E27FC236}">
              <a16:creationId xmlns:a16="http://schemas.microsoft.com/office/drawing/2014/main" id="{00000000-0008-0000-0300-0000BC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25</xdr:row>
      <xdr:rowOff>0</xdr:rowOff>
    </xdr:from>
    <xdr:to>
      <xdr:col>4</xdr:col>
      <xdr:colOff>76200</xdr:colOff>
      <xdr:row>26</xdr:row>
      <xdr:rowOff>0</xdr:rowOff>
    </xdr:to>
    <xdr:sp macro="" textlink="">
      <xdr:nvSpPr>
        <xdr:cNvPr id="445" name="Text Box 1">
          <a:extLst>
            <a:ext uri="{FF2B5EF4-FFF2-40B4-BE49-F238E27FC236}">
              <a16:creationId xmlns:a16="http://schemas.microsoft.com/office/drawing/2014/main" id="{00000000-0008-0000-0300-0000BD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25</xdr:row>
      <xdr:rowOff>0</xdr:rowOff>
    </xdr:from>
    <xdr:to>
      <xdr:col>4</xdr:col>
      <xdr:colOff>76200</xdr:colOff>
      <xdr:row>26</xdr:row>
      <xdr:rowOff>0</xdr:rowOff>
    </xdr:to>
    <xdr:sp macro="" textlink="">
      <xdr:nvSpPr>
        <xdr:cNvPr id="446" name="Text Box 1">
          <a:extLst>
            <a:ext uri="{FF2B5EF4-FFF2-40B4-BE49-F238E27FC236}">
              <a16:creationId xmlns:a16="http://schemas.microsoft.com/office/drawing/2014/main" id="{00000000-0008-0000-0300-0000BE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25</xdr:row>
      <xdr:rowOff>0</xdr:rowOff>
    </xdr:from>
    <xdr:to>
      <xdr:col>4</xdr:col>
      <xdr:colOff>76200</xdr:colOff>
      <xdr:row>26</xdr:row>
      <xdr:rowOff>0</xdr:rowOff>
    </xdr:to>
    <xdr:sp macro="" textlink="">
      <xdr:nvSpPr>
        <xdr:cNvPr id="447" name="Text Box 1">
          <a:extLst>
            <a:ext uri="{FF2B5EF4-FFF2-40B4-BE49-F238E27FC236}">
              <a16:creationId xmlns:a16="http://schemas.microsoft.com/office/drawing/2014/main" id="{00000000-0008-0000-0300-0000BF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25</xdr:row>
      <xdr:rowOff>0</xdr:rowOff>
    </xdr:from>
    <xdr:to>
      <xdr:col>4</xdr:col>
      <xdr:colOff>76200</xdr:colOff>
      <xdr:row>26</xdr:row>
      <xdr:rowOff>0</xdr:rowOff>
    </xdr:to>
    <xdr:sp macro="" textlink="">
      <xdr:nvSpPr>
        <xdr:cNvPr id="448" name="Text Box 2">
          <a:extLst>
            <a:ext uri="{FF2B5EF4-FFF2-40B4-BE49-F238E27FC236}">
              <a16:creationId xmlns:a16="http://schemas.microsoft.com/office/drawing/2014/main" id="{00000000-0008-0000-0300-0000C0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25</xdr:row>
      <xdr:rowOff>0</xdr:rowOff>
    </xdr:from>
    <xdr:to>
      <xdr:col>4</xdr:col>
      <xdr:colOff>76200</xdr:colOff>
      <xdr:row>26</xdr:row>
      <xdr:rowOff>0</xdr:rowOff>
    </xdr:to>
    <xdr:sp macro="" textlink="">
      <xdr:nvSpPr>
        <xdr:cNvPr id="449" name="Text Box 1">
          <a:extLst>
            <a:ext uri="{FF2B5EF4-FFF2-40B4-BE49-F238E27FC236}">
              <a16:creationId xmlns:a16="http://schemas.microsoft.com/office/drawing/2014/main" id="{00000000-0008-0000-0300-0000C1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25</xdr:row>
      <xdr:rowOff>0</xdr:rowOff>
    </xdr:from>
    <xdr:to>
      <xdr:col>4</xdr:col>
      <xdr:colOff>76200</xdr:colOff>
      <xdr:row>26</xdr:row>
      <xdr:rowOff>0</xdr:rowOff>
    </xdr:to>
    <xdr:sp macro="" textlink="">
      <xdr:nvSpPr>
        <xdr:cNvPr id="450" name="Text Box 1">
          <a:extLst>
            <a:ext uri="{FF2B5EF4-FFF2-40B4-BE49-F238E27FC236}">
              <a16:creationId xmlns:a16="http://schemas.microsoft.com/office/drawing/2014/main" id="{00000000-0008-0000-0300-0000C2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25</xdr:row>
      <xdr:rowOff>0</xdr:rowOff>
    </xdr:from>
    <xdr:to>
      <xdr:col>4</xdr:col>
      <xdr:colOff>76200</xdr:colOff>
      <xdr:row>26</xdr:row>
      <xdr:rowOff>0</xdr:rowOff>
    </xdr:to>
    <xdr:sp macro="" textlink="">
      <xdr:nvSpPr>
        <xdr:cNvPr id="451" name="Text Box 1">
          <a:extLst>
            <a:ext uri="{FF2B5EF4-FFF2-40B4-BE49-F238E27FC236}">
              <a16:creationId xmlns:a16="http://schemas.microsoft.com/office/drawing/2014/main" id="{00000000-0008-0000-0300-0000C3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25</xdr:row>
      <xdr:rowOff>0</xdr:rowOff>
    </xdr:from>
    <xdr:to>
      <xdr:col>4</xdr:col>
      <xdr:colOff>76200</xdr:colOff>
      <xdr:row>26</xdr:row>
      <xdr:rowOff>0</xdr:rowOff>
    </xdr:to>
    <xdr:sp macro="" textlink="">
      <xdr:nvSpPr>
        <xdr:cNvPr id="452" name="Text Box 2">
          <a:extLst>
            <a:ext uri="{FF2B5EF4-FFF2-40B4-BE49-F238E27FC236}">
              <a16:creationId xmlns:a16="http://schemas.microsoft.com/office/drawing/2014/main" id="{00000000-0008-0000-0300-0000C4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25</xdr:row>
      <xdr:rowOff>0</xdr:rowOff>
    </xdr:from>
    <xdr:to>
      <xdr:col>4</xdr:col>
      <xdr:colOff>76200</xdr:colOff>
      <xdr:row>26</xdr:row>
      <xdr:rowOff>0</xdr:rowOff>
    </xdr:to>
    <xdr:sp macro="" textlink="">
      <xdr:nvSpPr>
        <xdr:cNvPr id="453" name="Text Box 1">
          <a:extLst>
            <a:ext uri="{FF2B5EF4-FFF2-40B4-BE49-F238E27FC236}">
              <a16:creationId xmlns:a16="http://schemas.microsoft.com/office/drawing/2014/main" id="{00000000-0008-0000-0300-0000C5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25</xdr:row>
      <xdr:rowOff>0</xdr:rowOff>
    </xdr:from>
    <xdr:to>
      <xdr:col>4</xdr:col>
      <xdr:colOff>76200</xdr:colOff>
      <xdr:row>26</xdr:row>
      <xdr:rowOff>0</xdr:rowOff>
    </xdr:to>
    <xdr:sp macro="" textlink="">
      <xdr:nvSpPr>
        <xdr:cNvPr id="454" name="Text Box 1">
          <a:extLst>
            <a:ext uri="{FF2B5EF4-FFF2-40B4-BE49-F238E27FC236}">
              <a16:creationId xmlns:a16="http://schemas.microsoft.com/office/drawing/2014/main" id="{00000000-0008-0000-0300-0000C6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25</xdr:row>
      <xdr:rowOff>0</xdr:rowOff>
    </xdr:from>
    <xdr:to>
      <xdr:col>4</xdr:col>
      <xdr:colOff>76200</xdr:colOff>
      <xdr:row>26</xdr:row>
      <xdr:rowOff>0</xdr:rowOff>
    </xdr:to>
    <xdr:sp macro="" textlink="">
      <xdr:nvSpPr>
        <xdr:cNvPr id="455" name="Text Box 2">
          <a:extLst>
            <a:ext uri="{FF2B5EF4-FFF2-40B4-BE49-F238E27FC236}">
              <a16:creationId xmlns:a16="http://schemas.microsoft.com/office/drawing/2014/main" id="{00000000-0008-0000-0300-0000C7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25</xdr:row>
      <xdr:rowOff>0</xdr:rowOff>
    </xdr:from>
    <xdr:to>
      <xdr:col>4</xdr:col>
      <xdr:colOff>76200</xdr:colOff>
      <xdr:row>26</xdr:row>
      <xdr:rowOff>0</xdr:rowOff>
    </xdr:to>
    <xdr:sp macro="" textlink="">
      <xdr:nvSpPr>
        <xdr:cNvPr id="456" name="Text Box 1">
          <a:extLst>
            <a:ext uri="{FF2B5EF4-FFF2-40B4-BE49-F238E27FC236}">
              <a16:creationId xmlns:a16="http://schemas.microsoft.com/office/drawing/2014/main" id="{00000000-0008-0000-0300-0000C8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25</xdr:row>
      <xdr:rowOff>0</xdr:rowOff>
    </xdr:from>
    <xdr:to>
      <xdr:col>4</xdr:col>
      <xdr:colOff>76200</xdr:colOff>
      <xdr:row>26</xdr:row>
      <xdr:rowOff>0</xdr:rowOff>
    </xdr:to>
    <xdr:sp macro="" textlink="">
      <xdr:nvSpPr>
        <xdr:cNvPr id="457" name="Text Box 1">
          <a:extLst>
            <a:ext uri="{FF2B5EF4-FFF2-40B4-BE49-F238E27FC236}">
              <a16:creationId xmlns:a16="http://schemas.microsoft.com/office/drawing/2014/main" id="{00000000-0008-0000-0300-0000C9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25</xdr:row>
      <xdr:rowOff>0</xdr:rowOff>
    </xdr:from>
    <xdr:to>
      <xdr:col>4</xdr:col>
      <xdr:colOff>76200</xdr:colOff>
      <xdr:row>26</xdr:row>
      <xdr:rowOff>0</xdr:rowOff>
    </xdr:to>
    <xdr:sp macro="" textlink="">
      <xdr:nvSpPr>
        <xdr:cNvPr id="458" name="Text Box 1">
          <a:extLst>
            <a:ext uri="{FF2B5EF4-FFF2-40B4-BE49-F238E27FC236}">
              <a16:creationId xmlns:a16="http://schemas.microsoft.com/office/drawing/2014/main" id="{00000000-0008-0000-0300-0000CA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25</xdr:row>
      <xdr:rowOff>0</xdr:rowOff>
    </xdr:from>
    <xdr:to>
      <xdr:col>4</xdr:col>
      <xdr:colOff>76200</xdr:colOff>
      <xdr:row>26</xdr:row>
      <xdr:rowOff>0</xdr:rowOff>
    </xdr:to>
    <xdr:sp macro="" textlink="">
      <xdr:nvSpPr>
        <xdr:cNvPr id="459" name="Text Box 2">
          <a:extLst>
            <a:ext uri="{FF2B5EF4-FFF2-40B4-BE49-F238E27FC236}">
              <a16:creationId xmlns:a16="http://schemas.microsoft.com/office/drawing/2014/main" id="{00000000-0008-0000-0300-0000CB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25</xdr:row>
      <xdr:rowOff>0</xdr:rowOff>
    </xdr:from>
    <xdr:to>
      <xdr:col>4</xdr:col>
      <xdr:colOff>76200</xdr:colOff>
      <xdr:row>26</xdr:row>
      <xdr:rowOff>0</xdr:rowOff>
    </xdr:to>
    <xdr:sp macro="" textlink="">
      <xdr:nvSpPr>
        <xdr:cNvPr id="460" name="Text Box 1">
          <a:extLst>
            <a:ext uri="{FF2B5EF4-FFF2-40B4-BE49-F238E27FC236}">
              <a16:creationId xmlns:a16="http://schemas.microsoft.com/office/drawing/2014/main" id="{00000000-0008-0000-0300-0000CC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25</xdr:row>
      <xdr:rowOff>0</xdr:rowOff>
    </xdr:from>
    <xdr:to>
      <xdr:col>4</xdr:col>
      <xdr:colOff>76200</xdr:colOff>
      <xdr:row>26</xdr:row>
      <xdr:rowOff>0</xdr:rowOff>
    </xdr:to>
    <xdr:sp macro="" textlink="">
      <xdr:nvSpPr>
        <xdr:cNvPr id="461" name="Text Box 1">
          <a:extLst>
            <a:ext uri="{FF2B5EF4-FFF2-40B4-BE49-F238E27FC236}">
              <a16:creationId xmlns:a16="http://schemas.microsoft.com/office/drawing/2014/main" id="{00000000-0008-0000-0300-0000CD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76200</xdr:colOff>
      <xdr:row>27</xdr:row>
      <xdr:rowOff>0</xdr:rowOff>
    </xdr:to>
    <xdr:sp macro="" textlink="">
      <xdr:nvSpPr>
        <xdr:cNvPr id="462" name="Text Box 1">
          <a:extLst>
            <a:ext uri="{FF2B5EF4-FFF2-40B4-BE49-F238E27FC236}">
              <a16:creationId xmlns:a16="http://schemas.microsoft.com/office/drawing/2014/main" id="{00000000-0008-0000-0300-0000CE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76200</xdr:colOff>
      <xdr:row>27</xdr:row>
      <xdr:rowOff>0</xdr:rowOff>
    </xdr:to>
    <xdr:sp macro="" textlink="">
      <xdr:nvSpPr>
        <xdr:cNvPr id="463" name="Text Box 2">
          <a:extLst>
            <a:ext uri="{FF2B5EF4-FFF2-40B4-BE49-F238E27FC236}">
              <a16:creationId xmlns:a16="http://schemas.microsoft.com/office/drawing/2014/main" id="{00000000-0008-0000-0300-0000CF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76200</xdr:colOff>
      <xdr:row>27</xdr:row>
      <xdr:rowOff>0</xdr:rowOff>
    </xdr:to>
    <xdr:sp macro="" textlink="">
      <xdr:nvSpPr>
        <xdr:cNvPr id="464" name="Text Box 1">
          <a:extLst>
            <a:ext uri="{FF2B5EF4-FFF2-40B4-BE49-F238E27FC236}">
              <a16:creationId xmlns:a16="http://schemas.microsoft.com/office/drawing/2014/main" id="{00000000-0008-0000-0300-0000D0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76200</xdr:colOff>
      <xdr:row>27</xdr:row>
      <xdr:rowOff>0</xdr:rowOff>
    </xdr:to>
    <xdr:sp macro="" textlink="">
      <xdr:nvSpPr>
        <xdr:cNvPr id="465" name="Text Box 1">
          <a:extLst>
            <a:ext uri="{FF2B5EF4-FFF2-40B4-BE49-F238E27FC236}">
              <a16:creationId xmlns:a16="http://schemas.microsoft.com/office/drawing/2014/main" id="{00000000-0008-0000-0300-0000D1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76200</xdr:colOff>
      <xdr:row>27</xdr:row>
      <xdr:rowOff>0</xdr:rowOff>
    </xdr:to>
    <xdr:sp macro="" textlink="">
      <xdr:nvSpPr>
        <xdr:cNvPr id="466" name="Text Box 1">
          <a:extLst>
            <a:ext uri="{FF2B5EF4-FFF2-40B4-BE49-F238E27FC236}">
              <a16:creationId xmlns:a16="http://schemas.microsoft.com/office/drawing/2014/main" id="{00000000-0008-0000-0300-0000D2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76200</xdr:colOff>
      <xdr:row>27</xdr:row>
      <xdr:rowOff>0</xdr:rowOff>
    </xdr:to>
    <xdr:sp macro="" textlink="">
      <xdr:nvSpPr>
        <xdr:cNvPr id="467" name="Text Box 2">
          <a:extLst>
            <a:ext uri="{FF2B5EF4-FFF2-40B4-BE49-F238E27FC236}">
              <a16:creationId xmlns:a16="http://schemas.microsoft.com/office/drawing/2014/main" id="{00000000-0008-0000-0300-0000D3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76200</xdr:colOff>
      <xdr:row>27</xdr:row>
      <xdr:rowOff>0</xdr:rowOff>
    </xdr:to>
    <xdr:sp macro="" textlink="">
      <xdr:nvSpPr>
        <xdr:cNvPr id="468" name="Text Box 1">
          <a:extLst>
            <a:ext uri="{FF2B5EF4-FFF2-40B4-BE49-F238E27FC236}">
              <a16:creationId xmlns:a16="http://schemas.microsoft.com/office/drawing/2014/main" id="{00000000-0008-0000-0300-0000D4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76200</xdr:colOff>
      <xdr:row>27</xdr:row>
      <xdr:rowOff>0</xdr:rowOff>
    </xdr:to>
    <xdr:sp macro="" textlink="">
      <xdr:nvSpPr>
        <xdr:cNvPr id="469" name="Text Box 1">
          <a:extLst>
            <a:ext uri="{FF2B5EF4-FFF2-40B4-BE49-F238E27FC236}">
              <a16:creationId xmlns:a16="http://schemas.microsoft.com/office/drawing/2014/main" id="{00000000-0008-0000-0300-0000D5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76200</xdr:colOff>
      <xdr:row>27</xdr:row>
      <xdr:rowOff>0</xdr:rowOff>
    </xdr:to>
    <xdr:sp macro="" textlink="">
      <xdr:nvSpPr>
        <xdr:cNvPr id="470" name="Text Box 1">
          <a:extLst>
            <a:ext uri="{FF2B5EF4-FFF2-40B4-BE49-F238E27FC236}">
              <a16:creationId xmlns:a16="http://schemas.microsoft.com/office/drawing/2014/main" id="{00000000-0008-0000-0300-0000D6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76200</xdr:colOff>
      <xdr:row>27</xdr:row>
      <xdr:rowOff>0</xdr:rowOff>
    </xdr:to>
    <xdr:sp macro="" textlink="">
      <xdr:nvSpPr>
        <xdr:cNvPr id="471" name="Text Box 2">
          <a:extLst>
            <a:ext uri="{FF2B5EF4-FFF2-40B4-BE49-F238E27FC236}">
              <a16:creationId xmlns:a16="http://schemas.microsoft.com/office/drawing/2014/main" id="{00000000-0008-0000-0300-0000D7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76200</xdr:colOff>
      <xdr:row>27</xdr:row>
      <xdr:rowOff>0</xdr:rowOff>
    </xdr:to>
    <xdr:sp macro="" textlink="">
      <xdr:nvSpPr>
        <xdr:cNvPr id="472" name="Text Box 1">
          <a:extLst>
            <a:ext uri="{FF2B5EF4-FFF2-40B4-BE49-F238E27FC236}">
              <a16:creationId xmlns:a16="http://schemas.microsoft.com/office/drawing/2014/main" id="{00000000-0008-0000-0300-0000D8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76200</xdr:colOff>
      <xdr:row>27</xdr:row>
      <xdr:rowOff>0</xdr:rowOff>
    </xdr:to>
    <xdr:sp macro="" textlink="">
      <xdr:nvSpPr>
        <xdr:cNvPr id="473" name="Text Box 1">
          <a:extLst>
            <a:ext uri="{FF2B5EF4-FFF2-40B4-BE49-F238E27FC236}">
              <a16:creationId xmlns:a16="http://schemas.microsoft.com/office/drawing/2014/main" id="{00000000-0008-0000-0300-0000D9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76200</xdr:colOff>
      <xdr:row>27</xdr:row>
      <xdr:rowOff>0</xdr:rowOff>
    </xdr:to>
    <xdr:sp macro="" textlink="">
      <xdr:nvSpPr>
        <xdr:cNvPr id="474" name="Text Box 1">
          <a:extLst>
            <a:ext uri="{FF2B5EF4-FFF2-40B4-BE49-F238E27FC236}">
              <a16:creationId xmlns:a16="http://schemas.microsoft.com/office/drawing/2014/main" id="{00000000-0008-0000-0300-0000DA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76200</xdr:colOff>
      <xdr:row>27</xdr:row>
      <xdr:rowOff>0</xdr:rowOff>
    </xdr:to>
    <xdr:sp macro="" textlink="">
      <xdr:nvSpPr>
        <xdr:cNvPr id="475" name="Text Box 2">
          <a:extLst>
            <a:ext uri="{FF2B5EF4-FFF2-40B4-BE49-F238E27FC236}">
              <a16:creationId xmlns:a16="http://schemas.microsoft.com/office/drawing/2014/main" id="{00000000-0008-0000-0300-0000DB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76200</xdr:colOff>
      <xdr:row>27</xdr:row>
      <xdr:rowOff>0</xdr:rowOff>
    </xdr:to>
    <xdr:sp macro="" textlink="">
      <xdr:nvSpPr>
        <xdr:cNvPr id="476" name="Text Box 1">
          <a:extLst>
            <a:ext uri="{FF2B5EF4-FFF2-40B4-BE49-F238E27FC236}">
              <a16:creationId xmlns:a16="http://schemas.microsoft.com/office/drawing/2014/main" id="{00000000-0008-0000-0300-0000DC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76200</xdr:colOff>
      <xdr:row>27</xdr:row>
      <xdr:rowOff>0</xdr:rowOff>
    </xdr:to>
    <xdr:sp macro="" textlink="">
      <xdr:nvSpPr>
        <xdr:cNvPr id="477" name="Text Box 1">
          <a:extLst>
            <a:ext uri="{FF2B5EF4-FFF2-40B4-BE49-F238E27FC236}">
              <a16:creationId xmlns:a16="http://schemas.microsoft.com/office/drawing/2014/main" id="{00000000-0008-0000-0300-0000DD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76200</xdr:colOff>
      <xdr:row>27</xdr:row>
      <xdr:rowOff>0</xdr:rowOff>
    </xdr:to>
    <xdr:sp macro="" textlink="">
      <xdr:nvSpPr>
        <xdr:cNvPr id="478" name="Text Box 2">
          <a:extLst>
            <a:ext uri="{FF2B5EF4-FFF2-40B4-BE49-F238E27FC236}">
              <a16:creationId xmlns:a16="http://schemas.microsoft.com/office/drawing/2014/main" id="{00000000-0008-0000-0300-0000DE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76200</xdr:colOff>
      <xdr:row>27</xdr:row>
      <xdr:rowOff>0</xdr:rowOff>
    </xdr:to>
    <xdr:sp macro="" textlink="">
      <xdr:nvSpPr>
        <xdr:cNvPr id="479" name="Text Box 1">
          <a:extLst>
            <a:ext uri="{FF2B5EF4-FFF2-40B4-BE49-F238E27FC236}">
              <a16:creationId xmlns:a16="http://schemas.microsoft.com/office/drawing/2014/main" id="{00000000-0008-0000-0300-0000DF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76200</xdr:colOff>
      <xdr:row>27</xdr:row>
      <xdr:rowOff>0</xdr:rowOff>
    </xdr:to>
    <xdr:sp macro="" textlink="">
      <xdr:nvSpPr>
        <xdr:cNvPr id="480" name="Text Box 1">
          <a:extLst>
            <a:ext uri="{FF2B5EF4-FFF2-40B4-BE49-F238E27FC236}">
              <a16:creationId xmlns:a16="http://schemas.microsoft.com/office/drawing/2014/main" id="{00000000-0008-0000-0300-0000E0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76200</xdr:colOff>
      <xdr:row>27</xdr:row>
      <xdr:rowOff>0</xdr:rowOff>
    </xdr:to>
    <xdr:sp macro="" textlink="">
      <xdr:nvSpPr>
        <xdr:cNvPr id="481" name="Text Box 1">
          <a:extLst>
            <a:ext uri="{FF2B5EF4-FFF2-40B4-BE49-F238E27FC236}">
              <a16:creationId xmlns:a16="http://schemas.microsoft.com/office/drawing/2014/main" id="{00000000-0008-0000-0300-0000E1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76200</xdr:colOff>
      <xdr:row>27</xdr:row>
      <xdr:rowOff>0</xdr:rowOff>
    </xdr:to>
    <xdr:sp macro="" textlink="">
      <xdr:nvSpPr>
        <xdr:cNvPr id="482" name="Text Box 2">
          <a:extLst>
            <a:ext uri="{FF2B5EF4-FFF2-40B4-BE49-F238E27FC236}">
              <a16:creationId xmlns:a16="http://schemas.microsoft.com/office/drawing/2014/main" id="{00000000-0008-0000-0300-0000E2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76200</xdr:colOff>
      <xdr:row>27</xdr:row>
      <xdr:rowOff>0</xdr:rowOff>
    </xdr:to>
    <xdr:sp macro="" textlink="">
      <xdr:nvSpPr>
        <xdr:cNvPr id="483" name="Text Box 1">
          <a:extLst>
            <a:ext uri="{FF2B5EF4-FFF2-40B4-BE49-F238E27FC236}">
              <a16:creationId xmlns:a16="http://schemas.microsoft.com/office/drawing/2014/main" id="{00000000-0008-0000-0300-0000E3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76200</xdr:colOff>
      <xdr:row>27</xdr:row>
      <xdr:rowOff>0</xdr:rowOff>
    </xdr:to>
    <xdr:sp macro="" textlink="">
      <xdr:nvSpPr>
        <xdr:cNvPr id="484" name="Text Box 1">
          <a:extLst>
            <a:ext uri="{FF2B5EF4-FFF2-40B4-BE49-F238E27FC236}">
              <a16:creationId xmlns:a16="http://schemas.microsoft.com/office/drawing/2014/main" id="{00000000-0008-0000-0300-0000E4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27</xdr:row>
      <xdr:rowOff>0</xdr:rowOff>
    </xdr:from>
    <xdr:to>
      <xdr:col>4</xdr:col>
      <xdr:colOff>76200</xdr:colOff>
      <xdr:row>28</xdr:row>
      <xdr:rowOff>0</xdr:rowOff>
    </xdr:to>
    <xdr:sp macro="" textlink="">
      <xdr:nvSpPr>
        <xdr:cNvPr id="485" name="Text Box 1">
          <a:extLst>
            <a:ext uri="{FF2B5EF4-FFF2-40B4-BE49-F238E27FC236}">
              <a16:creationId xmlns:a16="http://schemas.microsoft.com/office/drawing/2014/main" id="{00000000-0008-0000-0300-0000E5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27</xdr:row>
      <xdr:rowOff>0</xdr:rowOff>
    </xdr:from>
    <xdr:to>
      <xdr:col>4</xdr:col>
      <xdr:colOff>76200</xdr:colOff>
      <xdr:row>28</xdr:row>
      <xdr:rowOff>0</xdr:rowOff>
    </xdr:to>
    <xdr:sp macro="" textlink="">
      <xdr:nvSpPr>
        <xdr:cNvPr id="486" name="Text Box 2">
          <a:extLst>
            <a:ext uri="{FF2B5EF4-FFF2-40B4-BE49-F238E27FC236}">
              <a16:creationId xmlns:a16="http://schemas.microsoft.com/office/drawing/2014/main" id="{00000000-0008-0000-0300-0000E6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27</xdr:row>
      <xdr:rowOff>0</xdr:rowOff>
    </xdr:from>
    <xdr:to>
      <xdr:col>4</xdr:col>
      <xdr:colOff>76200</xdr:colOff>
      <xdr:row>28</xdr:row>
      <xdr:rowOff>0</xdr:rowOff>
    </xdr:to>
    <xdr:sp macro="" textlink="">
      <xdr:nvSpPr>
        <xdr:cNvPr id="487" name="Text Box 1">
          <a:extLst>
            <a:ext uri="{FF2B5EF4-FFF2-40B4-BE49-F238E27FC236}">
              <a16:creationId xmlns:a16="http://schemas.microsoft.com/office/drawing/2014/main" id="{00000000-0008-0000-0300-0000E7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27</xdr:row>
      <xdr:rowOff>0</xdr:rowOff>
    </xdr:from>
    <xdr:to>
      <xdr:col>4</xdr:col>
      <xdr:colOff>76200</xdr:colOff>
      <xdr:row>28</xdr:row>
      <xdr:rowOff>0</xdr:rowOff>
    </xdr:to>
    <xdr:sp macro="" textlink="">
      <xdr:nvSpPr>
        <xdr:cNvPr id="488" name="Text Box 1">
          <a:extLst>
            <a:ext uri="{FF2B5EF4-FFF2-40B4-BE49-F238E27FC236}">
              <a16:creationId xmlns:a16="http://schemas.microsoft.com/office/drawing/2014/main" id="{00000000-0008-0000-0300-0000E8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27</xdr:row>
      <xdr:rowOff>0</xdr:rowOff>
    </xdr:from>
    <xdr:to>
      <xdr:col>4</xdr:col>
      <xdr:colOff>76200</xdr:colOff>
      <xdr:row>28</xdr:row>
      <xdr:rowOff>0</xdr:rowOff>
    </xdr:to>
    <xdr:sp macro="" textlink="">
      <xdr:nvSpPr>
        <xdr:cNvPr id="489" name="Text Box 1">
          <a:extLst>
            <a:ext uri="{FF2B5EF4-FFF2-40B4-BE49-F238E27FC236}">
              <a16:creationId xmlns:a16="http://schemas.microsoft.com/office/drawing/2014/main" id="{00000000-0008-0000-0300-0000E9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27</xdr:row>
      <xdr:rowOff>0</xdr:rowOff>
    </xdr:from>
    <xdr:to>
      <xdr:col>4</xdr:col>
      <xdr:colOff>76200</xdr:colOff>
      <xdr:row>28</xdr:row>
      <xdr:rowOff>0</xdr:rowOff>
    </xdr:to>
    <xdr:sp macro="" textlink="">
      <xdr:nvSpPr>
        <xdr:cNvPr id="490" name="Text Box 2">
          <a:extLst>
            <a:ext uri="{FF2B5EF4-FFF2-40B4-BE49-F238E27FC236}">
              <a16:creationId xmlns:a16="http://schemas.microsoft.com/office/drawing/2014/main" id="{00000000-0008-0000-0300-0000EA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27</xdr:row>
      <xdr:rowOff>0</xdr:rowOff>
    </xdr:from>
    <xdr:to>
      <xdr:col>4</xdr:col>
      <xdr:colOff>76200</xdr:colOff>
      <xdr:row>28</xdr:row>
      <xdr:rowOff>0</xdr:rowOff>
    </xdr:to>
    <xdr:sp macro="" textlink="">
      <xdr:nvSpPr>
        <xdr:cNvPr id="491" name="Text Box 1">
          <a:extLst>
            <a:ext uri="{FF2B5EF4-FFF2-40B4-BE49-F238E27FC236}">
              <a16:creationId xmlns:a16="http://schemas.microsoft.com/office/drawing/2014/main" id="{00000000-0008-0000-0300-0000EB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27</xdr:row>
      <xdr:rowOff>0</xdr:rowOff>
    </xdr:from>
    <xdr:to>
      <xdr:col>4</xdr:col>
      <xdr:colOff>76200</xdr:colOff>
      <xdr:row>28</xdr:row>
      <xdr:rowOff>0</xdr:rowOff>
    </xdr:to>
    <xdr:sp macro="" textlink="">
      <xdr:nvSpPr>
        <xdr:cNvPr id="492" name="Text Box 1">
          <a:extLst>
            <a:ext uri="{FF2B5EF4-FFF2-40B4-BE49-F238E27FC236}">
              <a16:creationId xmlns:a16="http://schemas.microsoft.com/office/drawing/2014/main" id="{00000000-0008-0000-0300-0000EC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27</xdr:row>
      <xdr:rowOff>0</xdr:rowOff>
    </xdr:from>
    <xdr:to>
      <xdr:col>4</xdr:col>
      <xdr:colOff>76200</xdr:colOff>
      <xdr:row>28</xdr:row>
      <xdr:rowOff>0</xdr:rowOff>
    </xdr:to>
    <xdr:sp macro="" textlink="">
      <xdr:nvSpPr>
        <xdr:cNvPr id="493" name="Text Box 1">
          <a:extLst>
            <a:ext uri="{FF2B5EF4-FFF2-40B4-BE49-F238E27FC236}">
              <a16:creationId xmlns:a16="http://schemas.microsoft.com/office/drawing/2014/main" id="{00000000-0008-0000-0300-0000ED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27</xdr:row>
      <xdr:rowOff>0</xdr:rowOff>
    </xdr:from>
    <xdr:to>
      <xdr:col>4</xdr:col>
      <xdr:colOff>76200</xdr:colOff>
      <xdr:row>28</xdr:row>
      <xdr:rowOff>0</xdr:rowOff>
    </xdr:to>
    <xdr:sp macro="" textlink="">
      <xdr:nvSpPr>
        <xdr:cNvPr id="494" name="Text Box 2">
          <a:extLst>
            <a:ext uri="{FF2B5EF4-FFF2-40B4-BE49-F238E27FC236}">
              <a16:creationId xmlns:a16="http://schemas.microsoft.com/office/drawing/2014/main" id="{00000000-0008-0000-0300-0000EE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27</xdr:row>
      <xdr:rowOff>0</xdr:rowOff>
    </xdr:from>
    <xdr:to>
      <xdr:col>4</xdr:col>
      <xdr:colOff>76200</xdr:colOff>
      <xdr:row>28</xdr:row>
      <xdr:rowOff>0</xdr:rowOff>
    </xdr:to>
    <xdr:sp macro="" textlink="">
      <xdr:nvSpPr>
        <xdr:cNvPr id="495" name="Text Box 1">
          <a:extLst>
            <a:ext uri="{FF2B5EF4-FFF2-40B4-BE49-F238E27FC236}">
              <a16:creationId xmlns:a16="http://schemas.microsoft.com/office/drawing/2014/main" id="{00000000-0008-0000-0300-0000EF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27</xdr:row>
      <xdr:rowOff>0</xdr:rowOff>
    </xdr:from>
    <xdr:to>
      <xdr:col>4</xdr:col>
      <xdr:colOff>76200</xdr:colOff>
      <xdr:row>28</xdr:row>
      <xdr:rowOff>0</xdr:rowOff>
    </xdr:to>
    <xdr:sp macro="" textlink="">
      <xdr:nvSpPr>
        <xdr:cNvPr id="496" name="Text Box 1">
          <a:extLst>
            <a:ext uri="{FF2B5EF4-FFF2-40B4-BE49-F238E27FC236}">
              <a16:creationId xmlns:a16="http://schemas.microsoft.com/office/drawing/2014/main" id="{00000000-0008-0000-0300-0000F0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27</xdr:row>
      <xdr:rowOff>0</xdr:rowOff>
    </xdr:from>
    <xdr:to>
      <xdr:col>4</xdr:col>
      <xdr:colOff>76200</xdr:colOff>
      <xdr:row>28</xdr:row>
      <xdr:rowOff>0</xdr:rowOff>
    </xdr:to>
    <xdr:sp macro="" textlink="">
      <xdr:nvSpPr>
        <xdr:cNvPr id="497" name="Text Box 1">
          <a:extLst>
            <a:ext uri="{FF2B5EF4-FFF2-40B4-BE49-F238E27FC236}">
              <a16:creationId xmlns:a16="http://schemas.microsoft.com/office/drawing/2014/main" id="{00000000-0008-0000-0300-0000F1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27</xdr:row>
      <xdr:rowOff>0</xdr:rowOff>
    </xdr:from>
    <xdr:to>
      <xdr:col>4</xdr:col>
      <xdr:colOff>76200</xdr:colOff>
      <xdr:row>28</xdr:row>
      <xdr:rowOff>0</xdr:rowOff>
    </xdr:to>
    <xdr:sp macro="" textlink="">
      <xdr:nvSpPr>
        <xdr:cNvPr id="498" name="Text Box 2">
          <a:extLst>
            <a:ext uri="{FF2B5EF4-FFF2-40B4-BE49-F238E27FC236}">
              <a16:creationId xmlns:a16="http://schemas.microsoft.com/office/drawing/2014/main" id="{00000000-0008-0000-0300-0000F2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27</xdr:row>
      <xdr:rowOff>0</xdr:rowOff>
    </xdr:from>
    <xdr:to>
      <xdr:col>4</xdr:col>
      <xdr:colOff>76200</xdr:colOff>
      <xdr:row>28</xdr:row>
      <xdr:rowOff>0</xdr:rowOff>
    </xdr:to>
    <xdr:sp macro="" textlink="">
      <xdr:nvSpPr>
        <xdr:cNvPr id="499" name="Text Box 1">
          <a:extLst>
            <a:ext uri="{FF2B5EF4-FFF2-40B4-BE49-F238E27FC236}">
              <a16:creationId xmlns:a16="http://schemas.microsoft.com/office/drawing/2014/main" id="{00000000-0008-0000-0300-0000F3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27</xdr:row>
      <xdr:rowOff>0</xdr:rowOff>
    </xdr:from>
    <xdr:to>
      <xdr:col>4</xdr:col>
      <xdr:colOff>76200</xdr:colOff>
      <xdr:row>28</xdr:row>
      <xdr:rowOff>0</xdr:rowOff>
    </xdr:to>
    <xdr:sp macro="" textlink="">
      <xdr:nvSpPr>
        <xdr:cNvPr id="500" name="Text Box 1">
          <a:extLst>
            <a:ext uri="{FF2B5EF4-FFF2-40B4-BE49-F238E27FC236}">
              <a16:creationId xmlns:a16="http://schemas.microsoft.com/office/drawing/2014/main" id="{00000000-0008-0000-0300-0000F4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27</xdr:row>
      <xdr:rowOff>0</xdr:rowOff>
    </xdr:from>
    <xdr:to>
      <xdr:col>4</xdr:col>
      <xdr:colOff>76200</xdr:colOff>
      <xdr:row>28</xdr:row>
      <xdr:rowOff>0</xdr:rowOff>
    </xdr:to>
    <xdr:sp macro="" textlink="">
      <xdr:nvSpPr>
        <xdr:cNvPr id="501" name="Text Box 2">
          <a:extLst>
            <a:ext uri="{FF2B5EF4-FFF2-40B4-BE49-F238E27FC236}">
              <a16:creationId xmlns:a16="http://schemas.microsoft.com/office/drawing/2014/main" id="{00000000-0008-0000-0300-0000F5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27</xdr:row>
      <xdr:rowOff>0</xdr:rowOff>
    </xdr:from>
    <xdr:to>
      <xdr:col>4</xdr:col>
      <xdr:colOff>76200</xdr:colOff>
      <xdr:row>28</xdr:row>
      <xdr:rowOff>0</xdr:rowOff>
    </xdr:to>
    <xdr:sp macro="" textlink="">
      <xdr:nvSpPr>
        <xdr:cNvPr id="502" name="Text Box 1">
          <a:extLst>
            <a:ext uri="{FF2B5EF4-FFF2-40B4-BE49-F238E27FC236}">
              <a16:creationId xmlns:a16="http://schemas.microsoft.com/office/drawing/2014/main" id="{00000000-0008-0000-0300-0000F6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27</xdr:row>
      <xdr:rowOff>0</xdr:rowOff>
    </xdr:from>
    <xdr:to>
      <xdr:col>4</xdr:col>
      <xdr:colOff>76200</xdr:colOff>
      <xdr:row>28</xdr:row>
      <xdr:rowOff>0</xdr:rowOff>
    </xdr:to>
    <xdr:sp macro="" textlink="">
      <xdr:nvSpPr>
        <xdr:cNvPr id="503" name="Text Box 1">
          <a:extLst>
            <a:ext uri="{FF2B5EF4-FFF2-40B4-BE49-F238E27FC236}">
              <a16:creationId xmlns:a16="http://schemas.microsoft.com/office/drawing/2014/main" id="{00000000-0008-0000-0300-0000F7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27</xdr:row>
      <xdr:rowOff>0</xdr:rowOff>
    </xdr:from>
    <xdr:to>
      <xdr:col>4</xdr:col>
      <xdr:colOff>76200</xdr:colOff>
      <xdr:row>28</xdr:row>
      <xdr:rowOff>0</xdr:rowOff>
    </xdr:to>
    <xdr:sp macro="" textlink="">
      <xdr:nvSpPr>
        <xdr:cNvPr id="504" name="Text Box 1">
          <a:extLst>
            <a:ext uri="{FF2B5EF4-FFF2-40B4-BE49-F238E27FC236}">
              <a16:creationId xmlns:a16="http://schemas.microsoft.com/office/drawing/2014/main" id="{00000000-0008-0000-0300-0000F8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27</xdr:row>
      <xdr:rowOff>0</xdr:rowOff>
    </xdr:from>
    <xdr:to>
      <xdr:col>4</xdr:col>
      <xdr:colOff>76200</xdr:colOff>
      <xdr:row>28</xdr:row>
      <xdr:rowOff>0</xdr:rowOff>
    </xdr:to>
    <xdr:sp macro="" textlink="">
      <xdr:nvSpPr>
        <xdr:cNvPr id="505" name="Text Box 2">
          <a:extLst>
            <a:ext uri="{FF2B5EF4-FFF2-40B4-BE49-F238E27FC236}">
              <a16:creationId xmlns:a16="http://schemas.microsoft.com/office/drawing/2014/main" id="{00000000-0008-0000-0300-0000F9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27</xdr:row>
      <xdr:rowOff>0</xdr:rowOff>
    </xdr:from>
    <xdr:to>
      <xdr:col>4</xdr:col>
      <xdr:colOff>76200</xdr:colOff>
      <xdr:row>28</xdr:row>
      <xdr:rowOff>0</xdr:rowOff>
    </xdr:to>
    <xdr:sp macro="" textlink="">
      <xdr:nvSpPr>
        <xdr:cNvPr id="506" name="Text Box 1">
          <a:extLst>
            <a:ext uri="{FF2B5EF4-FFF2-40B4-BE49-F238E27FC236}">
              <a16:creationId xmlns:a16="http://schemas.microsoft.com/office/drawing/2014/main" id="{00000000-0008-0000-0300-0000FA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27</xdr:row>
      <xdr:rowOff>0</xdr:rowOff>
    </xdr:from>
    <xdr:to>
      <xdr:col>4</xdr:col>
      <xdr:colOff>76200</xdr:colOff>
      <xdr:row>28</xdr:row>
      <xdr:rowOff>0</xdr:rowOff>
    </xdr:to>
    <xdr:sp macro="" textlink="">
      <xdr:nvSpPr>
        <xdr:cNvPr id="507" name="Text Box 1">
          <a:extLst>
            <a:ext uri="{FF2B5EF4-FFF2-40B4-BE49-F238E27FC236}">
              <a16:creationId xmlns:a16="http://schemas.microsoft.com/office/drawing/2014/main" id="{00000000-0008-0000-0300-0000FB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28</xdr:row>
      <xdr:rowOff>0</xdr:rowOff>
    </xdr:from>
    <xdr:to>
      <xdr:col>4</xdr:col>
      <xdr:colOff>76200</xdr:colOff>
      <xdr:row>29</xdr:row>
      <xdr:rowOff>0</xdr:rowOff>
    </xdr:to>
    <xdr:sp macro="" textlink="">
      <xdr:nvSpPr>
        <xdr:cNvPr id="508" name="Text Box 1">
          <a:extLst>
            <a:ext uri="{FF2B5EF4-FFF2-40B4-BE49-F238E27FC236}">
              <a16:creationId xmlns:a16="http://schemas.microsoft.com/office/drawing/2014/main" id="{00000000-0008-0000-0300-0000FC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28</xdr:row>
      <xdr:rowOff>0</xdr:rowOff>
    </xdr:from>
    <xdr:to>
      <xdr:col>4</xdr:col>
      <xdr:colOff>76200</xdr:colOff>
      <xdr:row>29</xdr:row>
      <xdr:rowOff>0</xdr:rowOff>
    </xdr:to>
    <xdr:sp macro="" textlink="">
      <xdr:nvSpPr>
        <xdr:cNvPr id="509" name="Text Box 2">
          <a:extLst>
            <a:ext uri="{FF2B5EF4-FFF2-40B4-BE49-F238E27FC236}">
              <a16:creationId xmlns:a16="http://schemas.microsoft.com/office/drawing/2014/main" id="{00000000-0008-0000-0300-0000FD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28</xdr:row>
      <xdr:rowOff>0</xdr:rowOff>
    </xdr:from>
    <xdr:to>
      <xdr:col>4</xdr:col>
      <xdr:colOff>76200</xdr:colOff>
      <xdr:row>29</xdr:row>
      <xdr:rowOff>0</xdr:rowOff>
    </xdr:to>
    <xdr:sp macro="" textlink="">
      <xdr:nvSpPr>
        <xdr:cNvPr id="510" name="Text Box 1">
          <a:extLst>
            <a:ext uri="{FF2B5EF4-FFF2-40B4-BE49-F238E27FC236}">
              <a16:creationId xmlns:a16="http://schemas.microsoft.com/office/drawing/2014/main" id="{00000000-0008-0000-0300-0000FE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28</xdr:row>
      <xdr:rowOff>0</xdr:rowOff>
    </xdr:from>
    <xdr:to>
      <xdr:col>4</xdr:col>
      <xdr:colOff>76200</xdr:colOff>
      <xdr:row>29</xdr:row>
      <xdr:rowOff>0</xdr:rowOff>
    </xdr:to>
    <xdr:sp macro="" textlink="">
      <xdr:nvSpPr>
        <xdr:cNvPr id="511" name="Text Box 1">
          <a:extLst>
            <a:ext uri="{FF2B5EF4-FFF2-40B4-BE49-F238E27FC236}">
              <a16:creationId xmlns:a16="http://schemas.microsoft.com/office/drawing/2014/main" id="{00000000-0008-0000-0300-0000FF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28</xdr:row>
      <xdr:rowOff>0</xdr:rowOff>
    </xdr:from>
    <xdr:to>
      <xdr:col>4</xdr:col>
      <xdr:colOff>76200</xdr:colOff>
      <xdr:row>29</xdr:row>
      <xdr:rowOff>0</xdr:rowOff>
    </xdr:to>
    <xdr:sp macro="" textlink="">
      <xdr:nvSpPr>
        <xdr:cNvPr id="512" name="Text Box 1">
          <a:extLst>
            <a:ext uri="{FF2B5EF4-FFF2-40B4-BE49-F238E27FC236}">
              <a16:creationId xmlns:a16="http://schemas.microsoft.com/office/drawing/2014/main" id="{00000000-0008-0000-0300-000000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28</xdr:row>
      <xdr:rowOff>0</xdr:rowOff>
    </xdr:from>
    <xdr:to>
      <xdr:col>4</xdr:col>
      <xdr:colOff>76200</xdr:colOff>
      <xdr:row>29</xdr:row>
      <xdr:rowOff>0</xdr:rowOff>
    </xdr:to>
    <xdr:sp macro="" textlink="">
      <xdr:nvSpPr>
        <xdr:cNvPr id="513" name="Text Box 2">
          <a:extLst>
            <a:ext uri="{FF2B5EF4-FFF2-40B4-BE49-F238E27FC236}">
              <a16:creationId xmlns:a16="http://schemas.microsoft.com/office/drawing/2014/main" id="{00000000-0008-0000-0300-000001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28</xdr:row>
      <xdr:rowOff>0</xdr:rowOff>
    </xdr:from>
    <xdr:to>
      <xdr:col>4</xdr:col>
      <xdr:colOff>76200</xdr:colOff>
      <xdr:row>29</xdr:row>
      <xdr:rowOff>0</xdr:rowOff>
    </xdr:to>
    <xdr:sp macro="" textlink="">
      <xdr:nvSpPr>
        <xdr:cNvPr id="514" name="Text Box 1">
          <a:extLst>
            <a:ext uri="{FF2B5EF4-FFF2-40B4-BE49-F238E27FC236}">
              <a16:creationId xmlns:a16="http://schemas.microsoft.com/office/drawing/2014/main" id="{00000000-0008-0000-0300-000002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28</xdr:row>
      <xdr:rowOff>0</xdr:rowOff>
    </xdr:from>
    <xdr:to>
      <xdr:col>4</xdr:col>
      <xdr:colOff>76200</xdr:colOff>
      <xdr:row>29</xdr:row>
      <xdr:rowOff>0</xdr:rowOff>
    </xdr:to>
    <xdr:sp macro="" textlink="">
      <xdr:nvSpPr>
        <xdr:cNvPr id="515" name="Text Box 1">
          <a:extLst>
            <a:ext uri="{FF2B5EF4-FFF2-40B4-BE49-F238E27FC236}">
              <a16:creationId xmlns:a16="http://schemas.microsoft.com/office/drawing/2014/main" id="{00000000-0008-0000-0300-000003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28</xdr:row>
      <xdr:rowOff>0</xdr:rowOff>
    </xdr:from>
    <xdr:to>
      <xdr:col>4</xdr:col>
      <xdr:colOff>76200</xdr:colOff>
      <xdr:row>29</xdr:row>
      <xdr:rowOff>0</xdr:rowOff>
    </xdr:to>
    <xdr:sp macro="" textlink="">
      <xdr:nvSpPr>
        <xdr:cNvPr id="516" name="Text Box 1">
          <a:extLst>
            <a:ext uri="{FF2B5EF4-FFF2-40B4-BE49-F238E27FC236}">
              <a16:creationId xmlns:a16="http://schemas.microsoft.com/office/drawing/2014/main" id="{00000000-0008-0000-0300-000004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28</xdr:row>
      <xdr:rowOff>0</xdr:rowOff>
    </xdr:from>
    <xdr:to>
      <xdr:col>4</xdr:col>
      <xdr:colOff>76200</xdr:colOff>
      <xdr:row>29</xdr:row>
      <xdr:rowOff>0</xdr:rowOff>
    </xdr:to>
    <xdr:sp macro="" textlink="">
      <xdr:nvSpPr>
        <xdr:cNvPr id="517" name="Text Box 2">
          <a:extLst>
            <a:ext uri="{FF2B5EF4-FFF2-40B4-BE49-F238E27FC236}">
              <a16:creationId xmlns:a16="http://schemas.microsoft.com/office/drawing/2014/main" id="{00000000-0008-0000-0300-000005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28</xdr:row>
      <xdr:rowOff>0</xdr:rowOff>
    </xdr:from>
    <xdr:to>
      <xdr:col>4</xdr:col>
      <xdr:colOff>76200</xdr:colOff>
      <xdr:row>29</xdr:row>
      <xdr:rowOff>0</xdr:rowOff>
    </xdr:to>
    <xdr:sp macro="" textlink="">
      <xdr:nvSpPr>
        <xdr:cNvPr id="518" name="Text Box 1">
          <a:extLst>
            <a:ext uri="{FF2B5EF4-FFF2-40B4-BE49-F238E27FC236}">
              <a16:creationId xmlns:a16="http://schemas.microsoft.com/office/drawing/2014/main" id="{00000000-0008-0000-0300-000006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28</xdr:row>
      <xdr:rowOff>0</xdr:rowOff>
    </xdr:from>
    <xdr:to>
      <xdr:col>4</xdr:col>
      <xdr:colOff>76200</xdr:colOff>
      <xdr:row>29</xdr:row>
      <xdr:rowOff>0</xdr:rowOff>
    </xdr:to>
    <xdr:sp macro="" textlink="">
      <xdr:nvSpPr>
        <xdr:cNvPr id="519" name="Text Box 1">
          <a:extLst>
            <a:ext uri="{FF2B5EF4-FFF2-40B4-BE49-F238E27FC236}">
              <a16:creationId xmlns:a16="http://schemas.microsoft.com/office/drawing/2014/main" id="{00000000-0008-0000-0300-000007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28</xdr:row>
      <xdr:rowOff>0</xdr:rowOff>
    </xdr:from>
    <xdr:to>
      <xdr:col>4</xdr:col>
      <xdr:colOff>76200</xdr:colOff>
      <xdr:row>29</xdr:row>
      <xdr:rowOff>0</xdr:rowOff>
    </xdr:to>
    <xdr:sp macro="" textlink="">
      <xdr:nvSpPr>
        <xdr:cNvPr id="520" name="Text Box 1">
          <a:extLst>
            <a:ext uri="{FF2B5EF4-FFF2-40B4-BE49-F238E27FC236}">
              <a16:creationId xmlns:a16="http://schemas.microsoft.com/office/drawing/2014/main" id="{00000000-0008-0000-0300-000008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28</xdr:row>
      <xdr:rowOff>0</xdr:rowOff>
    </xdr:from>
    <xdr:to>
      <xdr:col>4</xdr:col>
      <xdr:colOff>76200</xdr:colOff>
      <xdr:row>29</xdr:row>
      <xdr:rowOff>0</xdr:rowOff>
    </xdr:to>
    <xdr:sp macro="" textlink="">
      <xdr:nvSpPr>
        <xdr:cNvPr id="521" name="Text Box 2">
          <a:extLst>
            <a:ext uri="{FF2B5EF4-FFF2-40B4-BE49-F238E27FC236}">
              <a16:creationId xmlns:a16="http://schemas.microsoft.com/office/drawing/2014/main" id="{00000000-0008-0000-0300-000009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28</xdr:row>
      <xdr:rowOff>0</xdr:rowOff>
    </xdr:from>
    <xdr:to>
      <xdr:col>4</xdr:col>
      <xdr:colOff>76200</xdr:colOff>
      <xdr:row>29</xdr:row>
      <xdr:rowOff>0</xdr:rowOff>
    </xdr:to>
    <xdr:sp macro="" textlink="">
      <xdr:nvSpPr>
        <xdr:cNvPr id="522" name="Text Box 1">
          <a:extLst>
            <a:ext uri="{FF2B5EF4-FFF2-40B4-BE49-F238E27FC236}">
              <a16:creationId xmlns:a16="http://schemas.microsoft.com/office/drawing/2014/main" id="{00000000-0008-0000-0300-00000A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28</xdr:row>
      <xdr:rowOff>0</xdr:rowOff>
    </xdr:from>
    <xdr:to>
      <xdr:col>4</xdr:col>
      <xdr:colOff>76200</xdr:colOff>
      <xdr:row>29</xdr:row>
      <xdr:rowOff>0</xdr:rowOff>
    </xdr:to>
    <xdr:sp macro="" textlink="">
      <xdr:nvSpPr>
        <xdr:cNvPr id="523" name="Text Box 1">
          <a:extLst>
            <a:ext uri="{FF2B5EF4-FFF2-40B4-BE49-F238E27FC236}">
              <a16:creationId xmlns:a16="http://schemas.microsoft.com/office/drawing/2014/main" id="{00000000-0008-0000-0300-00000B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28</xdr:row>
      <xdr:rowOff>0</xdr:rowOff>
    </xdr:from>
    <xdr:to>
      <xdr:col>4</xdr:col>
      <xdr:colOff>76200</xdr:colOff>
      <xdr:row>29</xdr:row>
      <xdr:rowOff>0</xdr:rowOff>
    </xdr:to>
    <xdr:sp macro="" textlink="">
      <xdr:nvSpPr>
        <xdr:cNvPr id="524" name="Text Box 2">
          <a:extLst>
            <a:ext uri="{FF2B5EF4-FFF2-40B4-BE49-F238E27FC236}">
              <a16:creationId xmlns:a16="http://schemas.microsoft.com/office/drawing/2014/main" id="{00000000-0008-0000-0300-00000C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28</xdr:row>
      <xdr:rowOff>0</xdr:rowOff>
    </xdr:from>
    <xdr:to>
      <xdr:col>4</xdr:col>
      <xdr:colOff>76200</xdr:colOff>
      <xdr:row>29</xdr:row>
      <xdr:rowOff>0</xdr:rowOff>
    </xdr:to>
    <xdr:sp macro="" textlink="">
      <xdr:nvSpPr>
        <xdr:cNvPr id="525" name="Text Box 1">
          <a:extLst>
            <a:ext uri="{FF2B5EF4-FFF2-40B4-BE49-F238E27FC236}">
              <a16:creationId xmlns:a16="http://schemas.microsoft.com/office/drawing/2014/main" id="{00000000-0008-0000-0300-00000D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28</xdr:row>
      <xdr:rowOff>0</xdr:rowOff>
    </xdr:from>
    <xdr:to>
      <xdr:col>4</xdr:col>
      <xdr:colOff>76200</xdr:colOff>
      <xdr:row>29</xdr:row>
      <xdr:rowOff>0</xdr:rowOff>
    </xdr:to>
    <xdr:sp macro="" textlink="">
      <xdr:nvSpPr>
        <xdr:cNvPr id="526" name="Text Box 1">
          <a:extLst>
            <a:ext uri="{FF2B5EF4-FFF2-40B4-BE49-F238E27FC236}">
              <a16:creationId xmlns:a16="http://schemas.microsoft.com/office/drawing/2014/main" id="{00000000-0008-0000-0300-00000E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28</xdr:row>
      <xdr:rowOff>0</xdr:rowOff>
    </xdr:from>
    <xdr:to>
      <xdr:col>4</xdr:col>
      <xdr:colOff>76200</xdr:colOff>
      <xdr:row>29</xdr:row>
      <xdr:rowOff>0</xdr:rowOff>
    </xdr:to>
    <xdr:sp macro="" textlink="">
      <xdr:nvSpPr>
        <xdr:cNvPr id="527" name="Text Box 1">
          <a:extLst>
            <a:ext uri="{FF2B5EF4-FFF2-40B4-BE49-F238E27FC236}">
              <a16:creationId xmlns:a16="http://schemas.microsoft.com/office/drawing/2014/main" id="{00000000-0008-0000-0300-00000F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28</xdr:row>
      <xdr:rowOff>0</xdr:rowOff>
    </xdr:from>
    <xdr:to>
      <xdr:col>4</xdr:col>
      <xdr:colOff>76200</xdr:colOff>
      <xdr:row>29</xdr:row>
      <xdr:rowOff>0</xdr:rowOff>
    </xdr:to>
    <xdr:sp macro="" textlink="">
      <xdr:nvSpPr>
        <xdr:cNvPr id="528" name="Text Box 2">
          <a:extLst>
            <a:ext uri="{FF2B5EF4-FFF2-40B4-BE49-F238E27FC236}">
              <a16:creationId xmlns:a16="http://schemas.microsoft.com/office/drawing/2014/main" id="{00000000-0008-0000-0300-000010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28</xdr:row>
      <xdr:rowOff>0</xdr:rowOff>
    </xdr:from>
    <xdr:to>
      <xdr:col>4</xdr:col>
      <xdr:colOff>76200</xdr:colOff>
      <xdr:row>29</xdr:row>
      <xdr:rowOff>0</xdr:rowOff>
    </xdr:to>
    <xdr:sp macro="" textlink="">
      <xdr:nvSpPr>
        <xdr:cNvPr id="529" name="Text Box 1">
          <a:extLst>
            <a:ext uri="{FF2B5EF4-FFF2-40B4-BE49-F238E27FC236}">
              <a16:creationId xmlns:a16="http://schemas.microsoft.com/office/drawing/2014/main" id="{00000000-0008-0000-0300-000011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28</xdr:row>
      <xdr:rowOff>0</xdr:rowOff>
    </xdr:from>
    <xdr:to>
      <xdr:col>4</xdr:col>
      <xdr:colOff>76200</xdr:colOff>
      <xdr:row>29</xdr:row>
      <xdr:rowOff>0</xdr:rowOff>
    </xdr:to>
    <xdr:sp macro="" textlink="">
      <xdr:nvSpPr>
        <xdr:cNvPr id="530" name="Text Box 1">
          <a:extLst>
            <a:ext uri="{FF2B5EF4-FFF2-40B4-BE49-F238E27FC236}">
              <a16:creationId xmlns:a16="http://schemas.microsoft.com/office/drawing/2014/main" id="{00000000-0008-0000-0300-000012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29</xdr:row>
      <xdr:rowOff>0</xdr:rowOff>
    </xdr:from>
    <xdr:to>
      <xdr:col>4</xdr:col>
      <xdr:colOff>76200</xdr:colOff>
      <xdr:row>30</xdr:row>
      <xdr:rowOff>0</xdr:rowOff>
    </xdr:to>
    <xdr:sp macro="" textlink="">
      <xdr:nvSpPr>
        <xdr:cNvPr id="531" name="Text Box 1">
          <a:extLst>
            <a:ext uri="{FF2B5EF4-FFF2-40B4-BE49-F238E27FC236}">
              <a16:creationId xmlns:a16="http://schemas.microsoft.com/office/drawing/2014/main" id="{00000000-0008-0000-0300-000013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29</xdr:row>
      <xdr:rowOff>0</xdr:rowOff>
    </xdr:from>
    <xdr:to>
      <xdr:col>4</xdr:col>
      <xdr:colOff>76200</xdr:colOff>
      <xdr:row>30</xdr:row>
      <xdr:rowOff>0</xdr:rowOff>
    </xdr:to>
    <xdr:sp macro="" textlink="">
      <xdr:nvSpPr>
        <xdr:cNvPr id="532" name="Text Box 2">
          <a:extLst>
            <a:ext uri="{FF2B5EF4-FFF2-40B4-BE49-F238E27FC236}">
              <a16:creationId xmlns:a16="http://schemas.microsoft.com/office/drawing/2014/main" id="{00000000-0008-0000-0300-000014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29</xdr:row>
      <xdr:rowOff>0</xdr:rowOff>
    </xdr:from>
    <xdr:to>
      <xdr:col>4</xdr:col>
      <xdr:colOff>76200</xdr:colOff>
      <xdr:row>30</xdr:row>
      <xdr:rowOff>0</xdr:rowOff>
    </xdr:to>
    <xdr:sp macro="" textlink="">
      <xdr:nvSpPr>
        <xdr:cNvPr id="533" name="Text Box 1">
          <a:extLst>
            <a:ext uri="{FF2B5EF4-FFF2-40B4-BE49-F238E27FC236}">
              <a16:creationId xmlns:a16="http://schemas.microsoft.com/office/drawing/2014/main" id="{00000000-0008-0000-0300-000015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29</xdr:row>
      <xdr:rowOff>0</xdr:rowOff>
    </xdr:from>
    <xdr:to>
      <xdr:col>4</xdr:col>
      <xdr:colOff>76200</xdr:colOff>
      <xdr:row>30</xdr:row>
      <xdr:rowOff>0</xdr:rowOff>
    </xdr:to>
    <xdr:sp macro="" textlink="">
      <xdr:nvSpPr>
        <xdr:cNvPr id="534" name="Text Box 1">
          <a:extLst>
            <a:ext uri="{FF2B5EF4-FFF2-40B4-BE49-F238E27FC236}">
              <a16:creationId xmlns:a16="http://schemas.microsoft.com/office/drawing/2014/main" id="{00000000-0008-0000-0300-000016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29</xdr:row>
      <xdr:rowOff>0</xdr:rowOff>
    </xdr:from>
    <xdr:to>
      <xdr:col>4</xdr:col>
      <xdr:colOff>76200</xdr:colOff>
      <xdr:row>30</xdr:row>
      <xdr:rowOff>0</xdr:rowOff>
    </xdr:to>
    <xdr:sp macro="" textlink="">
      <xdr:nvSpPr>
        <xdr:cNvPr id="535" name="Text Box 1">
          <a:extLst>
            <a:ext uri="{FF2B5EF4-FFF2-40B4-BE49-F238E27FC236}">
              <a16:creationId xmlns:a16="http://schemas.microsoft.com/office/drawing/2014/main" id="{00000000-0008-0000-0300-000017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29</xdr:row>
      <xdr:rowOff>0</xdr:rowOff>
    </xdr:from>
    <xdr:to>
      <xdr:col>4</xdr:col>
      <xdr:colOff>76200</xdr:colOff>
      <xdr:row>30</xdr:row>
      <xdr:rowOff>0</xdr:rowOff>
    </xdr:to>
    <xdr:sp macro="" textlink="">
      <xdr:nvSpPr>
        <xdr:cNvPr id="536" name="Text Box 2">
          <a:extLst>
            <a:ext uri="{FF2B5EF4-FFF2-40B4-BE49-F238E27FC236}">
              <a16:creationId xmlns:a16="http://schemas.microsoft.com/office/drawing/2014/main" id="{00000000-0008-0000-0300-000018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29</xdr:row>
      <xdr:rowOff>0</xdr:rowOff>
    </xdr:from>
    <xdr:to>
      <xdr:col>4</xdr:col>
      <xdr:colOff>76200</xdr:colOff>
      <xdr:row>30</xdr:row>
      <xdr:rowOff>0</xdr:rowOff>
    </xdr:to>
    <xdr:sp macro="" textlink="">
      <xdr:nvSpPr>
        <xdr:cNvPr id="537" name="Text Box 1">
          <a:extLst>
            <a:ext uri="{FF2B5EF4-FFF2-40B4-BE49-F238E27FC236}">
              <a16:creationId xmlns:a16="http://schemas.microsoft.com/office/drawing/2014/main" id="{00000000-0008-0000-0300-000019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29</xdr:row>
      <xdr:rowOff>0</xdr:rowOff>
    </xdr:from>
    <xdr:to>
      <xdr:col>4</xdr:col>
      <xdr:colOff>76200</xdr:colOff>
      <xdr:row>30</xdr:row>
      <xdr:rowOff>0</xdr:rowOff>
    </xdr:to>
    <xdr:sp macro="" textlink="">
      <xdr:nvSpPr>
        <xdr:cNvPr id="538" name="Text Box 1">
          <a:extLst>
            <a:ext uri="{FF2B5EF4-FFF2-40B4-BE49-F238E27FC236}">
              <a16:creationId xmlns:a16="http://schemas.microsoft.com/office/drawing/2014/main" id="{00000000-0008-0000-0300-00001A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29</xdr:row>
      <xdr:rowOff>0</xdr:rowOff>
    </xdr:from>
    <xdr:to>
      <xdr:col>4</xdr:col>
      <xdr:colOff>76200</xdr:colOff>
      <xdr:row>30</xdr:row>
      <xdr:rowOff>0</xdr:rowOff>
    </xdr:to>
    <xdr:sp macro="" textlink="">
      <xdr:nvSpPr>
        <xdr:cNvPr id="539" name="Text Box 1">
          <a:extLst>
            <a:ext uri="{FF2B5EF4-FFF2-40B4-BE49-F238E27FC236}">
              <a16:creationId xmlns:a16="http://schemas.microsoft.com/office/drawing/2014/main" id="{00000000-0008-0000-0300-00001B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29</xdr:row>
      <xdr:rowOff>0</xdr:rowOff>
    </xdr:from>
    <xdr:to>
      <xdr:col>4</xdr:col>
      <xdr:colOff>76200</xdr:colOff>
      <xdr:row>30</xdr:row>
      <xdr:rowOff>0</xdr:rowOff>
    </xdr:to>
    <xdr:sp macro="" textlink="">
      <xdr:nvSpPr>
        <xdr:cNvPr id="540" name="Text Box 2">
          <a:extLst>
            <a:ext uri="{FF2B5EF4-FFF2-40B4-BE49-F238E27FC236}">
              <a16:creationId xmlns:a16="http://schemas.microsoft.com/office/drawing/2014/main" id="{00000000-0008-0000-0300-00001C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29</xdr:row>
      <xdr:rowOff>0</xdr:rowOff>
    </xdr:from>
    <xdr:to>
      <xdr:col>4</xdr:col>
      <xdr:colOff>76200</xdr:colOff>
      <xdr:row>30</xdr:row>
      <xdr:rowOff>0</xdr:rowOff>
    </xdr:to>
    <xdr:sp macro="" textlink="">
      <xdr:nvSpPr>
        <xdr:cNvPr id="541" name="Text Box 1">
          <a:extLst>
            <a:ext uri="{FF2B5EF4-FFF2-40B4-BE49-F238E27FC236}">
              <a16:creationId xmlns:a16="http://schemas.microsoft.com/office/drawing/2014/main" id="{00000000-0008-0000-0300-00001D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29</xdr:row>
      <xdr:rowOff>0</xdr:rowOff>
    </xdr:from>
    <xdr:to>
      <xdr:col>4</xdr:col>
      <xdr:colOff>76200</xdr:colOff>
      <xdr:row>30</xdr:row>
      <xdr:rowOff>0</xdr:rowOff>
    </xdr:to>
    <xdr:sp macro="" textlink="">
      <xdr:nvSpPr>
        <xdr:cNvPr id="542" name="Text Box 1">
          <a:extLst>
            <a:ext uri="{FF2B5EF4-FFF2-40B4-BE49-F238E27FC236}">
              <a16:creationId xmlns:a16="http://schemas.microsoft.com/office/drawing/2014/main" id="{00000000-0008-0000-0300-00001E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29</xdr:row>
      <xdr:rowOff>0</xdr:rowOff>
    </xdr:from>
    <xdr:to>
      <xdr:col>4</xdr:col>
      <xdr:colOff>76200</xdr:colOff>
      <xdr:row>30</xdr:row>
      <xdr:rowOff>0</xdr:rowOff>
    </xdr:to>
    <xdr:sp macro="" textlink="">
      <xdr:nvSpPr>
        <xdr:cNvPr id="543" name="Text Box 1">
          <a:extLst>
            <a:ext uri="{FF2B5EF4-FFF2-40B4-BE49-F238E27FC236}">
              <a16:creationId xmlns:a16="http://schemas.microsoft.com/office/drawing/2014/main" id="{00000000-0008-0000-0300-00001F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29</xdr:row>
      <xdr:rowOff>0</xdr:rowOff>
    </xdr:from>
    <xdr:to>
      <xdr:col>4</xdr:col>
      <xdr:colOff>76200</xdr:colOff>
      <xdr:row>30</xdr:row>
      <xdr:rowOff>0</xdr:rowOff>
    </xdr:to>
    <xdr:sp macro="" textlink="">
      <xdr:nvSpPr>
        <xdr:cNvPr id="544" name="Text Box 2">
          <a:extLst>
            <a:ext uri="{FF2B5EF4-FFF2-40B4-BE49-F238E27FC236}">
              <a16:creationId xmlns:a16="http://schemas.microsoft.com/office/drawing/2014/main" id="{00000000-0008-0000-0300-000020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29</xdr:row>
      <xdr:rowOff>0</xdr:rowOff>
    </xdr:from>
    <xdr:to>
      <xdr:col>4</xdr:col>
      <xdr:colOff>76200</xdr:colOff>
      <xdr:row>30</xdr:row>
      <xdr:rowOff>0</xdr:rowOff>
    </xdr:to>
    <xdr:sp macro="" textlink="">
      <xdr:nvSpPr>
        <xdr:cNvPr id="545" name="Text Box 1">
          <a:extLst>
            <a:ext uri="{FF2B5EF4-FFF2-40B4-BE49-F238E27FC236}">
              <a16:creationId xmlns:a16="http://schemas.microsoft.com/office/drawing/2014/main" id="{00000000-0008-0000-0300-000021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29</xdr:row>
      <xdr:rowOff>0</xdr:rowOff>
    </xdr:from>
    <xdr:to>
      <xdr:col>4</xdr:col>
      <xdr:colOff>76200</xdr:colOff>
      <xdr:row>30</xdr:row>
      <xdr:rowOff>0</xdr:rowOff>
    </xdr:to>
    <xdr:sp macro="" textlink="">
      <xdr:nvSpPr>
        <xdr:cNvPr id="546" name="Text Box 1">
          <a:extLst>
            <a:ext uri="{FF2B5EF4-FFF2-40B4-BE49-F238E27FC236}">
              <a16:creationId xmlns:a16="http://schemas.microsoft.com/office/drawing/2014/main" id="{00000000-0008-0000-0300-000022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29</xdr:row>
      <xdr:rowOff>0</xdr:rowOff>
    </xdr:from>
    <xdr:to>
      <xdr:col>4</xdr:col>
      <xdr:colOff>76200</xdr:colOff>
      <xdr:row>30</xdr:row>
      <xdr:rowOff>0</xdr:rowOff>
    </xdr:to>
    <xdr:sp macro="" textlink="">
      <xdr:nvSpPr>
        <xdr:cNvPr id="547" name="Text Box 2">
          <a:extLst>
            <a:ext uri="{FF2B5EF4-FFF2-40B4-BE49-F238E27FC236}">
              <a16:creationId xmlns:a16="http://schemas.microsoft.com/office/drawing/2014/main" id="{00000000-0008-0000-0300-000023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29</xdr:row>
      <xdr:rowOff>0</xdr:rowOff>
    </xdr:from>
    <xdr:to>
      <xdr:col>4</xdr:col>
      <xdr:colOff>76200</xdr:colOff>
      <xdr:row>30</xdr:row>
      <xdr:rowOff>0</xdr:rowOff>
    </xdr:to>
    <xdr:sp macro="" textlink="">
      <xdr:nvSpPr>
        <xdr:cNvPr id="548" name="Text Box 1">
          <a:extLst>
            <a:ext uri="{FF2B5EF4-FFF2-40B4-BE49-F238E27FC236}">
              <a16:creationId xmlns:a16="http://schemas.microsoft.com/office/drawing/2014/main" id="{00000000-0008-0000-0300-000024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29</xdr:row>
      <xdr:rowOff>0</xdr:rowOff>
    </xdr:from>
    <xdr:to>
      <xdr:col>4</xdr:col>
      <xdr:colOff>76200</xdr:colOff>
      <xdr:row>30</xdr:row>
      <xdr:rowOff>0</xdr:rowOff>
    </xdr:to>
    <xdr:sp macro="" textlink="">
      <xdr:nvSpPr>
        <xdr:cNvPr id="549" name="Text Box 1">
          <a:extLst>
            <a:ext uri="{FF2B5EF4-FFF2-40B4-BE49-F238E27FC236}">
              <a16:creationId xmlns:a16="http://schemas.microsoft.com/office/drawing/2014/main" id="{00000000-0008-0000-0300-000025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29</xdr:row>
      <xdr:rowOff>0</xdr:rowOff>
    </xdr:from>
    <xdr:to>
      <xdr:col>4</xdr:col>
      <xdr:colOff>76200</xdr:colOff>
      <xdr:row>30</xdr:row>
      <xdr:rowOff>0</xdr:rowOff>
    </xdr:to>
    <xdr:sp macro="" textlink="">
      <xdr:nvSpPr>
        <xdr:cNvPr id="550" name="Text Box 1">
          <a:extLst>
            <a:ext uri="{FF2B5EF4-FFF2-40B4-BE49-F238E27FC236}">
              <a16:creationId xmlns:a16="http://schemas.microsoft.com/office/drawing/2014/main" id="{00000000-0008-0000-0300-000026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29</xdr:row>
      <xdr:rowOff>0</xdr:rowOff>
    </xdr:from>
    <xdr:to>
      <xdr:col>4</xdr:col>
      <xdr:colOff>76200</xdr:colOff>
      <xdr:row>30</xdr:row>
      <xdr:rowOff>0</xdr:rowOff>
    </xdr:to>
    <xdr:sp macro="" textlink="">
      <xdr:nvSpPr>
        <xdr:cNvPr id="551" name="Text Box 2">
          <a:extLst>
            <a:ext uri="{FF2B5EF4-FFF2-40B4-BE49-F238E27FC236}">
              <a16:creationId xmlns:a16="http://schemas.microsoft.com/office/drawing/2014/main" id="{00000000-0008-0000-0300-000027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29</xdr:row>
      <xdr:rowOff>0</xdr:rowOff>
    </xdr:from>
    <xdr:to>
      <xdr:col>4</xdr:col>
      <xdr:colOff>76200</xdr:colOff>
      <xdr:row>30</xdr:row>
      <xdr:rowOff>0</xdr:rowOff>
    </xdr:to>
    <xdr:sp macro="" textlink="">
      <xdr:nvSpPr>
        <xdr:cNvPr id="552" name="Text Box 1">
          <a:extLst>
            <a:ext uri="{FF2B5EF4-FFF2-40B4-BE49-F238E27FC236}">
              <a16:creationId xmlns:a16="http://schemas.microsoft.com/office/drawing/2014/main" id="{00000000-0008-0000-0300-000028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29</xdr:row>
      <xdr:rowOff>0</xdr:rowOff>
    </xdr:from>
    <xdr:to>
      <xdr:col>4</xdr:col>
      <xdr:colOff>76200</xdr:colOff>
      <xdr:row>30</xdr:row>
      <xdr:rowOff>0</xdr:rowOff>
    </xdr:to>
    <xdr:sp macro="" textlink="">
      <xdr:nvSpPr>
        <xdr:cNvPr id="553" name="Text Box 1">
          <a:extLst>
            <a:ext uri="{FF2B5EF4-FFF2-40B4-BE49-F238E27FC236}">
              <a16:creationId xmlns:a16="http://schemas.microsoft.com/office/drawing/2014/main" id="{00000000-0008-0000-0300-000029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30</xdr:row>
      <xdr:rowOff>0</xdr:rowOff>
    </xdr:from>
    <xdr:to>
      <xdr:col>4</xdr:col>
      <xdr:colOff>76200</xdr:colOff>
      <xdr:row>31</xdr:row>
      <xdr:rowOff>0</xdr:rowOff>
    </xdr:to>
    <xdr:sp macro="" textlink="">
      <xdr:nvSpPr>
        <xdr:cNvPr id="554" name="Text Box 1">
          <a:extLst>
            <a:ext uri="{FF2B5EF4-FFF2-40B4-BE49-F238E27FC236}">
              <a16:creationId xmlns:a16="http://schemas.microsoft.com/office/drawing/2014/main" id="{00000000-0008-0000-0300-00002A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30</xdr:row>
      <xdr:rowOff>0</xdr:rowOff>
    </xdr:from>
    <xdr:to>
      <xdr:col>4</xdr:col>
      <xdr:colOff>76200</xdr:colOff>
      <xdr:row>31</xdr:row>
      <xdr:rowOff>0</xdr:rowOff>
    </xdr:to>
    <xdr:sp macro="" textlink="">
      <xdr:nvSpPr>
        <xdr:cNvPr id="555" name="Text Box 2">
          <a:extLst>
            <a:ext uri="{FF2B5EF4-FFF2-40B4-BE49-F238E27FC236}">
              <a16:creationId xmlns:a16="http://schemas.microsoft.com/office/drawing/2014/main" id="{00000000-0008-0000-0300-00002B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30</xdr:row>
      <xdr:rowOff>0</xdr:rowOff>
    </xdr:from>
    <xdr:to>
      <xdr:col>4</xdr:col>
      <xdr:colOff>76200</xdr:colOff>
      <xdr:row>31</xdr:row>
      <xdr:rowOff>0</xdr:rowOff>
    </xdr:to>
    <xdr:sp macro="" textlink="">
      <xdr:nvSpPr>
        <xdr:cNvPr id="556" name="Text Box 1">
          <a:extLst>
            <a:ext uri="{FF2B5EF4-FFF2-40B4-BE49-F238E27FC236}">
              <a16:creationId xmlns:a16="http://schemas.microsoft.com/office/drawing/2014/main" id="{00000000-0008-0000-0300-00002C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30</xdr:row>
      <xdr:rowOff>0</xdr:rowOff>
    </xdr:from>
    <xdr:to>
      <xdr:col>4</xdr:col>
      <xdr:colOff>76200</xdr:colOff>
      <xdr:row>31</xdr:row>
      <xdr:rowOff>0</xdr:rowOff>
    </xdr:to>
    <xdr:sp macro="" textlink="">
      <xdr:nvSpPr>
        <xdr:cNvPr id="557" name="Text Box 1">
          <a:extLst>
            <a:ext uri="{FF2B5EF4-FFF2-40B4-BE49-F238E27FC236}">
              <a16:creationId xmlns:a16="http://schemas.microsoft.com/office/drawing/2014/main" id="{00000000-0008-0000-0300-00002D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30</xdr:row>
      <xdr:rowOff>0</xdr:rowOff>
    </xdr:from>
    <xdr:to>
      <xdr:col>4</xdr:col>
      <xdr:colOff>76200</xdr:colOff>
      <xdr:row>31</xdr:row>
      <xdr:rowOff>0</xdr:rowOff>
    </xdr:to>
    <xdr:sp macro="" textlink="">
      <xdr:nvSpPr>
        <xdr:cNvPr id="558" name="Text Box 1">
          <a:extLst>
            <a:ext uri="{FF2B5EF4-FFF2-40B4-BE49-F238E27FC236}">
              <a16:creationId xmlns:a16="http://schemas.microsoft.com/office/drawing/2014/main" id="{00000000-0008-0000-0300-00002E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30</xdr:row>
      <xdr:rowOff>0</xdr:rowOff>
    </xdr:from>
    <xdr:to>
      <xdr:col>4</xdr:col>
      <xdr:colOff>76200</xdr:colOff>
      <xdr:row>31</xdr:row>
      <xdr:rowOff>0</xdr:rowOff>
    </xdr:to>
    <xdr:sp macro="" textlink="">
      <xdr:nvSpPr>
        <xdr:cNvPr id="559" name="Text Box 2">
          <a:extLst>
            <a:ext uri="{FF2B5EF4-FFF2-40B4-BE49-F238E27FC236}">
              <a16:creationId xmlns:a16="http://schemas.microsoft.com/office/drawing/2014/main" id="{00000000-0008-0000-0300-00002F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30</xdr:row>
      <xdr:rowOff>0</xdr:rowOff>
    </xdr:from>
    <xdr:to>
      <xdr:col>4</xdr:col>
      <xdr:colOff>76200</xdr:colOff>
      <xdr:row>31</xdr:row>
      <xdr:rowOff>0</xdr:rowOff>
    </xdr:to>
    <xdr:sp macro="" textlink="">
      <xdr:nvSpPr>
        <xdr:cNvPr id="560" name="Text Box 1">
          <a:extLst>
            <a:ext uri="{FF2B5EF4-FFF2-40B4-BE49-F238E27FC236}">
              <a16:creationId xmlns:a16="http://schemas.microsoft.com/office/drawing/2014/main" id="{00000000-0008-0000-0300-000030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30</xdr:row>
      <xdr:rowOff>0</xdr:rowOff>
    </xdr:from>
    <xdr:to>
      <xdr:col>4</xdr:col>
      <xdr:colOff>76200</xdr:colOff>
      <xdr:row>31</xdr:row>
      <xdr:rowOff>0</xdr:rowOff>
    </xdr:to>
    <xdr:sp macro="" textlink="">
      <xdr:nvSpPr>
        <xdr:cNvPr id="561" name="Text Box 1">
          <a:extLst>
            <a:ext uri="{FF2B5EF4-FFF2-40B4-BE49-F238E27FC236}">
              <a16:creationId xmlns:a16="http://schemas.microsoft.com/office/drawing/2014/main" id="{00000000-0008-0000-0300-000031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30</xdr:row>
      <xdr:rowOff>0</xdr:rowOff>
    </xdr:from>
    <xdr:to>
      <xdr:col>4</xdr:col>
      <xdr:colOff>76200</xdr:colOff>
      <xdr:row>31</xdr:row>
      <xdr:rowOff>0</xdr:rowOff>
    </xdr:to>
    <xdr:sp macro="" textlink="">
      <xdr:nvSpPr>
        <xdr:cNvPr id="562" name="Text Box 1">
          <a:extLst>
            <a:ext uri="{FF2B5EF4-FFF2-40B4-BE49-F238E27FC236}">
              <a16:creationId xmlns:a16="http://schemas.microsoft.com/office/drawing/2014/main" id="{00000000-0008-0000-0300-000032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30</xdr:row>
      <xdr:rowOff>0</xdr:rowOff>
    </xdr:from>
    <xdr:to>
      <xdr:col>4</xdr:col>
      <xdr:colOff>76200</xdr:colOff>
      <xdr:row>31</xdr:row>
      <xdr:rowOff>0</xdr:rowOff>
    </xdr:to>
    <xdr:sp macro="" textlink="">
      <xdr:nvSpPr>
        <xdr:cNvPr id="563" name="Text Box 2">
          <a:extLst>
            <a:ext uri="{FF2B5EF4-FFF2-40B4-BE49-F238E27FC236}">
              <a16:creationId xmlns:a16="http://schemas.microsoft.com/office/drawing/2014/main" id="{00000000-0008-0000-0300-000033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30</xdr:row>
      <xdr:rowOff>0</xdr:rowOff>
    </xdr:from>
    <xdr:to>
      <xdr:col>4</xdr:col>
      <xdr:colOff>76200</xdr:colOff>
      <xdr:row>31</xdr:row>
      <xdr:rowOff>0</xdr:rowOff>
    </xdr:to>
    <xdr:sp macro="" textlink="">
      <xdr:nvSpPr>
        <xdr:cNvPr id="564" name="Text Box 1">
          <a:extLst>
            <a:ext uri="{FF2B5EF4-FFF2-40B4-BE49-F238E27FC236}">
              <a16:creationId xmlns:a16="http://schemas.microsoft.com/office/drawing/2014/main" id="{00000000-0008-0000-0300-000034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30</xdr:row>
      <xdr:rowOff>0</xdr:rowOff>
    </xdr:from>
    <xdr:to>
      <xdr:col>4</xdr:col>
      <xdr:colOff>76200</xdr:colOff>
      <xdr:row>31</xdr:row>
      <xdr:rowOff>0</xdr:rowOff>
    </xdr:to>
    <xdr:sp macro="" textlink="">
      <xdr:nvSpPr>
        <xdr:cNvPr id="565" name="Text Box 1">
          <a:extLst>
            <a:ext uri="{FF2B5EF4-FFF2-40B4-BE49-F238E27FC236}">
              <a16:creationId xmlns:a16="http://schemas.microsoft.com/office/drawing/2014/main" id="{00000000-0008-0000-0300-000035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30</xdr:row>
      <xdr:rowOff>0</xdr:rowOff>
    </xdr:from>
    <xdr:to>
      <xdr:col>4</xdr:col>
      <xdr:colOff>76200</xdr:colOff>
      <xdr:row>31</xdr:row>
      <xdr:rowOff>0</xdr:rowOff>
    </xdr:to>
    <xdr:sp macro="" textlink="">
      <xdr:nvSpPr>
        <xdr:cNvPr id="566" name="Text Box 1">
          <a:extLst>
            <a:ext uri="{FF2B5EF4-FFF2-40B4-BE49-F238E27FC236}">
              <a16:creationId xmlns:a16="http://schemas.microsoft.com/office/drawing/2014/main" id="{00000000-0008-0000-0300-000036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30</xdr:row>
      <xdr:rowOff>0</xdr:rowOff>
    </xdr:from>
    <xdr:to>
      <xdr:col>4</xdr:col>
      <xdr:colOff>76200</xdr:colOff>
      <xdr:row>31</xdr:row>
      <xdr:rowOff>0</xdr:rowOff>
    </xdr:to>
    <xdr:sp macro="" textlink="">
      <xdr:nvSpPr>
        <xdr:cNvPr id="567" name="Text Box 2">
          <a:extLst>
            <a:ext uri="{FF2B5EF4-FFF2-40B4-BE49-F238E27FC236}">
              <a16:creationId xmlns:a16="http://schemas.microsoft.com/office/drawing/2014/main" id="{00000000-0008-0000-0300-000037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30</xdr:row>
      <xdr:rowOff>0</xdr:rowOff>
    </xdr:from>
    <xdr:to>
      <xdr:col>4</xdr:col>
      <xdr:colOff>76200</xdr:colOff>
      <xdr:row>31</xdr:row>
      <xdr:rowOff>0</xdr:rowOff>
    </xdr:to>
    <xdr:sp macro="" textlink="">
      <xdr:nvSpPr>
        <xdr:cNvPr id="568" name="Text Box 1">
          <a:extLst>
            <a:ext uri="{FF2B5EF4-FFF2-40B4-BE49-F238E27FC236}">
              <a16:creationId xmlns:a16="http://schemas.microsoft.com/office/drawing/2014/main" id="{00000000-0008-0000-0300-000038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30</xdr:row>
      <xdr:rowOff>0</xdr:rowOff>
    </xdr:from>
    <xdr:to>
      <xdr:col>4</xdr:col>
      <xdr:colOff>76200</xdr:colOff>
      <xdr:row>31</xdr:row>
      <xdr:rowOff>0</xdr:rowOff>
    </xdr:to>
    <xdr:sp macro="" textlink="">
      <xdr:nvSpPr>
        <xdr:cNvPr id="569" name="Text Box 1">
          <a:extLst>
            <a:ext uri="{FF2B5EF4-FFF2-40B4-BE49-F238E27FC236}">
              <a16:creationId xmlns:a16="http://schemas.microsoft.com/office/drawing/2014/main" id="{00000000-0008-0000-0300-000039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30</xdr:row>
      <xdr:rowOff>0</xdr:rowOff>
    </xdr:from>
    <xdr:to>
      <xdr:col>4</xdr:col>
      <xdr:colOff>76200</xdr:colOff>
      <xdr:row>31</xdr:row>
      <xdr:rowOff>0</xdr:rowOff>
    </xdr:to>
    <xdr:sp macro="" textlink="">
      <xdr:nvSpPr>
        <xdr:cNvPr id="570" name="Text Box 2">
          <a:extLst>
            <a:ext uri="{FF2B5EF4-FFF2-40B4-BE49-F238E27FC236}">
              <a16:creationId xmlns:a16="http://schemas.microsoft.com/office/drawing/2014/main" id="{00000000-0008-0000-0300-00003A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30</xdr:row>
      <xdr:rowOff>0</xdr:rowOff>
    </xdr:from>
    <xdr:to>
      <xdr:col>4</xdr:col>
      <xdr:colOff>76200</xdr:colOff>
      <xdr:row>31</xdr:row>
      <xdr:rowOff>0</xdr:rowOff>
    </xdr:to>
    <xdr:sp macro="" textlink="">
      <xdr:nvSpPr>
        <xdr:cNvPr id="571" name="Text Box 1">
          <a:extLst>
            <a:ext uri="{FF2B5EF4-FFF2-40B4-BE49-F238E27FC236}">
              <a16:creationId xmlns:a16="http://schemas.microsoft.com/office/drawing/2014/main" id="{00000000-0008-0000-0300-00003B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30</xdr:row>
      <xdr:rowOff>0</xdr:rowOff>
    </xdr:from>
    <xdr:to>
      <xdr:col>4</xdr:col>
      <xdr:colOff>76200</xdr:colOff>
      <xdr:row>31</xdr:row>
      <xdr:rowOff>0</xdr:rowOff>
    </xdr:to>
    <xdr:sp macro="" textlink="">
      <xdr:nvSpPr>
        <xdr:cNvPr id="572" name="Text Box 1">
          <a:extLst>
            <a:ext uri="{FF2B5EF4-FFF2-40B4-BE49-F238E27FC236}">
              <a16:creationId xmlns:a16="http://schemas.microsoft.com/office/drawing/2014/main" id="{00000000-0008-0000-0300-00003C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30</xdr:row>
      <xdr:rowOff>0</xdr:rowOff>
    </xdr:from>
    <xdr:to>
      <xdr:col>4</xdr:col>
      <xdr:colOff>76200</xdr:colOff>
      <xdr:row>31</xdr:row>
      <xdr:rowOff>0</xdr:rowOff>
    </xdr:to>
    <xdr:sp macro="" textlink="">
      <xdr:nvSpPr>
        <xdr:cNvPr id="573" name="Text Box 1">
          <a:extLst>
            <a:ext uri="{FF2B5EF4-FFF2-40B4-BE49-F238E27FC236}">
              <a16:creationId xmlns:a16="http://schemas.microsoft.com/office/drawing/2014/main" id="{00000000-0008-0000-0300-00003D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30</xdr:row>
      <xdr:rowOff>0</xdr:rowOff>
    </xdr:from>
    <xdr:to>
      <xdr:col>4</xdr:col>
      <xdr:colOff>76200</xdr:colOff>
      <xdr:row>31</xdr:row>
      <xdr:rowOff>0</xdr:rowOff>
    </xdr:to>
    <xdr:sp macro="" textlink="">
      <xdr:nvSpPr>
        <xdr:cNvPr id="574" name="Text Box 2">
          <a:extLst>
            <a:ext uri="{FF2B5EF4-FFF2-40B4-BE49-F238E27FC236}">
              <a16:creationId xmlns:a16="http://schemas.microsoft.com/office/drawing/2014/main" id="{00000000-0008-0000-0300-00003E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30</xdr:row>
      <xdr:rowOff>0</xdr:rowOff>
    </xdr:from>
    <xdr:to>
      <xdr:col>4</xdr:col>
      <xdr:colOff>76200</xdr:colOff>
      <xdr:row>31</xdr:row>
      <xdr:rowOff>0</xdr:rowOff>
    </xdr:to>
    <xdr:sp macro="" textlink="">
      <xdr:nvSpPr>
        <xdr:cNvPr id="575" name="Text Box 1">
          <a:extLst>
            <a:ext uri="{FF2B5EF4-FFF2-40B4-BE49-F238E27FC236}">
              <a16:creationId xmlns:a16="http://schemas.microsoft.com/office/drawing/2014/main" id="{00000000-0008-0000-0300-00003F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30</xdr:row>
      <xdr:rowOff>0</xdr:rowOff>
    </xdr:from>
    <xdr:to>
      <xdr:col>4</xdr:col>
      <xdr:colOff>76200</xdr:colOff>
      <xdr:row>31</xdr:row>
      <xdr:rowOff>0</xdr:rowOff>
    </xdr:to>
    <xdr:sp macro="" textlink="">
      <xdr:nvSpPr>
        <xdr:cNvPr id="576" name="Text Box 1">
          <a:extLst>
            <a:ext uri="{FF2B5EF4-FFF2-40B4-BE49-F238E27FC236}">
              <a16:creationId xmlns:a16="http://schemas.microsoft.com/office/drawing/2014/main" id="{00000000-0008-0000-0300-000040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31</xdr:row>
      <xdr:rowOff>0</xdr:rowOff>
    </xdr:from>
    <xdr:to>
      <xdr:col>4</xdr:col>
      <xdr:colOff>76200</xdr:colOff>
      <xdr:row>32</xdr:row>
      <xdr:rowOff>0</xdr:rowOff>
    </xdr:to>
    <xdr:sp macro="" textlink="">
      <xdr:nvSpPr>
        <xdr:cNvPr id="577" name="Text Box 1">
          <a:extLst>
            <a:ext uri="{FF2B5EF4-FFF2-40B4-BE49-F238E27FC236}">
              <a16:creationId xmlns:a16="http://schemas.microsoft.com/office/drawing/2014/main" id="{00000000-0008-0000-0300-000041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31</xdr:row>
      <xdr:rowOff>0</xdr:rowOff>
    </xdr:from>
    <xdr:to>
      <xdr:col>4</xdr:col>
      <xdr:colOff>76200</xdr:colOff>
      <xdr:row>32</xdr:row>
      <xdr:rowOff>0</xdr:rowOff>
    </xdr:to>
    <xdr:sp macro="" textlink="">
      <xdr:nvSpPr>
        <xdr:cNvPr id="578" name="Text Box 2">
          <a:extLst>
            <a:ext uri="{FF2B5EF4-FFF2-40B4-BE49-F238E27FC236}">
              <a16:creationId xmlns:a16="http://schemas.microsoft.com/office/drawing/2014/main" id="{00000000-0008-0000-0300-000042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31</xdr:row>
      <xdr:rowOff>0</xdr:rowOff>
    </xdr:from>
    <xdr:to>
      <xdr:col>4</xdr:col>
      <xdr:colOff>76200</xdr:colOff>
      <xdr:row>32</xdr:row>
      <xdr:rowOff>0</xdr:rowOff>
    </xdr:to>
    <xdr:sp macro="" textlink="">
      <xdr:nvSpPr>
        <xdr:cNvPr id="579" name="Text Box 1">
          <a:extLst>
            <a:ext uri="{FF2B5EF4-FFF2-40B4-BE49-F238E27FC236}">
              <a16:creationId xmlns:a16="http://schemas.microsoft.com/office/drawing/2014/main" id="{00000000-0008-0000-0300-000043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31</xdr:row>
      <xdr:rowOff>0</xdr:rowOff>
    </xdr:from>
    <xdr:to>
      <xdr:col>4</xdr:col>
      <xdr:colOff>76200</xdr:colOff>
      <xdr:row>32</xdr:row>
      <xdr:rowOff>0</xdr:rowOff>
    </xdr:to>
    <xdr:sp macro="" textlink="">
      <xdr:nvSpPr>
        <xdr:cNvPr id="580" name="Text Box 1">
          <a:extLst>
            <a:ext uri="{FF2B5EF4-FFF2-40B4-BE49-F238E27FC236}">
              <a16:creationId xmlns:a16="http://schemas.microsoft.com/office/drawing/2014/main" id="{00000000-0008-0000-0300-000044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31</xdr:row>
      <xdr:rowOff>0</xdr:rowOff>
    </xdr:from>
    <xdr:to>
      <xdr:col>4</xdr:col>
      <xdr:colOff>76200</xdr:colOff>
      <xdr:row>32</xdr:row>
      <xdr:rowOff>0</xdr:rowOff>
    </xdr:to>
    <xdr:sp macro="" textlink="">
      <xdr:nvSpPr>
        <xdr:cNvPr id="581" name="Text Box 1">
          <a:extLst>
            <a:ext uri="{FF2B5EF4-FFF2-40B4-BE49-F238E27FC236}">
              <a16:creationId xmlns:a16="http://schemas.microsoft.com/office/drawing/2014/main" id="{00000000-0008-0000-0300-000045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31</xdr:row>
      <xdr:rowOff>0</xdr:rowOff>
    </xdr:from>
    <xdr:to>
      <xdr:col>4</xdr:col>
      <xdr:colOff>76200</xdr:colOff>
      <xdr:row>32</xdr:row>
      <xdr:rowOff>0</xdr:rowOff>
    </xdr:to>
    <xdr:sp macro="" textlink="">
      <xdr:nvSpPr>
        <xdr:cNvPr id="582" name="Text Box 2">
          <a:extLst>
            <a:ext uri="{FF2B5EF4-FFF2-40B4-BE49-F238E27FC236}">
              <a16:creationId xmlns:a16="http://schemas.microsoft.com/office/drawing/2014/main" id="{00000000-0008-0000-0300-000046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31</xdr:row>
      <xdr:rowOff>0</xdr:rowOff>
    </xdr:from>
    <xdr:to>
      <xdr:col>4</xdr:col>
      <xdr:colOff>76200</xdr:colOff>
      <xdr:row>32</xdr:row>
      <xdr:rowOff>0</xdr:rowOff>
    </xdr:to>
    <xdr:sp macro="" textlink="">
      <xdr:nvSpPr>
        <xdr:cNvPr id="583" name="Text Box 1">
          <a:extLst>
            <a:ext uri="{FF2B5EF4-FFF2-40B4-BE49-F238E27FC236}">
              <a16:creationId xmlns:a16="http://schemas.microsoft.com/office/drawing/2014/main" id="{00000000-0008-0000-0300-000047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31</xdr:row>
      <xdr:rowOff>0</xdr:rowOff>
    </xdr:from>
    <xdr:to>
      <xdr:col>4</xdr:col>
      <xdr:colOff>76200</xdr:colOff>
      <xdr:row>32</xdr:row>
      <xdr:rowOff>0</xdr:rowOff>
    </xdr:to>
    <xdr:sp macro="" textlink="">
      <xdr:nvSpPr>
        <xdr:cNvPr id="584" name="Text Box 1">
          <a:extLst>
            <a:ext uri="{FF2B5EF4-FFF2-40B4-BE49-F238E27FC236}">
              <a16:creationId xmlns:a16="http://schemas.microsoft.com/office/drawing/2014/main" id="{00000000-0008-0000-0300-000048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31</xdr:row>
      <xdr:rowOff>0</xdr:rowOff>
    </xdr:from>
    <xdr:to>
      <xdr:col>4</xdr:col>
      <xdr:colOff>76200</xdr:colOff>
      <xdr:row>32</xdr:row>
      <xdr:rowOff>0</xdr:rowOff>
    </xdr:to>
    <xdr:sp macro="" textlink="">
      <xdr:nvSpPr>
        <xdr:cNvPr id="585" name="Text Box 1">
          <a:extLst>
            <a:ext uri="{FF2B5EF4-FFF2-40B4-BE49-F238E27FC236}">
              <a16:creationId xmlns:a16="http://schemas.microsoft.com/office/drawing/2014/main" id="{00000000-0008-0000-0300-000049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31</xdr:row>
      <xdr:rowOff>0</xdr:rowOff>
    </xdr:from>
    <xdr:to>
      <xdr:col>4</xdr:col>
      <xdr:colOff>76200</xdr:colOff>
      <xdr:row>32</xdr:row>
      <xdr:rowOff>0</xdr:rowOff>
    </xdr:to>
    <xdr:sp macro="" textlink="">
      <xdr:nvSpPr>
        <xdr:cNvPr id="586" name="Text Box 2">
          <a:extLst>
            <a:ext uri="{FF2B5EF4-FFF2-40B4-BE49-F238E27FC236}">
              <a16:creationId xmlns:a16="http://schemas.microsoft.com/office/drawing/2014/main" id="{00000000-0008-0000-0300-00004A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31</xdr:row>
      <xdr:rowOff>0</xdr:rowOff>
    </xdr:from>
    <xdr:to>
      <xdr:col>4</xdr:col>
      <xdr:colOff>76200</xdr:colOff>
      <xdr:row>32</xdr:row>
      <xdr:rowOff>0</xdr:rowOff>
    </xdr:to>
    <xdr:sp macro="" textlink="">
      <xdr:nvSpPr>
        <xdr:cNvPr id="587" name="Text Box 1">
          <a:extLst>
            <a:ext uri="{FF2B5EF4-FFF2-40B4-BE49-F238E27FC236}">
              <a16:creationId xmlns:a16="http://schemas.microsoft.com/office/drawing/2014/main" id="{00000000-0008-0000-0300-00004B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31</xdr:row>
      <xdr:rowOff>0</xdr:rowOff>
    </xdr:from>
    <xdr:to>
      <xdr:col>4</xdr:col>
      <xdr:colOff>76200</xdr:colOff>
      <xdr:row>32</xdr:row>
      <xdr:rowOff>0</xdr:rowOff>
    </xdr:to>
    <xdr:sp macro="" textlink="">
      <xdr:nvSpPr>
        <xdr:cNvPr id="588" name="Text Box 1">
          <a:extLst>
            <a:ext uri="{FF2B5EF4-FFF2-40B4-BE49-F238E27FC236}">
              <a16:creationId xmlns:a16="http://schemas.microsoft.com/office/drawing/2014/main" id="{00000000-0008-0000-0300-00004C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31</xdr:row>
      <xdr:rowOff>0</xdr:rowOff>
    </xdr:from>
    <xdr:to>
      <xdr:col>4</xdr:col>
      <xdr:colOff>76200</xdr:colOff>
      <xdr:row>32</xdr:row>
      <xdr:rowOff>0</xdr:rowOff>
    </xdr:to>
    <xdr:sp macro="" textlink="">
      <xdr:nvSpPr>
        <xdr:cNvPr id="589" name="Text Box 1">
          <a:extLst>
            <a:ext uri="{FF2B5EF4-FFF2-40B4-BE49-F238E27FC236}">
              <a16:creationId xmlns:a16="http://schemas.microsoft.com/office/drawing/2014/main" id="{00000000-0008-0000-0300-00004D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31</xdr:row>
      <xdr:rowOff>0</xdr:rowOff>
    </xdr:from>
    <xdr:to>
      <xdr:col>4</xdr:col>
      <xdr:colOff>76200</xdr:colOff>
      <xdr:row>32</xdr:row>
      <xdr:rowOff>0</xdr:rowOff>
    </xdr:to>
    <xdr:sp macro="" textlink="">
      <xdr:nvSpPr>
        <xdr:cNvPr id="590" name="Text Box 2">
          <a:extLst>
            <a:ext uri="{FF2B5EF4-FFF2-40B4-BE49-F238E27FC236}">
              <a16:creationId xmlns:a16="http://schemas.microsoft.com/office/drawing/2014/main" id="{00000000-0008-0000-0300-00004E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31</xdr:row>
      <xdr:rowOff>0</xdr:rowOff>
    </xdr:from>
    <xdr:to>
      <xdr:col>4</xdr:col>
      <xdr:colOff>76200</xdr:colOff>
      <xdr:row>32</xdr:row>
      <xdr:rowOff>0</xdr:rowOff>
    </xdr:to>
    <xdr:sp macro="" textlink="">
      <xdr:nvSpPr>
        <xdr:cNvPr id="591" name="Text Box 1">
          <a:extLst>
            <a:ext uri="{FF2B5EF4-FFF2-40B4-BE49-F238E27FC236}">
              <a16:creationId xmlns:a16="http://schemas.microsoft.com/office/drawing/2014/main" id="{00000000-0008-0000-0300-00004F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31</xdr:row>
      <xdr:rowOff>0</xdr:rowOff>
    </xdr:from>
    <xdr:to>
      <xdr:col>4</xdr:col>
      <xdr:colOff>76200</xdr:colOff>
      <xdr:row>32</xdr:row>
      <xdr:rowOff>0</xdr:rowOff>
    </xdr:to>
    <xdr:sp macro="" textlink="">
      <xdr:nvSpPr>
        <xdr:cNvPr id="592" name="Text Box 1">
          <a:extLst>
            <a:ext uri="{FF2B5EF4-FFF2-40B4-BE49-F238E27FC236}">
              <a16:creationId xmlns:a16="http://schemas.microsoft.com/office/drawing/2014/main" id="{00000000-0008-0000-0300-000050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31</xdr:row>
      <xdr:rowOff>0</xdr:rowOff>
    </xdr:from>
    <xdr:to>
      <xdr:col>4</xdr:col>
      <xdr:colOff>76200</xdr:colOff>
      <xdr:row>32</xdr:row>
      <xdr:rowOff>0</xdr:rowOff>
    </xdr:to>
    <xdr:sp macro="" textlink="">
      <xdr:nvSpPr>
        <xdr:cNvPr id="593" name="Text Box 2">
          <a:extLst>
            <a:ext uri="{FF2B5EF4-FFF2-40B4-BE49-F238E27FC236}">
              <a16:creationId xmlns:a16="http://schemas.microsoft.com/office/drawing/2014/main" id="{00000000-0008-0000-0300-000051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31</xdr:row>
      <xdr:rowOff>0</xdr:rowOff>
    </xdr:from>
    <xdr:to>
      <xdr:col>4</xdr:col>
      <xdr:colOff>76200</xdr:colOff>
      <xdr:row>32</xdr:row>
      <xdr:rowOff>0</xdr:rowOff>
    </xdr:to>
    <xdr:sp macro="" textlink="">
      <xdr:nvSpPr>
        <xdr:cNvPr id="594" name="Text Box 1">
          <a:extLst>
            <a:ext uri="{FF2B5EF4-FFF2-40B4-BE49-F238E27FC236}">
              <a16:creationId xmlns:a16="http://schemas.microsoft.com/office/drawing/2014/main" id="{00000000-0008-0000-0300-000052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31</xdr:row>
      <xdr:rowOff>0</xdr:rowOff>
    </xdr:from>
    <xdr:to>
      <xdr:col>4</xdr:col>
      <xdr:colOff>76200</xdr:colOff>
      <xdr:row>32</xdr:row>
      <xdr:rowOff>0</xdr:rowOff>
    </xdr:to>
    <xdr:sp macro="" textlink="">
      <xdr:nvSpPr>
        <xdr:cNvPr id="595" name="Text Box 1">
          <a:extLst>
            <a:ext uri="{FF2B5EF4-FFF2-40B4-BE49-F238E27FC236}">
              <a16:creationId xmlns:a16="http://schemas.microsoft.com/office/drawing/2014/main" id="{00000000-0008-0000-0300-000053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31</xdr:row>
      <xdr:rowOff>0</xdr:rowOff>
    </xdr:from>
    <xdr:to>
      <xdr:col>4</xdr:col>
      <xdr:colOff>76200</xdr:colOff>
      <xdr:row>32</xdr:row>
      <xdr:rowOff>0</xdr:rowOff>
    </xdr:to>
    <xdr:sp macro="" textlink="">
      <xdr:nvSpPr>
        <xdr:cNvPr id="596" name="Text Box 1">
          <a:extLst>
            <a:ext uri="{FF2B5EF4-FFF2-40B4-BE49-F238E27FC236}">
              <a16:creationId xmlns:a16="http://schemas.microsoft.com/office/drawing/2014/main" id="{00000000-0008-0000-0300-000054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31</xdr:row>
      <xdr:rowOff>0</xdr:rowOff>
    </xdr:from>
    <xdr:to>
      <xdr:col>4</xdr:col>
      <xdr:colOff>76200</xdr:colOff>
      <xdr:row>32</xdr:row>
      <xdr:rowOff>0</xdr:rowOff>
    </xdr:to>
    <xdr:sp macro="" textlink="">
      <xdr:nvSpPr>
        <xdr:cNvPr id="597" name="Text Box 2">
          <a:extLst>
            <a:ext uri="{FF2B5EF4-FFF2-40B4-BE49-F238E27FC236}">
              <a16:creationId xmlns:a16="http://schemas.microsoft.com/office/drawing/2014/main" id="{00000000-0008-0000-0300-000055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31</xdr:row>
      <xdr:rowOff>0</xdr:rowOff>
    </xdr:from>
    <xdr:to>
      <xdr:col>4</xdr:col>
      <xdr:colOff>76200</xdr:colOff>
      <xdr:row>32</xdr:row>
      <xdr:rowOff>0</xdr:rowOff>
    </xdr:to>
    <xdr:sp macro="" textlink="">
      <xdr:nvSpPr>
        <xdr:cNvPr id="598" name="Text Box 1">
          <a:extLst>
            <a:ext uri="{FF2B5EF4-FFF2-40B4-BE49-F238E27FC236}">
              <a16:creationId xmlns:a16="http://schemas.microsoft.com/office/drawing/2014/main" id="{00000000-0008-0000-0300-000056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31</xdr:row>
      <xdr:rowOff>0</xdr:rowOff>
    </xdr:from>
    <xdr:to>
      <xdr:col>4</xdr:col>
      <xdr:colOff>76200</xdr:colOff>
      <xdr:row>32</xdr:row>
      <xdr:rowOff>0</xdr:rowOff>
    </xdr:to>
    <xdr:sp macro="" textlink="">
      <xdr:nvSpPr>
        <xdr:cNvPr id="599" name="Text Box 1">
          <a:extLst>
            <a:ext uri="{FF2B5EF4-FFF2-40B4-BE49-F238E27FC236}">
              <a16:creationId xmlns:a16="http://schemas.microsoft.com/office/drawing/2014/main" id="{00000000-0008-0000-0300-000057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32</xdr:row>
      <xdr:rowOff>0</xdr:rowOff>
    </xdr:from>
    <xdr:to>
      <xdr:col>4</xdr:col>
      <xdr:colOff>76200</xdr:colOff>
      <xdr:row>33</xdr:row>
      <xdr:rowOff>0</xdr:rowOff>
    </xdr:to>
    <xdr:sp macro="" textlink="">
      <xdr:nvSpPr>
        <xdr:cNvPr id="600" name="Text Box 1">
          <a:extLst>
            <a:ext uri="{FF2B5EF4-FFF2-40B4-BE49-F238E27FC236}">
              <a16:creationId xmlns:a16="http://schemas.microsoft.com/office/drawing/2014/main" id="{00000000-0008-0000-0300-000058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32</xdr:row>
      <xdr:rowOff>0</xdr:rowOff>
    </xdr:from>
    <xdr:to>
      <xdr:col>4</xdr:col>
      <xdr:colOff>76200</xdr:colOff>
      <xdr:row>33</xdr:row>
      <xdr:rowOff>0</xdr:rowOff>
    </xdr:to>
    <xdr:sp macro="" textlink="">
      <xdr:nvSpPr>
        <xdr:cNvPr id="601" name="Text Box 2">
          <a:extLst>
            <a:ext uri="{FF2B5EF4-FFF2-40B4-BE49-F238E27FC236}">
              <a16:creationId xmlns:a16="http://schemas.microsoft.com/office/drawing/2014/main" id="{00000000-0008-0000-0300-000059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32</xdr:row>
      <xdr:rowOff>0</xdr:rowOff>
    </xdr:from>
    <xdr:to>
      <xdr:col>4</xdr:col>
      <xdr:colOff>76200</xdr:colOff>
      <xdr:row>33</xdr:row>
      <xdr:rowOff>0</xdr:rowOff>
    </xdr:to>
    <xdr:sp macro="" textlink="">
      <xdr:nvSpPr>
        <xdr:cNvPr id="602" name="Text Box 1">
          <a:extLst>
            <a:ext uri="{FF2B5EF4-FFF2-40B4-BE49-F238E27FC236}">
              <a16:creationId xmlns:a16="http://schemas.microsoft.com/office/drawing/2014/main" id="{00000000-0008-0000-0300-00005A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32</xdr:row>
      <xdr:rowOff>0</xdr:rowOff>
    </xdr:from>
    <xdr:to>
      <xdr:col>4</xdr:col>
      <xdr:colOff>76200</xdr:colOff>
      <xdr:row>33</xdr:row>
      <xdr:rowOff>0</xdr:rowOff>
    </xdr:to>
    <xdr:sp macro="" textlink="">
      <xdr:nvSpPr>
        <xdr:cNvPr id="603" name="Text Box 1">
          <a:extLst>
            <a:ext uri="{FF2B5EF4-FFF2-40B4-BE49-F238E27FC236}">
              <a16:creationId xmlns:a16="http://schemas.microsoft.com/office/drawing/2014/main" id="{00000000-0008-0000-0300-00005B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32</xdr:row>
      <xdr:rowOff>0</xdr:rowOff>
    </xdr:from>
    <xdr:to>
      <xdr:col>4</xdr:col>
      <xdr:colOff>76200</xdr:colOff>
      <xdr:row>33</xdr:row>
      <xdr:rowOff>0</xdr:rowOff>
    </xdr:to>
    <xdr:sp macro="" textlink="">
      <xdr:nvSpPr>
        <xdr:cNvPr id="604" name="Text Box 1">
          <a:extLst>
            <a:ext uri="{FF2B5EF4-FFF2-40B4-BE49-F238E27FC236}">
              <a16:creationId xmlns:a16="http://schemas.microsoft.com/office/drawing/2014/main" id="{00000000-0008-0000-0300-00005C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32</xdr:row>
      <xdr:rowOff>0</xdr:rowOff>
    </xdr:from>
    <xdr:to>
      <xdr:col>4</xdr:col>
      <xdr:colOff>76200</xdr:colOff>
      <xdr:row>33</xdr:row>
      <xdr:rowOff>0</xdr:rowOff>
    </xdr:to>
    <xdr:sp macro="" textlink="">
      <xdr:nvSpPr>
        <xdr:cNvPr id="605" name="Text Box 2">
          <a:extLst>
            <a:ext uri="{FF2B5EF4-FFF2-40B4-BE49-F238E27FC236}">
              <a16:creationId xmlns:a16="http://schemas.microsoft.com/office/drawing/2014/main" id="{00000000-0008-0000-0300-00005D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32</xdr:row>
      <xdr:rowOff>0</xdr:rowOff>
    </xdr:from>
    <xdr:to>
      <xdr:col>4</xdr:col>
      <xdr:colOff>76200</xdr:colOff>
      <xdr:row>33</xdr:row>
      <xdr:rowOff>0</xdr:rowOff>
    </xdr:to>
    <xdr:sp macro="" textlink="">
      <xdr:nvSpPr>
        <xdr:cNvPr id="606" name="Text Box 1">
          <a:extLst>
            <a:ext uri="{FF2B5EF4-FFF2-40B4-BE49-F238E27FC236}">
              <a16:creationId xmlns:a16="http://schemas.microsoft.com/office/drawing/2014/main" id="{00000000-0008-0000-0300-00005E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32</xdr:row>
      <xdr:rowOff>0</xdr:rowOff>
    </xdr:from>
    <xdr:to>
      <xdr:col>4</xdr:col>
      <xdr:colOff>76200</xdr:colOff>
      <xdr:row>33</xdr:row>
      <xdr:rowOff>0</xdr:rowOff>
    </xdr:to>
    <xdr:sp macro="" textlink="">
      <xdr:nvSpPr>
        <xdr:cNvPr id="607" name="Text Box 1">
          <a:extLst>
            <a:ext uri="{FF2B5EF4-FFF2-40B4-BE49-F238E27FC236}">
              <a16:creationId xmlns:a16="http://schemas.microsoft.com/office/drawing/2014/main" id="{00000000-0008-0000-0300-00005F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32</xdr:row>
      <xdr:rowOff>0</xdr:rowOff>
    </xdr:from>
    <xdr:to>
      <xdr:col>4</xdr:col>
      <xdr:colOff>76200</xdr:colOff>
      <xdr:row>33</xdr:row>
      <xdr:rowOff>0</xdr:rowOff>
    </xdr:to>
    <xdr:sp macro="" textlink="">
      <xdr:nvSpPr>
        <xdr:cNvPr id="608" name="Text Box 1">
          <a:extLst>
            <a:ext uri="{FF2B5EF4-FFF2-40B4-BE49-F238E27FC236}">
              <a16:creationId xmlns:a16="http://schemas.microsoft.com/office/drawing/2014/main" id="{00000000-0008-0000-0300-000060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32</xdr:row>
      <xdr:rowOff>0</xdr:rowOff>
    </xdr:from>
    <xdr:to>
      <xdr:col>4</xdr:col>
      <xdr:colOff>76200</xdr:colOff>
      <xdr:row>33</xdr:row>
      <xdr:rowOff>0</xdr:rowOff>
    </xdr:to>
    <xdr:sp macro="" textlink="">
      <xdr:nvSpPr>
        <xdr:cNvPr id="609" name="Text Box 2">
          <a:extLst>
            <a:ext uri="{FF2B5EF4-FFF2-40B4-BE49-F238E27FC236}">
              <a16:creationId xmlns:a16="http://schemas.microsoft.com/office/drawing/2014/main" id="{00000000-0008-0000-0300-000061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32</xdr:row>
      <xdr:rowOff>0</xdr:rowOff>
    </xdr:from>
    <xdr:to>
      <xdr:col>4</xdr:col>
      <xdr:colOff>76200</xdr:colOff>
      <xdr:row>33</xdr:row>
      <xdr:rowOff>0</xdr:rowOff>
    </xdr:to>
    <xdr:sp macro="" textlink="">
      <xdr:nvSpPr>
        <xdr:cNvPr id="610" name="Text Box 1">
          <a:extLst>
            <a:ext uri="{FF2B5EF4-FFF2-40B4-BE49-F238E27FC236}">
              <a16:creationId xmlns:a16="http://schemas.microsoft.com/office/drawing/2014/main" id="{00000000-0008-0000-0300-000062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32</xdr:row>
      <xdr:rowOff>0</xdr:rowOff>
    </xdr:from>
    <xdr:to>
      <xdr:col>4</xdr:col>
      <xdr:colOff>76200</xdr:colOff>
      <xdr:row>33</xdr:row>
      <xdr:rowOff>0</xdr:rowOff>
    </xdr:to>
    <xdr:sp macro="" textlink="">
      <xdr:nvSpPr>
        <xdr:cNvPr id="611" name="Text Box 1">
          <a:extLst>
            <a:ext uri="{FF2B5EF4-FFF2-40B4-BE49-F238E27FC236}">
              <a16:creationId xmlns:a16="http://schemas.microsoft.com/office/drawing/2014/main" id="{00000000-0008-0000-0300-000063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32</xdr:row>
      <xdr:rowOff>0</xdr:rowOff>
    </xdr:from>
    <xdr:to>
      <xdr:col>4</xdr:col>
      <xdr:colOff>76200</xdr:colOff>
      <xdr:row>33</xdr:row>
      <xdr:rowOff>0</xdr:rowOff>
    </xdr:to>
    <xdr:sp macro="" textlink="">
      <xdr:nvSpPr>
        <xdr:cNvPr id="612" name="Text Box 1">
          <a:extLst>
            <a:ext uri="{FF2B5EF4-FFF2-40B4-BE49-F238E27FC236}">
              <a16:creationId xmlns:a16="http://schemas.microsoft.com/office/drawing/2014/main" id="{00000000-0008-0000-0300-000064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32</xdr:row>
      <xdr:rowOff>0</xdr:rowOff>
    </xdr:from>
    <xdr:to>
      <xdr:col>4</xdr:col>
      <xdr:colOff>76200</xdr:colOff>
      <xdr:row>33</xdr:row>
      <xdr:rowOff>0</xdr:rowOff>
    </xdr:to>
    <xdr:sp macro="" textlink="">
      <xdr:nvSpPr>
        <xdr:cNvPr id="613" name="Text Box 2">
          <a:extLst>
            <a:ext uri="{FF2B5EF4-FFF2-40B4-BE49-F238E27FC236}">
              <a16:creationId xmlns:a16="http://schemas.microsoft.com/office/drawing/2014/main" id="{00000000-0008-0000-0300-000065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32</xdr:row>
      <xdr:rowOff>0</xdr:rowOff>
    </xdr:from>
    <xdr:to>
      <xdr:col>4</xdr:col>
      <xdr:colOff>76200</xdr:colOff>
      <xdr:row>33</xdr:row>
      <xdr:rowOff>0</xdr:rowOff>
    </xdr:to>
    <xdr:sp macro="" textlink="">
      <xdr:nvSpPr>
        <xdr:cNvPr id="614" name="Text Box 1">
          <a:extLst>
            <a:ext uri="{FF2B5EF4-FFF2-40B4-BE49-F238E27FC236}">
              <a16:creationId xmlns:a16="http://schemas.microsoft.com/office/drawing/2014/main" id="{00000000-0008-0000-0300-000066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32</xdr:row>
      <xdr:rowOff>0</xdr:rowOff>
    </xdr:from>
    <xdr:to>
      <xdr:col>4</xdr:col>
      <xdr:colOff>76200</xdr:colOff>
      <xdr:row>33</xdr:row>
      <xdr:rowOff>0</xdr:rowOff>
    </xdr:to>
    <xdr:sp macro="" textlink="">
      <xdr:nvSpPr>
        <xdr:cNvPr id="615" name="Text Box 1">
          <a:extLst>
            <a:ext uri="{FF2B5EF4-FFF2-40B4-BE49-F238E27FC236}">
              <a16:creationId xmlns:a16="http://schemas.microsoft.com/office/drawing/2014/main" id="{00000000-0008-0000-0300-000067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32</xdr:row>
      <xdr:rowOff>0</xdr:rowOff>
    </xdr:from>
    <xdr:to>
      <xdr:col>4</xdr:col>
      <xdr:colOff>76200</xdr:colOff>
      <xdr:row>33</xdr:row>
      <xdr:rowOff>0</xdr:rowOff>
    </xdr:to>
    <xdr:sp macro="" textlink="">
      <xdr:nvSpPr>
        <xdr:cNvPr id="616" name="Text Box 2">
          <a:extLst>
            <a:ext uri="{FF2B5EF4-FFF2-40B4-BE49-F238E27FC236}">
              <a16:creationId xmlns:a16="http://schemas.microsoft.com/office/drawing/2014/main" id="{00000000-0008-0000-0300-000068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32</xdr:row>
      <xdr:rowOff>0</xdr:rowOff>
    </xdr:from>
    <xdr:to>
      <xdr:col>4</xdr:col>
      <xdr:colOff>76200</xdr:colOff>
      <xdr:row>33</xdr:row>
      <xdr:rowOff>0</xdr:rowOff>
    </xdr:to>
    <xdr:sp macro="" textlink="">
      <xdr:nvSpPr>
        <xdr:cNvPr id="617" name="Text Box 1">
          <a:extLst>
            <a:ext uri="{FF2B5EF4-FFF2-40B4-BE49-F238E27FC236}">
              <a16:creationId xmlns:a16="http://schemas.microsoft.com/office/drawing/2014/main" id="{00000000-0008-0000-0300-000069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32</xdr:row>
      <xdr:rowOff>0</xdr:rowOff>
    </xdr:from>
    <xdr:to>
      <xdr:col>4</xdr:col>
      <xdr:colOff>76200</xdr:colOff>
      <xdr:row>33</xdr:row>
      <xdr:rowOff>0</xdr:rowOff>
    </xdr:to>
    <xdr:sp macro="" textlink="">
      <xdr:nvSpPr>
        <xdr:cNvPr id="618" name="Text Box 1">
          <a:extLst>
            <a:ext uri="{FF2B5EF4-FFF2-40B4-BE49-F238E27FC236}">
              <a16:creationId xmlns:a16="http://schemas.microsoft.com/office/drawing/2014/main" id="{00000000-0008-0000-0300-00006A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32</xdr:row>
      <xdr:rowOff>0</xdr:rowOff>
    </xdr:from>
    <xdr:to>
      <xdr:col>4</xdr:col>
      <xdr:colOff>76200</xdr:colOff>
      <xdr:row>33</xdr:row>
      <xdr:rowOff>0</xdr:rowOff>
    </xdr:to>
    <xdr:sp macro="" textlink="">
      <xdr:nvSpPr>
        <xdr:cNvPr id="619" name="Text Box 1">
          <a:extLst>
            <a:ext uri="{FF2B5EF4-FFF2-40B4-BE49-F238E27FC236}">
              <a16:creationId xmlns:a16="http://schemas.microsoft.com/office/drawing/2014/main" id="{00000000-0008-0000-0300-00006B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32</xdr:row>
      <xdr:rowOff>0</xdr:rowOff>
    </xdr:from>
    <xdr:to>
      <xdr:col>4</xdr:col>
      <xdr:colOff>76200</xdr:colOff>
      <xdr:row>33</xdr:row>
      <xdr:rowOff>0</xdr:rowOff>
    </xdr:to>
    <xdr:sp macro="" textlink="">
      <xdr:nvSpPr>
        <xdr:cNvPr id="620" name="Text Box 2">
          <a:extLst>
            <a:ext uri="{FF2B5EF4-FFF2-40B4-BE49-F238E27FC236}">
              <a16:creationId xmlns:a16="http://schemas.microsoft.com/office/drawing/2014/main" id="{00000000-0008-0000-0300-00006C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32</xdr:row>
      <xdr:rowOff>0</xdr:rowOff>
    </xdr:from>
    <xdr:to>
      <xdr:col>4</xdr:col>
      <xdr:colOff>76200</xdr:colOff>
      <xdr:row>33</xdr:row>
      <xdr:rowOff>0</xdr:rowOff>
    </xdr:to>
    <xdr:sp macro="" textlink="">
      <xdr:nvSpPr>
        <xdr:cNvPr id="621" name="Text Box 1">
          <a:extLst>
            <a:ext uri="{FF2B5EF4-FFF2-40B4-BE49-F238E27FC236}">
              <a16:creationId xmlns:a16="http://schemas.microsoft.com/office/drawing/2014/main" id="{00000000-0008-0000-0300-00006D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32</xdr:row>
      <xdr:rowOff>0</xdr:rowOff>
    </xdr:from>
    <xdr:to>
      <xdr:col>4</xdr:col>
      <xdr:colOff>76200</xdr:colOff>
      <xdr:row>33</xdr:row>
      <xdr:rowOff>0</xdr:rowOff>
    </xdr:to>
    <xdr:sp macro="" textlink="">
      <xdr:nvSpPr>
        <xdr:cNvPr id="622" name="Text Box 1">
          <a:extLst>
            <a:ext uri="{FF2B5EF4-FFF2-40B4-BE49-F238E27FC236}">
              <a16:creationId xmlns:a16="http://schemas.microsoft.com/office/drawing/2014/main" id="{00000000-0008-0000-0300-00006E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33</xdr:row>
      <xdr:rowOff>0</xdr:rowOff>
    </xdr:from>
    <xdr:to>
      <xdr:col>4</xdr:col>
      <xdr:colOff>76200</xdr:colOff>
      <xdr:row>34</xdr:row>
      <xdr:rowOff>0</xdr:rowOff>
    </xdr:to>
    <xdr:sp macro="" textlink="">
      <xdr:nvSpPr>
        <xdr:cNvPr id="623" name="Text Box 1">
          <a:extLst>
            <a:ext uri="{FF2B5EF4-FFF2-40B4-BE49-F238E27FC236}">
              <a16:creationId xmlns:a16="http://schemas.microsoft.com/office/drawing/2014/main" id="{00000000-0008-0000-0300-00006F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33</xdr:row>
      <xdr:rowOff>0</xdr:rowOff>
    </xdr:from>
    <xdr:to>
      <xdr:col>4</xdr:col>
      <xdr:colOff>76200</xdr:colOff>
      <xdr:row>34</xdr:row>
      <xdr:rowOff>0</xdr:rowOff>
    </xdr:to>
    <xdr:sp macro="" textlink="">
      <xdr:nvSpPr>
        <xdr:cNvPr id="624" name="Text Box 2">
          <a:extLst>
            <a:ext uri="{FF2B5EF4-FFF2-40B4-BE49-F238E27FC236}">
              <a16:creationId xmlns:a16="http://schemas.microsoft.com/office/drawing/2014/main" id="{00000000-0008-0000-0300-000070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33</xdr:row>
      <xdr:rowOff>0</xdr:rowOff>
    </xdr:from>
    <xdr:to>
      <xdr:col>4</xdr:col>
      <xdr:colOff>76200</xdr:colOff>
      <xdr:row>34</xdr:row>
      <xdr:rowOff>0</xdr:rowOff>
    </xdr:to>
    <xdr:sp macro="" textlink="">
      <xdr:nvSpPr>
        <xdr:cNvPr id="625" name="Text Box 1">
          <a:extLst>
            <a:ext uri="{FF2B5EF4-FFF2-40B4-BE49-F238E27FC236}">
              <a16:creationId xmlns:a16="http://schemas.microsoft.com/office/drawing/2014/main" id="{00000000-0008-0000-0300-000071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33</xdr:row>
      <xdr:rowOff>0</xdr:rowOff>
    </xdr:from>
    <xdr:to>
      <xdr:col>4</xdr:col>
      <xdr:colOff>76200</xdr:colOff>
      <xdr:row>34</xdr:row>
      <xdr:rowOff>0</xdr:rowOff>
    </xdr:to>
    <xdr:sp macro="" textlink="">
      <xdr:nvSpPr>
        <xdr:cNvPr id="626" name="Text Box 1">
          <a:extLst>
            <a:ext uri="{FF2B5EF4-FFF2-40B4-BE49-F238E27FC236}">
              <a16:creationId xmlns:a16="http://schemas.microsoft.com/office/drawing/2014/main" id="{00000000-0008-0000-0300-000072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33</xdr:row>
      <xdr:rowOff>0</xdr:rowOff>
    </xdr:from>
    <xdr:to>
      <xdr:col>4</xdr:col>
      <xdr:colOff>76200</xdr:colOff>
      <xdr:row>34</xdr:row>
      <xdr:rowOff>0</xdr:rowOff>
    </xdr:to>
    <xdr:sp macro="" textlink="">
      <xdr:nvSpPr>
        <xdr:cNvPr id="627" name="Text Box 1">
          <a:extLst>
            <a:ext uri="{FF2B5EF4-FFF2-40B4-BE49-F238E27FC236}">
              <a16:creationId xmlns:a16="http://schemas.microsoft.com/office/drawing/2014/main" id="{00000000-0008-0000-0300-000073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33</xdr:row>
      <xdr:rowOff>0</xdr:rowOff>
    </xdr:from>
    <xdr:to>
      <xdr:col>4</xdr:col>
      <xdr:colOff>76200</xdr:colOff>
      <xdr:row>34</xdr:row>
      <xdr:rowOff>0</xdr:rowOff>
    </xdr:to>
    <xdr:sp macro="" textlink="">
      <xdr:nvSpPr>
        <xdr:cNvPr id="628" name="Text Box 2">
          <a:extLst>
            <a:ext uri="{FF2B5EF4-FFF2-40B4-BE49-F238E27FC236}">
              <a16:creationId xmlns:a16="http://schemas.microsoft.com/office/drawing/2014/main" id="{00000000-0008-0000-0300-000074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33</xdr:row>
      <xdr:rowOff>0</xdr:rowOff>
    </xdr:from>
    <xdr:to>
      <xdr:col>4</xdr:col>
      <xdr:colOff>76200</xdr:colOff>
      <xdr:row>34</xdr:row>
      <xdr:rowOff>0</xdr:rowOff>
    </xdr:to>
    <xdr:sp macro="" textlink="">
      <xdr:nvSpPr>
        <xdr:cNvPr id="629" name="Text Box 1">
          <a:extLst>
            <a:ext uri="{FF2B5EF4-FFF2-40B4-BE49-F238E27FC236}">
              <a16:creationId xmlns:a16="http://schemas.microsoft.com/office/drawing/2014/main" id="{00000000-0008-0000-0300-000075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33</xdr:row>
      <xdr:rowOff>0</xdr:rowOff>
    </xdr:from>
    <xdr:to>
      <xdr:col>4</xdr:col>
      <xdr:colOff>76200</xdr:colOff>
      <xdr:row>34</xdr:row>
      <xdr:rowOff>0</xdr:rowOff>
    </xdr:to>
    <xdr:sp macro="" textlink="">
      <xdr:nvSpPr>
        <xdr:cNvPr id="630" name="Text Box 1">
          <a:extLst>
            <a:ext uri="{FF2B5EF4-FFF2-40B4-BE49-F238E27FC236}">
              <a16:creationId xmlns:a16="http://schemas.microsoft.com/office/drawing/2014/main" id="{00000000-0008-0000-0300-000076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33</xdr:row>
      <xdr:rowOff>0</xdr:rowOff>
    </xdr:from>
    <xdr:to>
      <xdr:col>4</xdr:col>
      <xdr:colOff>76200</xdr:colOff>
      <xdr:row>34</xdr:row>
      <xdr:rowOff>0</xdr:rowOff>
    </xdr:to>
    <xdr:sp macro="" textlink="">
      <xdr:nvSpPr>
        <xdr:cNvPr id="631" name="Text Box 1">
          <a:extLst>
            <a:ext uri="{FF2B5EF4-FFF2-40B4-BE49-F238E27FC236}">
              <a16:creationId xmlns:a16="http://schemas.microsoft.com/office/drawing/2014/main" id="{00000000-0008-0000-0300-000077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33</xdr:row>
      <xdr:rowOff>0</xdr:rowOff>
    </xdr:from>
    <xdr:to>
      <xdr:col>4</xdr:col>
      <xdr:colOff>76200</xdr:colOff>
      <xdr:row>34</xdr:row>
      <xdr:rowOff>0</xdr:rowOff>
    </xdr:to>
    <xdr:sp macro="" textlink="">
      <xdr:nvSpPr>
        <xdr:cNvPr id="632" name="Text Box 2">
          <a:extLst>
            <a:ext uri="{FF2B5EF4-FFF2-40B4-BE49-F238E27FC236}">
              <a16:creationId xmlns:a16="http://schemas.microsoft.com/office/drawing/2014/main" id="{00000000-0008-0000-0300-000078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33</xdr:row>
      <xdr:rowOff>0</xdr:rowOff>
    </xdr:from>
    <xdr:to>
      <xdr:col>4</xdr:col>
      <xdr:colOff>76200</xdr:colOff>
      <xdr:row>34</xdr:row>
      <xdr:rowOff>0</xdr:rowOff>
    </xdr:to>
    <xdr:sp macro="" textlink="">
      <xdr:nvSpPr>
        <xdr:cNvPr id="633" name="Text Box 1">
          <a:extLst>
            <a:ext uri="{FF2B5EF4-FFF2-40B4-BE49-F238E27FC236}">
              <a16:creationId xmlns:a16="http://schemas.microsoft.com/office/drawing/2014/main" id="{00000000-0008-0000-0300-000079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33</xdr:row>
      <xdr:rowOff>0</xdr:rowOff>
    </xdr:from>
    <xdr:to>
      <xdr:col>4</xdr:col>
      <xdr:colOff>76200</xdr:colOff>
      <xdr:row>34</xdr:row>
      <xdr:rowOff>0</xdr:rowOff>
    </xdr:to>
    <xdr:sp macro="" textlink="">
      <xdr:nvSpPr>
        <xdr:cNvPr id="634" name="Text Box 1">
          <a:extLst>
            <a:ext uri="{FF2B5EF4-FFF2-40B4-BE49-F238E27FC236}">
              <a16:creationId xmlns:a16="http://schemas.microsoft.com/office/drawing/2014/main" id="{00000000-0008-0000-0300-00007A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33</xdr:row>
      <xdr:rowOff>0</xdr:rowOff>
    </xdr:from>
    <xdr:to>
      <xdr:col>4</xdr:col>
      <xdr:colOff>76200</xdr:colOff>
      <xdr:row>34</xdr:row>
      <xdr:rowOff>0</xdr:rowOff>
    </xdr:to>
    <xdr:sp macro="" textlink="">
      <xdr:nvSpPr>
        <xdr:cNvPr id="635" name="Text Box 1">
          <a:extLst>
            <a:ext uri="{FF2B5EF4-FFF2-40B4-BE49-F238E27FC236}">
              <a16:creationId xmlns:a16="http://schemas.microsoft.com/office/drawing/2014/main" id="{00000000-0008-0000-0300-00007B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33</xdr:row>
      <xdr:rowOff>0</xdr:rowOff>
    </xdr:from>
    <xdr:to>
      <xdr:col>4</xdr:col>
      <xdr:colOff>76200</xdr:colOff>
      <xdr:row>34</xdr:row>
      <xdr:rowOff>0</xdr:rowOff>
    </xdr:to>
    <xdr:sp macro="" textlink="">
      <xdr:nvSpPr>
        <xdr:cNvPr id="636" name="Text Box 2">
          <a:extLst>
            <a:ext uri="{FF2B5EF4-FFF2-40B4-BE49-F238E27FC236}">
              <a16:creationId xmlns:a16="http://schemas.microsoft.com/office/drawing/2014/main" id="{00000000-0008-0000-0300-00007C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33</xdr:row>
      <xdr:rowOff>0</xdr:rowOff>
    </xdr:from>
    <xdr:to>
      <xdr:col>4</xdr:col>
      <xdr:colOff>76200</xdr:colOff>
      <xdr:row>34</xdr:row>
      <xdr:rowOff>0</xdr:rowOff>
    </xdr:to>
    <xdr:sp macro="" textlink="">
      <xdr:nvSpPr>
        <xdr:cNvPr id="637" name="Text Box 1">
          <a:extLst>
            <a:ext uri="{FF2B5EF4-FFF2-40B4-BE49-F238E27FC236}">
              <a16:creationId xmlns:a16="http://schemas.microsoft.com/office/drawing/2014/main" id="{00000000-0008-0000-0300-00007D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33</xdr:row>
      <xdr:rowOff>0</xdr:rowOff>
    </xdr:from>
    <xdr:to>
      <xdr:col>4</xdr:col>
      <xdr:colOff>76200</xdr:colOff>
      <xdr:row>34</xdr:row>
      <xdr:rowOff>0</xdr:rowOff>
    </xdr:to>
    <xdr:sp macro="" textlink="">
      <xdr:nvSpPr>
        <xdr:cNvPr id="638" name="Text Box 1">
          <a:extLst>
            <a:ext uri="{FF2B5EF4-FFF2-40B4-BE49-F238E27FC236}">
              <a16:creationId xmlns:a16="http://schemas.microsoft.com/office/drawing/2014/main" id="{00000000-0008-0000-0300-00007E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33</xdr:row>
      <xdr:rowOff>0</xdr:rowOff>
    </xdr:from>
    <xdr:to>
      <xdr:col>4</xdr:col>
      <xdr:colOff>76200</xdr:colOff>
      <xdr:row>34</xdr:row>
      <xdr:rowOff>0</xdr:rowOff>
    </xdr:to>
    <xdr:sp macro="" textlink="">
      <xdr:nvSpPr>
        <xdr:cNvPr id="639" name="Text Box 2">
          <a:extLst>
            <a:ext uri="{FF2B5EF4-FFF2-40B4-BE49-F238E27FC236}">
              <a16:creationId xmlns:a16="http://schemas.microsoft.com/office/drawing/2014/main" id="{00000000-0008-0000-0300-00007F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33</xdr:row>
      <xdr:rowOff>0</xdr:rowOff>
    </xdr:from>
    <xdr:to>
      <xdr:col>4</xdr:col>
      <xdr:colOff>76200</xdr:colOff>
      <xdr:row>34</xdr:row>
      <xdr:rowOff>0</xdr:rowOff>
    </xdr:to>
    <xdr:sp macro="" textlink="">
      <xdr:nvSpPr>
        <xdr:cNvPr id="640" name="Text Box 1">
          <a:extLst>
            <a:ext uri="{FF2B5EF4-FFF2-40B4-BE49-F238E27FC236}">
              <a16:creationId xmlns:a16="http://schemas.microsoft.com/office/drawing/2014/main" id="{00000000-0008-0000-0300-000080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33</xdr:row>
      <xdr:rowOff>0</xdr:rowOff>
    </xdr:from>
    <xdr:to>
      <xdr:col>4</xdr:col>
      <xdr:colOff>76200</xdr:colOff>
      <xdr:row>34</xdr:row>
      <xdr:rowOff>0</xdr:rowOff>
    </xdr:to>
    <xdr:sp macro="" textlink="">
      <xdr:nvSpPr>
        <xdr:cNvPr id="641" name="Text Box 1">
          <a:extLst>
            <a:ext uri="{FF2B5EF4-FFF2-40B4-BE49-F238E27FC236}">
              <a16:creationId xmlns:a16="http://schemas.microsoft.com/office/drawing/2014/main" id="{00000000-0008-0000-0300-000081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33</xdr:row>
      <xdr:rowOff>0</xdr:rowOff>
    </xdr:from>
    <xdr:to>
      <xdr:col>4</xdr:col>
      <xdr:colOff>76200</xdr:colOff>
      <xdr:row>34</xdr:row>
      <xdr:rowOff>0</xdr:rowOff>
    </xdr:to>
    <xdr:sp macro="" textlink="">
      <xdr:nvSpPr>
        <xdr:cNvPr id="642" name="Text Box 1">
          <a:extLst>
            <a:ext uri="{FF2B5EF4-FFF2-40B4-BE49-F238E27FC236}">
              <a16:creationId xmlns:a16="http://schemas.microsoft.com/office/drawing/2014/main" id="{00000000-0008-0000-0300-000082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33</xdr:row>
      <xdr:rowOff>0</xdr:rowOff>
    </xdr:from>
    <xdr:to>
      <xdr:col>4</xdr:col>
      <xdr:colOff>76200</xdr:colOff>
      <xdr:row>34</xdr:row>
      <xdr:rowOff>0</xdr:rowOff>
    </xdr:to>
    <xdr:sp macro="" textlink="">
      <xdr:nvSpPr>
        <xdr:cNvPr id="643" name="Text Box 2">
          <a:extLst>
            <a:ext uri="{FF2B5EF4-FFF2-40B4-BE49-F238E27FC236}">
              <a16:creationId xmlns:a16="http://schemas.microsoft.com/office/drawing/2014/main" id="{00000000-0008-0000-0300-000083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33</xdr:row>
      <xdr:rowOff>0</xdr:rowOff>
    </xdr:from>
    <xdr:to>
      <xdr:col>4</xdr:col>
      <xdr:colOff>76200</xdr:colOff>
      <xdr:row>34</xdr:row>
      <xdr:rowOff>0</xdr:rowOff>
    </xdr:to>
    <xdr:sp macro="" textlink="">
      <xdr:nvSpPr>
        <xdr:cNvPr id="644" name="Text Box 1">
          <a:extLst>
            <a:ext uri="{FF2B5EF4-FFF2-40B4-BE49-F238E27FC236}">
              <a16:creationId xmlns:a16="http://schemas.microsoft.com/office/drawing/2014/main" id="{00000000-0008-0000-0300-000084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33</xdr:row>
      <xdr:rowOff>0</xdr:rowOff>
    </xdr:from>
    <xdr:to>
      <xdr:col>4</xdr:col>
      <xdr:colOff>76200</xdr:colOff>
      <xdr:row>34</xdr:row>
      <xdr:rowOff>0</xdr:rowOff>
    </xdr:to>
    <xdr:sp macro="" textlink="">
      <xdr:nvSpPr>
        <xdr:cNvPr id="645" name="Text Box 1">
          <a:extLst>
            <a:ext uri="{FF2B5EF4-FFF2-40B4-BE49-F238E27FC236}">
              <a16:creationId xmlns:a16="http://schemas.microsoft.com/office/drawing/2014/main" id="{00000000-0008-0000-0300-000085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34</xdr:row>
      <xdr:rowOff>0</xdr:rowOff>
    </xdr:from>
    <xdr:to>
      <xdr:col>4</xdr:col>
      <xdr:colOff>76200</xdr:colOff>
      <xdr:row>35</xdr:row>
      <xdr:rowOff>0</xdr:rowOff>
    </xdr:to>
    <xdr:sp macro="" textlink="">
      <xdr:nvSpPr>
        <xdr:cNvPr id="646" name="Text Box 1">
          <a:extLst>
            <a:ext uri="{FF2B5EF4-FFF2-40B4-BE49-F238E27FC236}">
              <a16:creationId xmlns:a16="http://schemas.microsoft.com/office/drawing/2014/main" id="{00000000-0008-0000-0300-000086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34</xdr:row>
      <xdr:rowOff>0</xdr:rowOff>
    </xdr:from>
    <xdr:to>
      <xdr:col>4</xdr:col>
      <xdr:colOff>76200</xdr:colOff>
      <xdr:row>35</xdr:row>
      <xdr:rowOff>0</xdr:rowOff>
    </xdr:to>
    <xdr:sp macro="" textlink="">
      <xdr:nvSpPr>
        <xdr:cNvPr id="647" name="Text Box 2">
          <a:extLst>
            <a:ext uri="{FF2B5EF4-FFF2-40B4-BE49-F238E27FC236}">
              <a16:creationId xmlns:a16="http://schemas.microsoft.com/office/drawing/2014/main" id="{00000000-0008-0000-0300-000087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34</xdr:row>
      <xdr:rowOff>0</xdr:rowOff>
    </xdr:from>
    <xdr:to>
      <xdr:col>4</xdr:col>
      <xdr:colOff>76200</xdr:colOff>
      <xdr:row>35</xdr:row>
      <xdr:rowOff>0</xdr:rowOff>
    </xdr:to>
    <xdr:sp macro="" textlink="">
      <xdr:nvSpPr>
        <xdr:cNvPr id="648" name="Text Box 1">
          <a:extLst>
            <a:ext uri="{FF2B5EF4-FFF2-40B4-BE49-F238E27FC236}">
              <a16:creationId xmlns:a16="http://schemas.microsoft.com/office/drawing/2014/main" id="{00000000-0008-0000-0300-000088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34</xdr:row>
      <xdr:rowOff>0</xdr:rowOff>
    </xdr:from>
    <xdr:to>
      <xdr:col>4</xdr:col>
      <xdr:colOff>76200</xdr:colOff>
      <xdr:row>35</xdr:row>
      <xdr:rowOff>0</xdr:rowOff>
    </xdr:to>
    <xdr:sp macro="" textlink="">
      <xdr:nvSpPr>
        <xdr:cNvPr id="649" name="Text Box 1">
          <a:extLst>
            <a:ext uri="{FF2B5EF4-FFF2-40B4-BE49-F238E27FC236}">
              <a16:creationId xmlns:a16="http://schemas.microsoft.com/office/drawing/2014/main" id="{00000000-0008-0000-0300-000089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34</xdr:row>
      <xdr:rowOff>0</xdr:rowOff>
    </xdr:from>
    <xdr:to>
      <xdr:col>4</xdr:col>
      <xdr:colOff>76200</xdr:colOff>
      <xdr:row>35</xdr:row>
      <xdr:rowOff>0</xdr:rowOff>
    </xdr:to>
    <xdr:sp macro="" textlink="">
      <xdr:nvSpPr>
        <xdr:cNvPr id="650" name="Text Box 1">
          <a:extLst>
            <a:ext uri="{FF2B5EF4-FFF2-40B4-BE49-F238E27FC236}">
              <a16:creationId xmlns:a16="http://schemas.microsoft.com/office/drawing/2014/main" id="{00000000-0008-0000-0300-00008A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34</xdr:row>
      <xdr:rowOff>0</xdr:rowOff>
    </xdr:from>
    <xdr:to>
      <xdr:col>4</xdr:col>
      <xdr:colOff>76200</xdr:colOff>
      <xdr:row>35</xdr:row>
      <xdr:rowOff>0</xdr:rowOff>
    </xdr:to>
    <xdr:sp macro="" textlink="">
      <xdr:nvSpPr>
        <xdr:cNvPr id="651" name="Text Box 2">
          <a:extLst>
            <a:ext uri="{FF2B5EF4-FFF2-40B4-BE49-F238E27FC236}">
              <a16:creationId xmlns:a16="http://schemas.microsoft.com/office/drawing/2014/main" id="{00000000-0008-0000-0300-00008B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34</xdr:row>
      <xdr:rowOff>0</xdr:rowOff>
    </xdr:from>
    <xdr:to>
      <xdr:col>4</xdr:col>
      <xdr:colOff>76200</xdr:colOff>
      <xdr:row>35</xdr:row>
      <xdr:rowOff>0</xdr:rowOff>
    </xdr:to>
    <xdr:sp macro="" textlink="">
      <xdr:nvSpPr>
        <xdr:cNvPr id="652" name="Text Box 1">
          <a:extLst>
            <a:ext uri="{FF2B5EF4-FFF2-40B4-BE49-F238E27FC236}">
              <a16:creationId xmlns:a16="http://schemas.microsoft.com/office/drawing/2014/main" id="{00000000-0008-0000-0300-00008C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34</xdr:row>
      <xdr:rowOff>0</xdr:rowOff>
    </xdr:from>
    <xdr:to>
      <xdr:col>4</xdr:col>
      <xdr:colOff>76200</xdr:colOff>
      <xdr:row>35</xdr:row>
      <xdr:rowOff>0</xdr:rowOff>
    </xdr:to>
    <xdr:sp macro="" textlink="">
      <xdr:nvSpPr>
        <xdr:cNvPr id="653" name="Text Box 1">
          <a:extLst>
            <a:ext uri="{FF2B5EF4-FFF2-40B4-BE49-F238E27FC236}">
              <a16:creationId xmlns:a16="http://schemas.microsoft.com/office/drawing/2014/main" id="{00000000-0008-0000-0300-00008D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34</xdr:row>
      <xdr:rowOff>0</xdr:rowOff>
    </xdr:from>
    <xdr:to>
      <xdr:col>4</xdr:col>
      <xdr:colOff>76200</xdr:colOff>
      <xdr:row>35</xdr:row>
      <xdr:rowOff>0</xdr:rowOff>
    </xdr:to>
    <xdr:sp macro="" textlink="">
      <xdr:nvSpPr>
        <xdr:cNvPr id="654" name="Text Box 1">
          <a:extLst>
            <a:ext uri="{FF2B5EF4-FFF2-40B4-BE49-F238E27FC236}">
              <a16:creationId xmlns:a16="http://schemas.microsoft.com/office/drawing/2014/main" id="{00000000-0008-0000-0300-00008E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34</xdr:row>
      <xdr:rowOff>0</xdr:rowOff>
    </xdr:from>
    <xdr:to>
      <xdr:col>4</xdr:col>
      <xdr:colOff>76200</xdr:colOff>
      <xdr:row>35</xdr:row>
      <xdr:rowOff>0</xdr:rowOff>
    </xdr:to>
    <xdr:sp macro="" textlink="">
      <xdr:nvSpPr>
        <xdr:cNvPr id="655" name="Text Box 2">
          <a:extLst>
            <a:ext uri="{FF2B5EF4-FFF2-40B4-BE49-F238E27FC236}">
              <a16:creationId xmlns:a16="http://schemas.microsoft.com/office/drawing/2014/main" id="{00000000-0008-0000-0300-00008F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34</xdr:row>
      <xdr:rowOff>0</xdr:rowOff>
    </xdr:from>
    <xdr:to>
      <xdr:col>4</xdr:col>
      <xdr:colOff>76200</xdr:colOff>
      <xdr:row>35</xdr:row>
      <xdr:rowOff>0</xdr:rowOff>
    </xdr:to>
    <xdr:sp macro="" textlink="">
      <xdr:nvSpPr>
        <xdr:cNvPr id="656" name="Text Box 1">
          <a:extLst>
            <a:ext uri="{FF2B5EF4-FFF2-40B4-BE49-F238E27FC236}">
              <a16:creationId xmlns:a16="http://schemas.microsoft.com/office/drawing/2014/main" id="{00000000-0008-0000-0300-000090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34</xdr:row>
      <xdr:rowOff>0</xdr:rowOff>
    </xdr:from>
    <xdr:to>
      <xdr:col>4</xdr:col>
      <xdr:colOff>76200</xdr:colOff>
      <xdr:row>35</xdr:row>
      <xdr:rowOff>0</xdr:rowOff>
    </xdr:to>
    <xdr:sp macro="" textlink="">
      <xdr:nvSpPr>
        <xdr:cNvPr id="657" name="Text Box 1">
          <a:extLst>
            <a:ext uri="{FF2B5EF4-FFF2-40B4-BE49-F238E27FC236}">
              <a16:creationId xmlns:a16="http://schemas.microsoft.com/office/drawing/2014/main" id="{00000000-0008-0000-0300-000091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34</xdr:row>
      <xdr:rowOff>0</xdr:rowOff>
    </xdr:from>
    <xdr:to>
      <xdr:col>4</xdr:col>
      <xdr:colOff>76200</xdr:colOff>
      <xdr:row>35</xdr:row>
      <xdr:rowOff>0</xdr:rowOff>
    </xdr:to>
    <xdr:sp macro="" textlink="">
      <xdr:nvSpPr>
        <xdr:cNvPr id="658" name="Text Box 1">
          <a:extLst>
            <a:ext uri="{FF2B5EF4-FFF2-40B4-BE49-F238E27FC236}">
              <a16:creationId xmlns:a16="http://schemas.microsoft.com/office/drawing/2014/main" id="{00000000-0008-0000-0300-000092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34</xdr:row>
      <xdr:rowOff>0</xdr:rowOff>
    </xdr:from>
    <xdr:to>
      <xdr:col>4</xdr:col>
      <xdr:colOff>76200</xdr:colOff>
      <xdr:row>35</xdr:row>
      <xdr:rowOff>0</xdr:rowOff>
    </xdr:to>
    <xdr:sp macro="" textlink="">
      <xdr:nvSpPr>
        <xdr:cNvPr id="659" name="Text Box 2">
          <a:extLst>
            <a:ext uri="{FF2B5EF4-FFF2-40B4-BE49-F238E27FC236}">
              <a16:creationId xmlns:a16="http://schemas.microsoft.com/office/drawing/2014/main" id="{00000000-0008-0000-0300-000093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34</xdr:row>
      <xdr:rowOff>0</xdr:rowOff>
    </xdr:from>
    <xdr:to>
      <xdr:col>4</xdr:col>
      <xdr:colOff>76200</xdr:colOff>
      <xdr:row>35</xdr:row>
      <xdr:rowOff>0</xdr:rowOff>
    </xdr:to>
    <xdr:sp macro="" textlink="">
      <xdr:nvSpPr>
        <xdr:cNvPr id="660" name="Text Box 1">
          <a:extLst>
            <a:ext uri="{FF2B5EF4-FFF2-40B4-BE49-F238E27FC236}">
              <a16:creationId xmlns:a16="http://schemas.microsoft.com/office/drawing/2014/main" id="{00000000-0008-0000-0300-000094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34</xdr:row>
      <xdr:rowOff>0</xdr:rowOff>
    </xdr:from>
    <xdr:to>
      <xdr:col>4</xdr:col>
      <xdr:colOff>76200</xdr:colOff>
      <xdr:row>35</xdr:row>
      <xdr:rowOff>0</xdr:rowOff>
    </xdr:to>
    <xdr:sp macro="" textlink="">
      <xdr:nvSpPr>
        <xdr:cNvPr id="661" name="Text Box 1">
          <a:extLst>
            <a:ext uri="{FF2B5EF4-FFF2-40B4-BE49-F238E27FC236}">
              <a16:creationId xmlns:a16="http://schemas.microsoft.com/office/drawing/2014/main" id="{00000000-0008-0000-0300-000095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34</xdr:row>
      <xdr:rowOff>0</xdr:rowOff>
    </xdr:from>
    <xdr:to>
      <xdr:col>4</xdr:col>
      <xdr:colOff>76200</xdr:colOff>
      <xdr:row>35</xdr:row>
      <xdr:rowOff>0</xdr:rowOff>
    </xdr:to>
    <xdr:sp macro="" textlink="">
      <xdr:nvSpPr>
        <xdr:cNvPr id="662" name="Text Box 2">
          <a:extLst>
            <a:ext uri="{FF2B5EF4-FFF2-40B4-BE49-F238E27FC236}">
              <a16:creationId xmlns:a16="http://schemas.microsoft.com/office/drawing/2014/main" id="{00000000-0008-0000-0300-000096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34</xdr:row>
      <xdr:rowOff>0</xdr:rowOff>
    </xdr:from>
    <xdr:to>
      <xdr:col>4</xdr:col>
      <xdr:colOff>76200</xdr:colOff>
      <xdr:row>35</xdr:row>
      <xdr:rowOff>0</xdr:rowOff>
    </xdr:to>
    <xdr:sp macro="" textlink="">
      <xdr:nvSpPr>
        <xdr:cNvPr id="663" name="Text Box 1">
          <a:extLst>
            <a:ext uri="{FF2B5EF4-FFF2-40B4-BE49-F238E27FC236}">
              <a16:creationId xmlns:a16="http://schemas.microsoft.com/office/drawing/2014/main" id="{00000000-0008-0000-0300-000097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34</xdr:row>
      <xdr:rowOff>0</xdr:rowOff>
    </xdr:from>
    <xdr:to>
      <xdr:col>4</xdr:col>
      <xdr:colOff>76200</xdr:colOff>
      <xdr:row>35</xdr:row>
      <xdr:rowOff>0</xdr:rowOff>
    </xdr:to>
    <xdr:sp macro="" textlink="">
      <xdr:nvSpPr>
        <xdr:cNvPr id="664" name="Text Box 1">
          <a:extLst>
            <a:ext uri="{FF2B5EF4-FFF2-40B4-BE49-F238E27FC236}">
              <a16:creationId xmlns:a16="http://schemas.microsoft.com/office/drawing/2014/main" id="{00000000-0008-0000-0300-000098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34</xdr:row>
      <xdr:rowOff>0</xdr:rowOff>
    </xdr:from>
    <xdr:to>
      <xdr:col>4</xdr:col>
      <xdr:colOff>76200</xdr:colOff>
      <xdr:row>35</xdr:row>
      <xdr:rowOff>0</xdr:rowOff>
    </xdr:to>
    <xdr:sp macro="" textlink="">
      <xdr:nvSpPr>
        <xdr:cNvPr id="665" name="Text Box 1">
          <a:extLst>
            <a:ext uri="{FF2B5EF4-FFF2-40B4-BE49-F238E27FC236}">
              <a16:creationId xmlns:a16="http://schemas.microsoft.com/office/drawing/2014/main" id="{00000000-0008-0000-0300-000099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34</xdr:row>
      <xdr:rowOff>0</xdr:rowOff>
    </xdr:from>
    <xdr:to>
      <xdr:col>4</xdr:col>
      <xdr:colOff>76200</xdr:colOff>
      <xdr:row>35</xdr:row>
      <xdr:rowOff>0</xdr:rowOff>
    </xdr:to>
    <xdr:sp macro="" textlink="">
      <xdr:nvSpPr>
        <xdr:cNvPr id="666" name="Text Box 2">
          <a:extLst>
            <a:ext uri="{FF2B5EF4-FFF2-40B4-BE49-F238E27FC236}">
              <a16:creationId xmlns:a16="http://schemas.microsoft.com/office/drawing/2014/main" id="{00000000-0008-0000-0300-00009A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34</xdr:row>
      <xdr:rowOff>0</xdr:rowOff>
    </xdr:from>
    <xdr:to>
      <xdr:col>4</xdr:col>
      <xdr:colOff>76200</xdr:colOff>
      <xdr:row>35</xdr:row>
      <xdr:rowOff>0</xdr:rowOff>
    </xdr:to>
    <xdr:sp macro="" textlink="">
      <xdr:nvSpPr>
        <xdr:cNvPr id="667" name="Text Box 1">
          <a:extLst>
            <a:ext uri="{FF2B5EF4-FFF2-40B4-BE49-F238E27FC236}">
              <a16:creationId xmlns:a16="http://schemas.microsoft.com/office/drawing/2014/main" id="{00000000-0008-0000-0300-00009B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34</xdr:row>
      <xdr:rowOff>0</xdr:rowOff>
    </xdr:from>
    <xdr:to>
      <xdr:col>4</xdr:col>
      <xdr:colOff>76200</xdr:colOff>
      <xdr:row>35</xdr:row>
      <xdr:rowOff>0</xdr:rowOff>
    </xdr:to>
    <xdr:sp macro="" textlink="">
      <xdr:nvSpPr>
        <xdr:cNvPr id="668" name="Text Box 1">
          <a:extLst>
            <a:ext uri="{FF2B5EF4-FFF2-40B4-BE49-F238E27FC236}">
              <a16:creationId xmlns:a16="http://schemas.microsoft.com/office/drawing/2014/main" id="{00000000-0008-0000-0300-00009C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35</xdr:row>
      <xdr:rowOff>0</xdr:rowOff>
    </xdr:from>
    <xdr:to>
      <xdr:col>4</xdr:col>
      <xdr:colOff>76200</xdr:colOff>
      <xdr:row>36</xdr:row>
      <xdr:rowOff>0</xdr:rowOff>
    </xdr:to>
    <xdr:sp macro="" textlink="">
      <xdr:nvSpPr>
        <xdr:cNvPr id="669" name="Text Box 1">
          <a:extLst>
            <a:ext uri="{FF2B5EF4-FFF2-40B4-BE49-F238E27FC236}">
              <a16:creationId xmlns:a16="http://schemas.microsoft.com/office/drawing/2014/main" id="{00000000-0008-0000-0300-00009D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35</xdr:row>
      <xdr:rowOff>0</xdr:rowOff>
    </xdr:from>
    <xdr:to>
      <xdr:col>4</xdr:col>
      <xdr:colOff>76200</xdr:colOff>
      <xdr:row>36</xdr:row>
      <xdr:rowOff>0</xdr:rowOff>
    </xdr:to>
    <xdr:sp macro="" textlink="">
      <xdr:nvSpPr>
        <xdr:cNvPr id="670" name="Text Box 2">
          <a:extLst>
            <a:ext uri="{FF2B5EF4-FFF2-40B4-BE49-F238E27FC236}">
              <a16:creationId xmlns:a16="http://schemas.microsoft.com/office/drawing/2014/main" id="{00000000-0008-0000-0300-00009E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35</xdr:row>
      <xdr:rowOff>0</xdr:rowOff>
    </xdr:from>
    <xdr:to>
      <xdr:col>4</xdr:col>
      <xdr:colOff>76200</xdr:colOff>
      <xdr:row>36</xdr:row>
      <xdr:rowOff>0</xdr:rowOff>
    </xdr:to>
    <xdr:sp macro="" textlink="">
      <xdr:nvSpPr>
        <xdr:cNvPr id="671" name="Text Box 1">
          <a:extLst>
            <a:ext uri="{FF2B5EF4-FFF2-40B4-BE49-F238E27FC236}">
              <a16:creationId xmlns:a16="http://schemas.microsoft.com/office/drawing/2014/main" id="{00000000-0008-0000-0300-00009F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35</xdr:row>
      <xdr:rowOff>0</xdr:rowOff>
    </xdr:from>
    <xdr:to>
      <xdr:col>4</xdr:col>
      <xdr:colOff>76200</xdr:colOff>
      <xdr:row>36</xdr:row>
      <xdr:rowOff>0</xdr:rowOff>
    </xdr:to>
    <xdr:sp macro="" textlink="">
      <xdr:nvSpPr>
        <xdr:cNvPr id="672" name="Text Box 1">
          <a:extLst>
            <a:ext uri="{FF2B5EF4-FFF2-40B4-BE49-F238E27FC236}">
              <a16:creationId xmlns:a16="http://schemas.microsoft.com/office/drawing/2014/main" id="{00000000-0008-0000-0300-0000A0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35</xdr:row>
      <xdr:rowOff>0</xdr:rowOff>
    </xdr:from>
    <xdr:to>
      <xdr:col>4</xdr:col>
      <xdr:colOff>76200</xdr:colOff>
      <xdr:row>36</xdr:row>
      <xdr:rowOff>0</xdr:rowOff>
    </xdr:to>
    <xdr:sp macro="" textlink="">
      <xdr:nvSpPr>
        <xdr:cNvPr id="673" name="Text Box 1">
          <a:extLst>
            <a:ext uri="{FF2B5EF4-FFF2-40B4-BE49-F238E27FC236}">
              <a16:creationId xmlns:a16="http://schemas.microsoft.com/office/drawing/2014/main" id="{00000000-0008-0000-0300-0000A1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35</xdr:row>
      <xdr:rowOff>0</xdr:rowOff>
    </xdr:from>
    <xdr:to>
      <xdr:col>4</xdr:col>
      <xdr:colOff>76200</xdr:colOff>
      <xdr:row>36</xdr:row>
      <xdr:rowOff>0</xdr:rowOff>
    </xdr:to>
    <xdr:sp macro="" textlink="">
      <xdr:nvSpPr>
        <xdr:cNvPr id="674" name="Text Box 2">
          <a:extLst>
            <a:ext uri="{FF2B5EF4-FFF2-40B4-BE49-F238E27FC236}">
              <a16:creationId xmlns:a16="http://schemas.microsoft.com/office/drawing/2014/main" id="{00000000-0008-0000-0300-0000A2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35</xdr:row>
      <xdr:rowOff>0</xdr:rowOff>
    </xdr:from>
    <xdr:to>
      <xdr:col>4</xdr:col>
      <xdr:colOff>76200</xdr:colOff>
      <xdr:row>36</xdr:row>
      <xdr:rowOff>0</xdr:rowOff>
    </xdr:to>
    <xdr:sp macro="" textlink="">
      <xdr:nvSpPr>
        <xdr:cNvPr id="675" name="Text Box 1">
          <a:extLst>
            <a:ext uri="{FF2B5EF4-FFF2-40B4-BE49-F238E27FC236}">
              <a16:creationId xmlns:a16="http://schemas.microsoft.com/office/drawing/2014/main" id="{00000000-0008-0000-0300-0000A3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35</xdr:row>
      <xdr:rowOff>0</xdr:rowOff>
    </xdr:from>
    <xdr:to>
      <xdr:col>4</xdr:col>
      <xdr:colOff>76200</xdr:colOff>
      <xdr:row>36</xdr:row>
      <xdr:rowOff>0</xdr:rowOff>
    </xdr:to>
    <xdr:sp macro="" textlink="">
      <xdr:nvSpPr>
        <xdr:cNvPr id="676" name="Text Box 1">
          <a:extLst>
            <a:ext uri="{FF2B5EF4-FFF2-40B4-BE49-F238E27FC236}">
              <a16:creationId xmlns:a16="http://schemas.microsoft.com/office/drawing/2014/main" id="{00000000-0008-0000-0300-0000A4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35</xdr:row>
      <xdr:rowOff>0</xdr:rowOff>
    </xdr:from>
    <xdr:to>
      <xdr:col>4</xdr:col>
      <xdr:colOff>76200</xdr:colOff>
      <xdr:row>36</xdr:row>
      <xdr:rowOff>0</xdr:rowOff>
    </xdr:to>
    <xdr:sp macro="" textlink="">
      <xdr:nvSpPr>
        <xdr:cNvPr id="677" name="Text Box 1">
          <a:extLst>
            <a:ext uri="{FF2B5EF4-FFF2-40B4-BE49-F238E27FC236}">
              <a16:creationId xmlns:a16="http://schemas.microsoft.com/office/drawing/2014/main" id="{00000000-0008-0000-0300-0000A5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35</xdr:row>
      <xdr:rowOff>0</xdr:rowOff>
    </xdr:from>
    <xdr:to>
      <xdr:col>4</xdr:col>
      <xdr:colOff>76200</xdr:colOff>
      <xdr:row>36</xdr:row>
      <xdr:rowOff>0</xdr:rowOff>
    </xdr:to>
    <xdr:sp macro="" textlink="">
      <xdr:nvSpPr>
        <xdr:cNvPr id="678" name="Text Box 2">
          <a:extLst>
            <a:ext uri="{FF2B5EF4-FFF2-40B4-BE49-F238E27FC236}">
              <a16:creationId xmlns:a16="http://schemas.microsoft.com/office/drawing/2014/main" id="{00000000-0008-0000-0300-0000A6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35</xdr:row>
      <xdr:rowOff>0</xdr:rowOff>
    </xdr:from>
    <xdr:to>
      <xdr:col>4</xdr:col>
      <xdr:colOff>76200</xdr:colOff>
      <xdr:row>36</xdr:row>
      <xdr:rowOff>0</xdr:rowOff>
    </xdr:to>
    <xdr:sp macro="" textlink="">
      <xdr:nvSpPr>
        <xdr:cNvPr id="679" name="Text Box 1">
          <a:extLst>
            <a:ext uri="{FF2B5EF4-FFF2-40B4-BE49-F238E27FC236}">
              <a16:creationId xmlns:a16="http://schemas.microsoft.com/office/drawing/2014/main" id="{00000000-0008-0000-0300-0000A7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35</xdr:row>
      <xdr:rowOff>0</xdr:rowOff>
    </xdr:from>
    <xdr:to>
      <xdr:col>4</xdr:col>
      <xdr:colOff>76200</xdr:colOff>
      <xdr:row>36</xdr:row>
      <xdr:rowOff>0</xdr:rowOff>
    </xdr:to>
    <xdr:sp macro="" textlink="">
      <xdr:nvSpPr>
        <xdr:cNvPr id="680" name="Text Box 1">
          <a:extLst>
            <a:ext uri="{FF2B5EF4-FFF2-40B4-BE49-F238E27FC236}">
              <a16:creationId xmlns:a16="http://schemas.microsoft.com/office/drawing/2014/main" id="{00000000-0008-0000-0300-0000A8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35</xdr:row>
      <xdr:rowOff>0</xdr:rowOff>
    </xdr:from>
    <xdr:to>
      <xdr:col>4</xdr:col>
      <xdr:colOff>76200</xdr:colOff>
      <xdr:row>36</xdr:row>
      <xdr:rowOff>0</xdr:rowOff>
    </xdr:to>
    <xdr:sp macro="" textlink="">
      <xdr:nvSpPr>
        <xdr:cNvPr id="681" name="Text Box 1">
          <a:extLst>
            <a:ext uri="{FF2B5EF4-FFF2-40B4-BE49-F238E27FC236}">
              <a16:creationId xmlns:a16="http://schemas.microsoft.com/office/drawing/2014/main" id="{00000000-0008-0000-0300-0000A9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35</xdr:row>
      <xdr:rowOff>0</xdr:rowOff>
    </xdr:from>
    <xdr:to>
      <xdr:col>4</xdr:col>
      <xdr:colOff>76200</xdr:colOff>
      <xdr:row>36</xdr:row>
      <xdr:rowOff>0</xdr:rowOff>
    </xdr:to>
    <xdr:sp macro="" textlink="">
      <xdr:nvSpPr>
        <xdr:cNvPr id="682" name="Text Box 2">
          <a:extLst>
            <a:ext uri="{FF2B5EF4-FFF2-40B4-BE49-F238E27FC236}">
              <a16:creationId xmlns:a16="http://schemas.microsoft.com/office/drawing/2014/main" id="{00000000-0008-0000-0300-0000AA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35</xdr:row>
      <xdr:rowOff>0</xdr:rowOff>
    </xdr:from>
    <xdr:to>
      <xdr:col>4</xdr:col>
      <xdr:colOff>76200</xdr:colOff>
      <xdr:row>36</xdr:row>
      <xdr:rowOff>0</xdr:rowOff>
    </xdr:to>
    <xdr:sp macro="" textlink="">
      <xdr:nvSpPr>
        <xdr:cNvPr id="683" name="Text Box 1">
          <a:extLst>
            <a:ext uri="{FF2B5EF4-FFF2-40B4-BE49-F238E27FC236}">
              <a16:creationId xmlns:a16="http://schemas.microsoft.com/office/drawing/2014/main" id="{00000000-0008-0000-0300-0000AB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35</xdr:row>
      <xdr:rowOff>0</xdr:rowOff>
    </xdr:from>
    <xdr:to>
      <xdr:col>4</xdr:col>
      <xdr:colOff>76200</xdr:colOff>
      <xdr:row>36</xdr:row>
      <xdr:rowOff>0</xdr:rowOff>
    </xdr:to>
    <xdr:sp macro="" textlink="">
      <xdr:nvSpPr>
        <xdr:cNvPr id="684" name="Text Box 1">
          <a:extLst>
            <a:ext uri="{FF2B5EF4-FFF2-40B4-BE49-F238E27FC236}">
              <a16:creationId xmlns:a16="http://schemas.microsoft.com/office/drawing/2014/main" id="{00000000-0008-0000-0300-0000AC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35</xdr:row>
      <xdr:rowOff>0</xdr:rowOff>
    </xdr:from>
    <xdr:to>
      <xdr:col>4</xdr:col>
      <xdr:colOff>76200</xdr:colOff>
      <xdr:row>36</xdr:row>
      <xdr:rowOff>0</xdr:rowOff>
    </xdr:to>
    <xdr:sp macro="" textlink="">
      <xdr:nvSpPr>
        <xdr:cNvPr id="685" name="Text Box 2">
          <a:extLst>
            <a:ext uri="{FF2B5EF4-FFF2-40B4-BE49-F238E27FC236}">
              <a16:creationId xmlns:a16="http://schemas.microsoft.com/office/drawing/2014/main" id="{00000000-0008-0000-0300-0000AD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35</xdr:row>
      <xdr:rowOff>0</xdr:rowOff>
    </xdr:from>
    <xdr:to>
      <xdr:col>4</xdr:col>
      <xdr:colOff>76200</xdr:colOff>
      <xdr:row>36</xdr:row>
      <xdr:rowOff>0</xdr:rowOff>
    </xdr:to>
    <xdr:sp macro="" textlink="">
      <xdr:nvSpPr>
        <xdr:cNvPr id="686" name="Text Box 1">
          <a:extLst>
            <a:ext uri="{FF2B5EF4-FFF2-40B4-BE49-F238E27FC236}">
              <a16:creationId xmlns:a16="http://schemas.microsoft.com/office/drawing/2014/main" id="{00000000-0008-0000-0300-0000AE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35</xdr:row>
      <xdr:rowOff>0</xdr:rowOff>
    </xdr:from>
    <xdr:to>
      <xdr:col>4</xdr:col>
      <xdr:colOff>76200</xdr:colOff>
      <xdr:row>36</xdr:row>
      <xdr:rowOff>0</xdr:rowOff>
    </xdr:to>
    <xdr:sp macro="" textlink="">
      <xdr:nvSpPr>
        <xdr:cNvPr id="687" name="Text Box 1">
          <a:extLst>
            <a:ext uri="{FF2B5EF4-FFF2-40B4-BE49-F238E27FC236}">
              <a16:creationId xmlns:a16="http://schemas.microsoft.com/office/drawing/2014/main" id="{00000000-0008-0000-0300-0000AF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35</xdr:row>
      <xdr:rowOff>0</xdr:rowOff>
    </xdr:from>
    <xdr:to>
      <xdr:col>4</xdr:col>
      <xdr:colOff>76200</xdr:colOff>
      <xdr:row>36</xdr:row>
      <xdr:rowOff>0</xdr:rowOff>
    </xdr:to>
    <xdr:sp macro="" textlink="">
      <xdr:nvSpPr>
        <xdr:cNvPr id="688" name="Text Box 1">
          <a:extLst>
            <a:ext uri="{FF2B5EF4-FFF2-40B4-BE49-F238E27FC236}">
              <a16:creationId xmlns:a16="http://schemas.microsoft.com/office/drawing/2014/main" id="{00000000-0008-0000-0300-0000B0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35</xdr:row>
      <xdr:rowOff>0</xdr:rowOff>
    </xdr:from>
    <xdr:to>
      <xdr:col>4</xdr:col>
      <xdr:colOff>76200</xdr:colOff>
      <xdr:row>36</xdr:row>
      <xdr:rowOff>0</xdr:rowOff>
    </xdr:to>
    <xdr:sp macro="" textlink="">
      <xdr:nvSpPr>
        <xdr:cNvPr id="689" name="Text Box 2">
          <a:extLst>
            <a:ext uri="{FF2B5EF4-FFF2-40B4-BE49-F238E27FC236}">
              <a16:creationId xmlns:a16="http://schemas.microsoft.com/office/drawing/2014/main" id="{00000000-0008-0000-0300-0000B1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35</xdr:row>
      <xdr:rowOff>0</xdr:rowOff>
    </xdr:from>
    <xdr:to>
      <xdr:col>4</xdr:col>
      <xdr:colOff>76200</xdr:colOff>
      <xdr:row>36</xdr:row>
      <xdr:rowOff>0</xdr:rowOff>
    </xdr:to>
    <xdr:sp macro="" textlink="">
      <xdr:nvSpPr>
        <xdr:cNvPr id="690" name="Text Box 1">
          <a:extLst>
            <a:ext uri="{FF2B5EF4-FFF2-40B4-BE49-F238E27FC236}">
              <a16:creationId xmlns:a16="http://schemas.microsoft.com/office/drawing/2014/main" id="{00000000-0008-0000-0300-0000B2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35</xdr:row>
      <xdr:rowOff>0</xdr:rowOff>
    </xdr:from>
    <xdr:to>
      <xdr:col>4</xdr:col>
      <xdr:colOff>76200</xdr:colOff>
      <xdr:row>36</xdr:row>
      <xdr:rowOff>0</xdr:rowOff>
    </xdr:to>
    <xdr:sp macro="" textlink="">
      <xdr:nvSpPr>
        <xdr:cNvPr id="691" name="Text Box 1">
          <a:extLst>
            <a:ext uri="{FF2B5EF4-FFF2-40B4-BE49-F238E27FC236}">
              <a16:creationId xmlns:a16="http://schemas.microsoft.com/office/drawing/2014/main" id="{00000000-0008-0000-0300-0000B3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76200</xdr:colOff>
      <xdr:row>37</xdr:row>
      <xdr:rowOff>0</xdr:rowOff>
    </xdr:to>
    <xdr:sp macro="" textlink="">
      <xdr:nvSpPr>
        <xdr:cNvPr id="692" name="Text Box 1">
          <a:extLst>
            <a:ext uri="{FF2B5EF4-FFF2-40B4-BE49-F238E27FC236}">
              <a16:creationId xmlns:a16="http://schemas.microsoft.com/office/drawing/2014/main" id="{00000000-0008-0000-0300-0000B4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76200</xdr:colOff>
      <xdr:row>37</xdr:row>
      <xdr:rowOff>0</xdr:rowOff>
    </xdr:to>
    <xdr:sp macro="" textlink="">
      <xdr:nvSpPr>
        <xdr:cNvPr id="693" name="Text Box 2">
          <a:extLst>
            <a:ext uri="{FF2B5EF4-FFF2-40B4-BE49-F238E27FC236}">
              <a16:creationId xmlns:a16="http://schemas.microsoft.com/office/drawing/2014/main" id="{00000000-0008-0000-0300-0000B5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76200</xdr:colOff>
      <xdr:row>37</xdr:row>
      <xdr:rowOff>0</xdr:rowOff>
    </xdr:to>
    <xdr:sp macro="" textlink="">
      <xdr:nvSpPr>
        <xdr:cNvPr id="694" name="Text Box 1">
          <a:extLst>
            <a:ext uri="{FF2B5EF4-FFF2-40B4-BE49-F238E27FC236}">
              <a16:creationId xmlns:a16="http://schemas.microsoft.com/office/drawing/2014/main" id="{00000000-0008-0000-0300-0000B6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76200</xdr:colOff>
      <xdr:row>37</xdr:row>
      <xdr:rowOff>0</xdr:rowOff>
    </xdr:to>
    <xdr:sp macro="" textlink="">
      <xdr:nvSpPr>
        <xdr:cNvPr id="695" name="Text Box 1">
          <a:extLst>
            <a:ext uri="{FF2B5EF4-FFF2-40B4-BE49-F238E27FC236}">
              <a16:creationId xmlns:a16="http://schemas.microsoft.com/office/drawing/2014/main" id="{00000000-0008-0000-0300-0000B7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76200</xdr:colOff>
      <xdr:row>37</xdr:row>
      <xdr:rowOff>0</xdr:rowOff>
    </xdr:to>
    <xdr:sp macro="" textlink="">
      <xdr:nvSpPr>
        <xdr:cNvPr id="696" name="Text Box 1">
          <a:extLst>
            <a:ext uri="{FF2B5EF4-FFF2-40B4-BE49-F238E27FC236}">
              <a16:creationId xmlns:a16="http://schemas.microsoft.com/office/drawing/2014/main" id="{00000000-0008-0000-0300-0000B8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76200</xdr:colOff>
      <xdr:row>37</xdr:row>
      <xdr:rowOff>0</xdr:rowOff>
    </xdr:to>
    <xdr:sp macro="" textlink="">
      <xdr:nvSpPr>
        <xdr:cNvPr id="697" name="Text Box 2">
          <a:extLst>
            <a:ext uri="{FF2B5EF4-FFF2-40B4-BE49-F238E27FC236}">
              <a16:creationId xmlns:a16="http://schemas.microsoft.com/office/drawing/2014/main" id="{00000000-0008-0000-0300-0000B9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76200</xdr:colOff>
      <xdr:row>37</xdr:row>
      <xdr:rowOff>0</xdr:rowOff>
    </xdr:to>
    <xdr:sp macro="" textlink="">
      <xdr:nvSpPr>
        <xdr:cNvPr id="698" name="Text Box 1">
          <a:extLst>
            <a:ext uri="{FF2B5EF4-FFF2-40B4-BE49-F238E27FC236}">
              <a16:creationId xmlns:a16="http://schemas.microsoft.com/office/drawing/2014/main" id="{00000000-0008-0000-0300-0000BA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76200</xdr:colOff>
      <xdr:row>37</xdr:row>
      <xdr:rowOff>0</xdr:rowOff>
    </xdr:to>
    <xdr:sp macro="" textlink="">
      <xdr:nvSpPr>
        <xdr:cNvPr id="699" name="Text Box 1">
          <a:extLst>
            <a:ext uri="{FF2B5EF4-FFF2-40B4-BE49-F238E27FC236}">
              <a16:creationId xmlns:a16="http://schemas.microsoft.com/office/drawing/2014/main" id="{00000000-0008-0000-0300-0000BB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76200</xdr:colOff>
      <xdr:row>37</xdr:row>
      <xdr:rowOff>0</xdr:rowOff>
    </xdr:to>
    <xdr:sp macro="" textlink="">
      <xdr:nvSpPr>
        <xdr:cNvPr id="700" name="Text Box 1">
          <a:extLst>
            <a:ext uri="{FF2B5EF4-FFF2-40B4-BE49-F238E27FC236}">
              <a16:creationId xmlns:a16="http://schemas.microsoft.com/office/drawing/2014/main" id="{00000000-0008-0000-0300-0000BC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76200</xdr:colOff>
      <xdr:row>37</xdr:row>
      <xdr:rowOff>0</xdr:rowOff>
    </xdr:to>
    <xdr:sp macro="" textlink="">
      <xdr:nvSpPr>
        <xdr:cNvPr id="701" name="Text Box 2">
          <a:extLst>
            <a:ext uri="{FF2B5EF4-FFF2-40B4-BE49-F238E27FC236}">
              <a16:creationId xmlns:a16="http://schemas.microsoft.com/office/drawing/2014/main" id="{00000000-0008-0000-0300-0000BD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76200</xdr:colOff>
      <xdr:row>37</xdr:row>
      <xdr:rowOff>0</xdr:rowOff>
    </xdr:to>
    <xdr:sp macro="" textlink="">
      <xdr:nvSpPr>
        <xdr:cNvPr id="702" name="Text Box 1">
          <a:extLst>
            <a:ext uri="{FF2B5EF4-FFF2-40B4-BE49-F238E27FC236}">
              <a16:creationId xmlns:a16="http://schemas.microsoft.com/office/drawing/2014/main" id="{00000000-0008-0000-0300-0000BE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76200</xdr:colOff>
      <xdr:row>37</xdr:row>
      <xdr:rowOff>0</xdr:rowOff>
    </xdr:to>
    <xdr:sp macro="" textlink="">
      <xdr:nvSpPr>
        <xdr:cNvPr id="703" name="Text Box 1">
          <a:extLst>
            <a:ext uri="{FF2B5EF4-FFF2-40B4-BE49-F238E27FC236}">
              <a16:creationId xmlns:a16="http://schemas.microsoft.com/office/drawing/2014/main" id="{00000000-0008-0000-0300-0000BF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76200</xdr:colOff>
      <xdr:row>37</xdr:row>
      <xdr:rowOff>0</xdr:rowOff>
    </xdr:to>
    <xdr:sp macro="" textlink="">
      <xdr:nvSpPr>
        <xdr:cNvPr id="704" name="Text Box 1">
          <a:extLst>
            <a:ext uri="{FF2B5EF4-FFF2-40B4-BE49-F238E27FC236}">
              <a16:creationId xmlns:a16="http://schemas.microsoft.com/office/drawing/2014/main" id="{00000000-0008-0000-0300-0000C0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76200</xdr:colOff>
      <xdr:row>37</xdr:row>
      <xdr:rowOff>0</xdr:rowOff>
    </xdr:to>
    <xdr:sp macro="" textlink="">
      <xdr:nvSpPr>
        <xdr:cNvPr id="705" name="Text Box 2">
          <a:extLst>
            <a:ext uri="{FF2B5EF4-FFF2-40B4-BE49-F238E27FC236}">
              <a16:creationId xmlns:a16="http://schemas.microsoft.com/office/drawing/2014/main" id="{00000000-0008-0000-0300-0000C1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76200</xdr:colOff>
      <xdr:row>37</xdr:row>
      <xdr:rowOff>0</xdr:rowOff>
    </xdr:to>
    <xdr:sp macro="" textlink="">
      <xdr:nvSpPr>
        <xdr:cNvPr id="706" name="Text Box 1">
          <a:extLst>
            <a:ext uri="{FF2B5EF4-FFF2-40B4-BE49-F238E27FC236}">
              <a16:creationId xmlns:a16="http://schemas.microsoft.com/office/drawing/2014/main" id="{00000000-0008-0000-0300-0000C2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76200</xdr:colOff>
      <xdr:row>37</xdr:row>
      <xdr:rowOff>0</xdr:rowOff>
    </xdr:to>
    <xdr:sp macro="" textlink="">
      <xdr:nvSpPr>
        <xdr:cNvPr id="707" name="Text Box 1">
          <a:extLst>
            <a:ext uri="{FF2B5EF4-FFF2-40B4-BE49-F238E27FC236}">
              <a16:creationId xmlns:a16="http://schemas.microsoft.com/office/drawing/2014/main" id="{00000000-0008-0000-0300-0000C3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76200</xdr:colOff>
      <xdr:row>37</xdr:row>
      <xdr:rowOff>0</xdr:rowOff>
    </xdr:to>
    <xdr:sp macro="" textlink="">
      <xdr:nvSpPr>
        <xdr:cNvPr id="708" name="Text Box 2">
          <a:extLst>
            <a:ext uri="{FF2B5EF4-FFF2-40B4-BE49-F238E27FC236}">
              <a16:creationId xmlns:a16="http://schemas.microsoft.com/office/drawing/2014/main" id="{00000000-0008-0000-0300-0000C4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76200</xdr:colOff>
      <xdr:row>37</xdr:row>
      <xdr:rowOff>0</xdr:rowOff>
    </xdr:to>
    <xdr:sp macro="" textlink="">
      <xdr:nvSpPr>
        <xdr:cNvPr id="709" name="Text Box 1">
          <a:extLst>
            <a:ext uri="{FF2B5EF4-FFF2-40B4-BE49-F238E27FC236}">
              <a16:creationId xmlns:a16="http://schemas.microsoft.com/office/drawing/2014/main" id="{00000000-0008-0000-0300-0000C5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76200</xdr:colOff>
      <xdr:row>37</xdr:row>
      <xdr:rowOff>0</xdr:rowOff>
    </xdr:to>
    <xdr:sp macro="" textlink="">
      <xdr:nvSpPr>
        <xdr:cNvPr id="710" name="Text Box 1">
          <a:extLst>
            <a:ext uri="{FF2B5EF4-FFF2-40B4-BE49-F238E27FC236}">
              <a16:creationId xmlns:a16="http://schemas.microsoft.com/office/drawing/2014/main" id="{00000000-0008-0000-0300-0000C6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76200</xdr:colOff>
      <xdr:row>37</xdr:row>
      <xdr:rowOff>0</xdr:rowOff>
    </xdr:to>
    <xdr:sp macro="" textlink="">
      <xdr:nvSpPr>
        <xdr:cNvPr id="711" name="Text Box 1">
          <a:extLst>
            <a:ext uri="{FF2B5EF4-FFF2-40B4-BE49-F238E27FC236}">
              <a16:creationId xmlns:a16="http://schemas.microsoft.com/office/drawing/2014/main" id="{00000000-0008-0000-0300-0000C7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76200</xdr:colOff>
      <xdr:row>37</xdr:row>
      <xdr:rowOff>0</xdr:rowOff>
    </xdr:to>
    <xdr:sp macro="" textlink="">
      <xdr:nvSpPr>
        <xdr:cNvPr id="712" name="Text Box 2">
          <a:extLst>
            <a:ext uri="{FF2B5EF4-FFF2-40B4-BE49-F238E27FC236}">
              <a16:creationId xmlns:a16="http://schemas.microsoft.com/office/drawing/2014/main" id="{00000000-0008-0000-0300-0000C8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76200</xdr:colOff>
      <xdr:row>37</xdr:row>
      <xdr:rowOff>0</xdr:rowOff>
    </xdr:to>
    <xdr:sp macro="" textlink="">
      <xdr:nvSpPr>
        <xdr:cNvPr id="713" name="Text Box 1">
          <a:extLst>
            <a:ext uri="{FF2B5EF4-FFF2-40B4-BE49-F238E27FC236}">
              <a16:creationId xmlns:a16="http://schemas.microsoft.com/office/drawing/2014/main" id="{00000000-0008-0000-0300-0000C9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76200</xdr:colOff>
      <xdr:row>37</xdr:row>
      <xdr:rowOff>0</xdr:rowOff>
    </xdr:to>
    <xdr:sp macro="" textlink="">
      <xdr:nvSpPr>
        <xdr:cNvPr id="714" name="Text Box 1">
          <a:extLst>
            <a:ext uri="{FF2B5EF4-FFF2-40B4-BE49-F238E27FC236}">
              <a16:creationId xmlns:a16="http://schemas.microsoft.com/office/drawing/2014/main" id="{00000000-0008-0000-0300-0000CA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37</xdr:row>
      <xdr:rowOff>0</xdr:rowOff>
    </xdr:from>
    <xdr:to>
      <xdr:col>4</xdr:col>
      <xdr:colOff>76200</xdr:colOff>
      <xdr:row>38</xdr:row>
      <xdr:rowOff>0</xdr:rowOff>
    </xdr:to>
    <xdr:sp macro="" textlink="">
      <xdr:nvSpPr>
        <xdr:cNvPr id="715" name="Text Box 1">
          <a:extLst>
            <a:ext uri="{FF2B5EF4-FFF2-40B4-BE49-F238E27FC236}">
              <a16:creationId xmlns:a16="http://schemas.microsoft.com/office/drawing/2014/main" id="{00000000-0008-0000-0300-0000CB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37</xdr:row>
      <xdr:rowOff>0</xdr:rowOff>
    </xdr:from>
    <xdr:to>
      <xdr:col>4</xdr:col>
      <xdr:colOff>76200</xdr:colOff>
      <xdr:row>38</xdr:row>
      <xdr:rowOff>0</xdr:rowOff>
    </xdr:to>
    <xdr:sp macro="" textlink="">
      <xdr:nvSpPr>
        <xdr:cNvPr id="716" name="Text Box 2">
          <a:extLst>
            <a:ext uri="{FF2B5EF4-FFF2-40B4-BE49-F238E27FC236}">
              <a16:creationId xmlns:a16="http://schemas.microsoft.com/office/drawing/2014/main" id="{00000000-0008-0000-0300-0000CC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37</xdr:row>
      <xdr:rowOff>0</xdr:rowOff>
    </xdr:from>
    <xdr:to>
      <xdr:col>4</xdr:col>
      <xdr:colOff>76200</xdr:colOff>
      <xdr:row>38</xdr:row>
      <xdr:rowOff>0</xdr:rowOff>
    </xdr:to>
    <xdr:sp macro="" textlink="">
      <xdr:nvSpPr>
        <xdr:cNvPr id="717" name="Text Box 1">
          <a:extLst>
            <a:ext uri="{FF2B5EF4-FFF2-40B4-BE49-F238E27FC236}">
              <a16:creationId xmlns:a16="http://schemas.microsoft.com/office/drawing/2014/main" id="{00000000-0008-0000-0300-0000CD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37</xdr:row>
      <xdr:rowOff>0</xdr:rowOff>
    </xdr:from>
    <xdr:to>
      <xdr:col>4</xdr:col>
      <xdr:colOff>76200</xdr:colOff>
      <xdr:row>38</xdr:row>
      <xdr:rowOff>0</xdr:rowOff>
    </xdr:to>
    <xdr:sp macro="" textlink="">
      <xdr:nvSpPr>
        <xdr:cNvPr id="718" name="Text Box 1">
          <a:extLst>
            <a:ext uri="{FF2B5EF4-FFF2-40B4-BE49-F238E27FC236}">
              <a16:creationId xmlns:a16="http://schemas.microsoft.com/office/drawing/2014/main" id="{00000000-0008-0000-0300-0000CE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37</xdr:row>
      <xdr:rowOff>0</xdr:rowOff>
    </xdr:from>
    <xdr:to>
      <xdr:col>4</xdr:col>
      <xdr:colOff>76200</xdr:colOff>
      <xdr:row>38</xdr:row>
      <xdr:rowOff>0</xdr:rowOff>
    </xdr:to>
    <xdr:sp macro="" textlink="">
      <xdr:nvSpPr>
        <xdr:cNvPr id="719" name="Text Box 1">
          <a:extLst>
            <a:ext uri="{FF2B5EF4-FFF2-40B4-BE49-F238E27FC236}">
              <a16:creationId xmlns:a16="http://schemas.microsoft.com/office/drawing/2014/main" id="{00000000-0008-0000-0300-0000CF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37</xdr:row>
      <xdr:rowOff>0</xdr:rowOff>
    </xdr:from>
    <xdr:to>
      <xdr:col>4</xdr:col>
      <xdr:colOff>76200</xdr:colOff>
      <xdr:row>38</xdr:row>
      <xdr:rowOff>0</xdr:rowOff>
    </xdr:to>
    <xdr:sp macro="" textlink="">
      <xdr:nvSpPr>
        <xdr:cNvPr id="720" name="Text Box 2">
          <a:extLst>
            <a:ext uri="{FF2B5EF4-FFF2-40B4-BE49-F238E27FC236}">
              <a16:creationId xmlns:a16="http://schemas.microsoft.com/office/drawing/2014/main" id="{00000000-0008-0000-0300-0000D0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37</xdr:row>
      <xdr:rowOff>0</xdr:rowOff>
    </xdr:from>
    <xdr:to>
      <xdr:col>4</xdr:col>
      <xdr:colOff>76200</xdr:colOff>
      <xdr:row>38</xdr:row>
      <xdr:rowOff>0</xdr:rowOff>
    </xdr:to>
    <xdr:sp macro="" textlink="">
      <xdr:nvSpPr>
        <xdr:cNvPr id="721" name="Text Box 1">
          <a:extLst>
            <a:ext uri="{FF2B5EF4-FFF2-40B4-BE49-F238E27FC236}">
              <a16:creationId xmlns:a16="http://schemas.microsoft.com/office/drawing/2014/main" id="{00000000-0008-0000-0300-0000D1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37</xdr:row>
      <xdr:rowOff>0</xdr:rowOff>
    </xdr:from>
    <xdr:to>
      <xdr:col>4</xdr:col>
      <xdr:colOff>76200</xdr:colOff>
      <xdr:row>38</xdr:row>
      <xdr:rowOff>0</xdr:rowOff>
    </xdr:to>
    <xdr:sp macro="" textlink="">
      <xdr:nvSpPr>
        <xdr:cNvPr id="722" name="Text Box 1">
          <a:extLst>
            <a:ext uri="{FF2B5EF4-FFF2-40B4-BE49-F238E27FC236}">
              <a16:creationId xmlns:a16="http://schemas.microsoft.com/office/drawing/2014/main" id="{00000000-0008-0000-0300-0000D2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37</xdr:row>
      <xdr:rowOff>0</xdr:rowOff>
    </xdr:from>
    <xdr:to>
      <xdr:col>4</xdr:col>
      <xdr:colOff>76200</xdr:colOff>
      <xdr:row>38</xdr:row>
      <xdr:rowOff>0</xdr:rowOff>
    </xdr:to>
    <xdr:sp macro="" textlink="">
      <xdr:nvSpPr>
        <xdr:cNvPr id="723" name="Text Box 1">
          <a:extLst>
            <a:ext uri="{FF2B5EF4-FFF2-40B4-BE49-F238E27FC236}">
              <a16:creationId xmlns:a16="http://schemas.microsoft.com/office/drawing/2014/main" id="{00000000-0008-0000-0300-0000D3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37</xdr:row>
      <xdr:rowOff>0</xdr:rowOff>
    </xdr:from>
    <xdr:to>
      <xdr:col>4</xdr:col>
      <xdr:colOff>76200</xdr:colOff>
      <xdr:row>38</xdr:row>
      <xdr:rowOff>0</xdr:rowOff>
    </xdr:to>
    <xdr:sp macro="" textlink="">
      <xdr:nvSpPr>
        <xdr:cNvPr id="724" name="Text Box 2">
          <a:extLst>
            <a:ext uri="{FF2B5EF4-FFF2-40B4-BE49-F238E27FC236}">
              <a16:creationId xmlns:a16="http://schemas.microsoft.com/office/drawing/2014/main" id="{00000000-0008-0000-0300-0000D4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37</xdr:row>
      <xdr:rowOff>0</xdr:rowOff>
    </xdr:from>
    <xdr:to>
      <xdr:col>4</xdr:col>
      <xdr:colOff>76200</xdr:colOff>
      <xdr:row>38</xdr:row>
      <xdr:rowOff>0</xdr:rowOff>
    </xdr:to>
    <xdr:sp macro="" textlink="">
      <xdr:nvSpPr>
        <xdr:cNvPr id="725" name="Text Box 1">
          <a:extLst>
            <a:ext uri="{FF2B5EF4-FFF2-40B4-BE49-F238E27FC236}">
              <a16:creationId xmlns:a16="http://schemas.microsoft.com/office/drawing/2014/main" id="{00000000-0008-0000-0300-0000D5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37</xdr:row>
      <xdr:rowOff>0</xdr:rowOff>
    </xdr:from>
    <xdr:to>
      <xdr:col>4</xdr:col>
      <xdr:colOff>76200</xdr:colOff>
      <xdr:row>38</xdr:row>
      <xdr:rowOff>0</xdr:rowOff>
    </xdr:to>
    <xdr:sp macro="" textlink="">
      <xdr:nvSpPr>
        <xdr:cNvPr id="726" name="Text Box 1">
          <a:extLst>
            <a:ext uri="{FF2B5EF4-FFF2-40B4-BE49-F238E27FC236}">
              <a16:creationId xmlns:a16="http://schemas.microsoft.com/office/drawing/2014/main" id="{00000000-0008-0000-0300-0000D6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37</xdr:row>
      <xdr:rowOff>0</xdr:rowOff>
    </xdr:from>
    <xdr:to>
      <xdr:col>4</xdr:col>
      <xdr:colOff>76200</xdr:colOff>
      <xdr:row>38</xdr:row>
      <xdr:rowOff>0</xdr:rowOff>
    </xdr:to>
    <xdr:sp macro="" textlink="">
      <xdr:nvSpPr>
        <xdr:cNvPr id="727" name="Text Box 1">
          <a:extLst>
            <a:ext uri="{FF2B5EF4-FFF2-40B4-BE49-F238E27FC236}">
              <a16:creationId xmlns:a16="http://schemas.microsoft.com/office/drawing/2014/main" id="{00000000-0008-0000-0300-0000D7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37</xdr:row>
      <xdr:rowOff>0</xdr:rowOff>
    </xdr:from>
    <xdr:to>
      <xdr:col>4</xdr:col>
      <xdr:colOff>76200</xdr:colOff>
      <xdr:row>38</xdr:row>
      <xdr:rowOff>0</xdr:rowOff>
    </xdr:to>
    <xdr:sp macro="" textlink="">
      <xdr:nvSpPr>
        <xdr:cNvPr id="728" name="Text Box 2">
          <a:extLst>
            <a:ext uri="{FF2B5EF4-FFF2-40B4-BE49-F238E27FC236}">
              <a16:creationId xmlns:a16="http://schemas.microsoft.com/office/drawing/2014/main" id="{00000000-0008-0000-0300-0000D8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37</xdr:row>
      <xdr:rowOff>0</xdr:rowOff>
    </xdr:from>
    <xdr:to>
      <xdr:col>4</xdr:col>
      <xdr:colOff>76200</xdr:colOff>
      <xdr:row>38</xdr:row>
      <xdr:rowOff>0</xdr:rowOff>
    </xdr:to>
    <xdr:sp macro="" textlink="">
      <xdr:nvSpPr>
        <xdr:cNvPr id="729" name="Text Box 1">
          <a:extLst>
            <a:ext uri="{FF2B5EF4-FFF2-40B4-BE49-F238E27FC236}">
              <a16:creationId xmlns:a16="http://schemas.microsoft.com/office/drawing/2014/main" id="{00000000-0008-0000-0300-0000D9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37</xdr:row>
      <xdr:rowOff>0</xdr:rowOff>
    </xdr:from>
    <xdr:to>
      <xdr:col>4</xdr:col>
      <xdr:colOff>76200</xdr:colOff>
      <xdr:row>38</xdr:row>
      <xdr:rowOff>0</xdr:rowOff>
    </xdr:to>
    <xdr:sp macro="" textlink="">
      <xdr:nvSpPr>
        <xdr:cNvPr id="730" name="Text Box 1">
          <a:extLst>
            <a:ext uri="{FF2B5EF4-FFF2-40B4-BE49-F238E27FC236}">
              <a16:creationId xmlns:a16="http://schemas.microsoft.com/office/drawing/2014/main" id="{00000000-0008-0000-0300-0000DA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37</xdr:row>
      <xdr:rowOff>0</xdr:rowOff>
    </xdr:from>
    <xdr:to>
      <xdr:col>4</xdr:col>
      <xdr:colOff>76200</xdr:colOff>
      <xdr:row>38</xdr:row>
      <xdr:rowOff>0</xdr:rowOff>
    </xdr:to>
    <xdr:sp macro="" textlink="">
      <xdr:nvSpPr>
        <xdr:cNvPr id="731" name="Text Box 2">
          <a:extLst>
            <a:ext uri="{FF2B5EF4-FFF2-40B4-BE49-F238E27FC236}">
              <a16:creationId xmlns:a16="http://schemas.microsoft.com/office/drawing/2014/main" id="{00000000-0008-0000-0300-0000DB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37</xdr:row>
      <xdr:rowOff>0</xdr:rowOff>
    </xdr:from>
    <xdr:to>
      <xdr:col>4</xdr:col>
      <xdr:colOff>76200</xdr:colOff>
      <xdr:row>38</xdr:row>
      <xdr:rowOff>0</xdr:rowOff>
    </xdr:to>
    <xdr:sp macro="" textlink="">
      <xdr:nvSpPr>
        <xdr:cNvPr id="732" name="Text Box 1">
          <a:extLst>
            <a:ext uri="{FF2B5EF4-FFF2-40B4-BE49-F238E27FC236}">
              <a16:creationId xmlns:a16="http://schemas.microsoft.com/office/drawing/2014/main" id="{00000000-0008-0000-0300-0000DC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37</xdr:row>
      <xdr:rowOff>0</xdr:rowOff>
    </xdr:from>
    <xdr:to>
      <xdr:col>4</xdr:col>
      <xdr:colOff>76200</xdr:colOff>
      <xdr:row>38</xdr:row>
      <xdr:rowOff>0</xdr:rowOff>
    </xdr:to>
    <xdr:sp macro="" textlink="">
      <xdr:nvSpPr>
        <xdr:cNvPr id="733" name="Text Box 1">
          <a:extLst>
            <a:ext uri="{FF2B5EF4-FFF2-40B4-BE49-F238E27FC236}">
              <a16:creationId xmlns:a16="http://schemas.microsoft.com/office/drawing/2014/main" id="{00000000-0008-0000-0300-0000DD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37</xdr:row>
      <xdr:rowOff>0</xdr:rowOff>
    </xdr:from>
    <xdr:to>
      <xdr:col>4</xdr:col>
      <xdr:colOff>76200</xdr:colOff>
      <xdr:row>38</xdr:row>
      <xdr:rowOff>0</xdr:rowOff>
    </xdr:to>
    <xdr:sp macro="" textlink="">
      <xdr:nvSpPr>
        <xdr:cNvPr id="734" name="Text Box 1">
          <a:extLst>
            <a:ext uri="{FF2B5EF4-FFF2-40B4-BE49-F238E27FC236}">
              <a16:creationId xmlns:a16="http://schemas.microsoft.com/office/drawing/2014/main" id="{00000000-0008-0000-0300-0000DE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37</xdr:row>
      <xdr:rowOff>0</xdr:rowOff>
    </xdr:from>
    <xdr:to>
      <xdr:col>4</xdr:col>
      <xdr:colOff>76200</xdr:colOff>
      <xdr:row>38</xdr:row>
      <xdr:rowOff>0</xdr:rowOff>
    </xdr:to>
    <xdr:sp macro="" textlink="">
      <xdr:nvSpPr>
        <xdr:cNvPr id="735" name="Text Box 2">
          <a:extLst>
            <a:ext uri="{FF2B5EF4-FFF2-40B4-BE49-F238E27FC236}">
              <a16:creationId xmlns:a16="http://schemas.microsoft.com/office/drawing/2014/main" id="{00000000-0008-0000-0300-0000DF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37</xdr:row>
      <xdr:rowOff>0</xdr:rowOff>
    </xdr:from>
    <xdr:to>
      <xdr:col>4</xdr:col>
      <xdr:colOff>76200</xdr:colOff>
      <xdr:row>38</xdr:row>
      <xdr:rowOff>0</xdr:rowOff>
    </xdr:to>
    <xdr:sp macro="" textlink="">
      <xdr:nvSpPr>
        <xdr:cNvPr id="736" name="Text Box 1">
          <a:extLst>
            <a:ext uri="{FF2B5EF4-FFF2-40B4-BE49-F238E27FC236}">
              <a16:creationId xmlns:a16="http://schemas.microsoft.com/office/drawing/2014/main" id="{00000000-0008-0000-0300-0000E0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37</xdr:row>
      <xdr:rowOff>0</xdr:rowOff>
    </xdr:from>
    <xdr:to>
      <xdr:col>4</xdr:col>
      <xdr:colOff>76200</xdr:colOff>
      <xdr:row>38</xdr:row>
      <xdr:rowOff>0</xdr:rowOff>
    </xdr:to>
    <xdr:sp macro="" textlink="">
      <xdr:nvSpPr>
        <xdr:cNvPr id="737" name="Text Box 1">
          <a:extLst>
            <a:ext uri="{FF2B5EF4-FFF2-40B4-BE49-F238E27FC236}">
              <a16:creationId xmlns:a16="http://schemas.microsoft.com/office/drawing/2014/main" id="{00000000-0008-0000-0300-0000E1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38</xdr:row>
      <xdr:rowOff>0</xdr:rowOff>
    </xdr:from>
    <xdr:to>
      <xdr:col>4</xdr:col>
      <xdr:colOff>76200</xdr:colOff>
      <xdr:row>39</xdr:row>
      <xdr:rowOff>0</xdr:rowOff>
    </xdr:to>
    <xdr:sp macro="" textlink="">
      <xdr:nvSpPr>
        <xdr:cNvPr id="738" name="Text Box 1">
          <a:extLst>
            <a:ext uri="{FF2B5EF4-FFF2-40B4-BE49-F238E27FC236}">
              <a16:creationId xmlns:a16="http://schemas.microsoft.com/office/drawing/2014/main" id="{00000000-0008-0000-0300-0000E2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38</xdr:row>
      <xdr:rowOff>0</xdr:rowOff>
    </xdr:from>
    <xdr:to>
      <xdr:col>4</xdr:col>
      <xdr:colOff>76200</xdr:colOff>
      <xdr:row>39</xdr:row>
      <xdr:rowOff>0</xdr:rowOff>
    </xdr:to>
    <xdr:sp macro="" textlink="">
      <xdr:nvSpPr>
        <xdr:cNvPr id="739" name="Text Box 2">
          <a:extLst>
            <a:ext uri="{FF2B5EF4-FFF2-40B4-BE49-F238E27FC236}">
              <a16:creationId xmlns:a16="http://schemas.microsoft.com/office/drawing/2014/main" id="{00000000-0008-0000-0300-0000E3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38</xdr:row>
      <xdr:rowOff>0</xdr:rowOff>
    </xdr:from>
    <xdr:to>
      <xdr:col>4</xdr:col>
      <xdr:colOff>76200</xdr:colOff>
      <xdr:row>39</xdr:row>
      <xdr:rowOff>0</xdr:rowOff>
    </xdr:to>
    <xdr:sp macro="" textlink="">
      <xdr:nvSpPr>
        <xdr:cNvPr id="740" name="Text Box 1">
          <a:extLst>
            <a:ext uri="{FF2B5EF4-FFF2-40B4-BE49-F238E27FC236}">
              <a16:creationId xmlns:a16="http://schemas.microsoft.com/office/drawing/2014/main" id="{00000000-0008-0000-0300-0000E4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38</xdr:row>
      <xdr:rowOff>0</xdr:rowOff>
    </xdr:from>
    <xdr:to>
      <xdr:col>4</xdr:col>
      <xdr:colOff>76200</xdr:colOff>
      <xdr:row>39</xdr:row>
      <xdr:rowOff>0</xdr:rowOff>
    </xdr:to>
    <xdr:sp macro="" textlink="">
      <xdr:nvSpPr>
        <xdr:cNvPr id="741" name="Text Box 1">
          <a:extLst>
            <a:ext uri="{FF2B5EF4-FFF2-40B4-BE49-F238E27FC236}">
              <a16:creationId xmlns:a16="http://schemas.microsoft.com/office/drawing/2014/main" id="{00000000-0008-0000-0300-0000E5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38</xdr:row>
      <xdr:rowOff>0</xdr:rowOff>
    </xdr:from>
    <xdr:to>
      <xdr:col>4</xdr:col>
      <xdr:colOff>76200</xdr:colOff>
      <xdr:row>39</xdr:row>
      <xdr:rowOff>0</xdr:rowOff>
    </xdr:to>
    <xdr:sp macro="" textlink="">
      <xdr:nvSpPr>
        <xdr:cNvPr id="742" name="Text Box 1">
          <a:extLst>
            <a:ext uri="{FF2B5EF4-FFF2-40B4-BE49-F238E27FC236}">
              <a16:creationId xmlns:a16="http://schemas.microsoft.com/office/drawing/2014/main" id="{00000000-0008-0000-0300-0000E6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38</xdr:row>
      <xdr:rowOff>0</xdr:rowOff>
    </xdr:from>
    <xdr:to>
      <xdr:col>4</xdr:col>
      <xdr:colOff>76200</xdr:colOff>
      <xdr:row>39</xdr:row>
      <xdr:rowOff>0</xdr:rowOff>
    </xdr:to>
    <xdr:sp macro="" textlink="">
      <xdr:nvSpPr>
        <xdr:cNvPr id="743" name="Text Box 2">
          <a:extLst>
            <a:ext uri="{FF2B5EF4-FFF2-40B4-BE49-F238E27FC236}">
              <a16:creationId xmlns:a16="http://schemas.microsoft.com/office/drawing/2014/main" id="{00000000-0008-0000-0300-0000E7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38</xdr:row>
      <xdr:rowOff>0</xdr:rowOff>
    </xdr:from>
    <xdr:to>
      <xdr:col>4</xdr:col>
      <xdr:colOff>76200</xdr:colOff>
      <xdr:row>39</xdr:row>
      <xdr:rowOff>0</xdr:rowOff>
    </xdr:to>
    <xdr:sp macro="" textlink="">
      <xdr:nvSpPr>
        <xdr:cNvPr id="744" name="Text Box 1">
          <a:extLst>
            <a:ext uri="{FF2B5EF4-FFF2-40B4-BE49-F238E27FC236}">
              <a16:creationId xmlns:a16="http://schemas.microsoft.com/office/drawing/2014/main" id="{00000000-0008-0000-0300-0000E8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38</xdr:row>
      <xdr:rowOff>0</xdr:rowOff>
    </xdr:from>
    <xdr:to>
      <xdr:col>4</xdr:col>
      <xdr:colOff>76200</xdr:colOff>
      <xdr:row>39</xdr:row>
      <xdr:rowOff>0</xdr:rowOff>
    </xdr:to>
    <xdr:sp macro="" textlink="">
      <xdr:nvSpPr>
        <xdr:cNvPr id="745" name="Text Box 1">
          <a:extLst>
            <a:ext uri="{FF2B5EF4-FFF2-40B4-BE49-F238E27FC236}">
              <a16:creationId xmlns:a16="http://schemas.microsoft.com/office/drawing/2014/main" id="{00000000-0008-0000-0300-0000E9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38</xdr:row>
      <xdr:rowOff>0</xdr:rowOff>
    </xdr:from>
    <xdr:to>
      <xdr:col>4</xdr:col>
      <xdr:colOff>76200</xdr:colOff>
      <xdr:row>39</xdr:row>
      <xdr:rowOff>0</xdr:rowOff>
    </xdr:to>
    <xdr:sp macro="" textlink="">
      <xdr:nvSpPr>
        <xdr:cNvPr id="746" name="Text Box 1">
          <a:extLst>
            <a:ext uri="{FF2B5EF4-FFF2-40B4-BE49-F238E27FC236}">
              <a16:creationId xmlns:a16="http://schemas.microsoft.com/office/drawing/2014/main" id="{00000000-0008-0000-0300-0000EA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38</xdr:row>
      <xdr:rowOff>0</xdr:rowOff>
    </xdr:from>
    <xdr:to>
      <xdr:col>4</xdr:col>
      <xdr:colOff>76200</xdr:colOff>
      <xdr:row>39</xdr:row>
      <xdr:rowOff>0</xdr:rowOff>
    </xdr:to>
    <xdr:sp macro="" textlink="">
      <xdr:nvSpPr>
        <xdr:cNvPr id="747" name="Text Box 2">
          <a:extLst>
            <a:ext uri="{FF2B5EF4-FFF2-40B4-BE49-F238E27FC236}">
              <a16:creationId xmlns:a16="http://schemas.microsoft.com/office/drawing/2014/main" id="{00000000-0008-0000-0300-0000EB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38</xdr:row>
      <xdr:rowOff>0</xdr:rowOff>
    </xdr:from>
    <xdr:to>
      <xdr:col>4</xdr:col>
      <xdr:colOff>76200</xdr:colOff>
      <xdr:row>39</xdr:row>
      <xdr:rowOff>0</xdr:rowOff>
    </xdr:to>
    <xdr:sp macro="" textlink="">
      <xdr:nvSpPr>
        <xdr:cNvPr id="748" name="Text Box 1">
          <a:extLst>
            <a:ext uri="{FF2B5EF4-FFF2-40B4-BE49-F238E27FC236}">
              <a16:creationId xmlns:a16="http://schemas.microsoft.com/office/drawing/2014/main" id="{00000000-0008-0000-0300-0000EC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38</xdr:row>
      <xdr:rowOff>0</xdr:rowOff>
    </xdr:from>
    <xdr:to>
      <xdr:col>4</xdr:col>
      <xdr:colOff>76200</xdr:colOff>
      <xdr:row>39</xdr:row>
      <xdr:rowOff>0</xdr:rowOff>
    </xdr:to>
    <xdr:sp macro="" textlink="">
      <xdr:nvSpPr>
        <xdr:cNvPr id="749" name="Text Box 1">
          <a:extLst>
            <a:ext uri="{FF2B5EF4-FFF2-40B4-BE49-F238E27FC236}">
              <a16:creationId xmlns:a16="http://schemas.microsoft.com/office/drawing/2014/main" id="{00000000-0008-0000-0300-0000ED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38</xdr:row>
      <xdr:rowOff>0</xdr:rowOff>
    </xdr:from>
    <xdr:to>
      <xdr:col>4</xdr:col>
      <xdr:colOff>76200</xdr:colOff>
      <xdr:row>39</xdr:row>
      <xdr:rowOff>0</xdr:rowOff>
    </xdr:to>
    <xdr:sp macro="" textlink="">
      <xdr:nvSpPr>
        <xdr:cNvPr id="750" name="Text Box 1">
          <a:extLst>
            <a:ext uri="{FF2B5EF4-FFF2-40B4-BE49-F238E27FC236}">
              <a16:creationId xmlns:a16="http://schemas.microsoft.com/office/drawing/2014/main" id="{00000000-0008-0000-0300-0000EE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38</xdr:row>
      <xdr:rowOff>0</xdr:rowOff>
    </xdr:from>
    <xdr:to>
      <xdr:col>4</xdr:col>
      <xdr:colOff>76200</xdr:colOff>
      <xdr:row>39</xdr:row>
      <xdr:rowOff>0</xdr:rowOff>
    </xdr:to>
    <xdr:sp macro="" textlink="">
      <xdr:nvSpPr>
        <xdr:cNvPr id="751" name="Text Box 2">
          <a:extLst>
            <a:ext uri="{FF2B5EF4-FFF2-40B4-BE49-F238E27FC236}">
              <a16:creationId xmlns:a16="http://schemas.microsoft.com/office/drawing/2014/main" id="{00000000-0008-0000-0300-0000EF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38</xdr:row>
      <xdr:rowOff>0</xdr:rowOff>
    </xdr:from>
    <xdr:to>
      <xdr:col>4</xdr:col>
      <xdr:colOff>76200</xdr:colOff>
      <xdr:row>39</xdr:row>
      <xdr:rowOff>0</xdr:rowOff>
    </xdr:to>
    <xdr:sp macro="" textlink="">
      <xdr:nvSpPr>
        <xdr:cNvPr id="752" name="Text Box 1">
          <a:extLst>
            <a:ext uri="{FF2B5EF4-FFF2-40B4-BE49-F238E27FC236}">
              <a16:creationId xmlns:a16="http://schemas.microsoft.com/office/drawing/2014/main" id="{00000000-0008-0000-0300-0000F0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38</xdr:row>
      <xdr:rowOff>0</xdr:rowOff>
    </xdr:from>
    <xdr:to>
      <xdr:col>4</xdr:col>
      <xdr:colOff>76200</xdr:colOff>
      <xdr:row>39</xdr:row>
      <xdr:rowOff>0</xdr:rowOff>
    </xdr:to>
    <xdr:sp macro="" textlink="">
      <xdr:nvSpPr>
        <xdr:cNvPr id="753" name="Text Box 1">
          <a:extLst>
            <a:ext uri="{FF2B5EF4-FFF2-40B4-BE49-F238E27FC236}">
              <a16:creationId xmlns:a16="http://schemas.microsoft.com/office/drawing/2014/main" id="{00000000-0008-0000-0300-0000F1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38</xdr:row>
      <xdr:rowOff>0</xdr:rowOff>
    </xdr:from>
    <xdr:to>
      <xdr:col>4</xdr:col>
      <xdr:colOff>76200</xdr:colOff>
      <xdr:row>39</xdr:row>
      <xdr:rowOff>0</xdr:rowOff>
    </xdr:to>
    <xdr:sp macro="" textlink="">
      <xdr:nvSpPr>
        <xdr:cNvPr id="754" name="Text Box 2">
          <a:extLst>
            <a:ext uri="{FF2B5EF4-FFF2-40B4-BE49-F238E27FC236}">
              <a16:creationId xmlns:a16="http://schemas.microsoft.com/office/drawing/2014/main" id="{00000000-0008-0000-0300-0000F2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38</xdr:row>
      <xdr:rowOff>0</xdr:rowOff>
    </xdr:from>
    <xdr:to>
      <xdr:col>4</xdr:col>
      <xdr:colOff>76200</xdr:colOff>
      <xdr:row>39</xdr:row>
      <xdr:rowOff>0</xdr:rowOff>
    </xdr:to>
    <xdr:sp macro="" textlink="">
      <xdr:nvSpPr>
        <xdr:cNvPr id="755" name="Text Box 1">
          <a:extLst>
            <a:ext uri="{FF2B5EF4-FFF2-40B4-BE49-F238E27FC236}">
              <a16:creationId xmlns:a16="http://schemas.microsoft.com/office/drawing/2014/main" id="{00000000-0008-0000-0300-0000F3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38</xdr:row>
      <xdr:rowOff>0</xdr:rowOff>
    </xdr:from>
    <xdr:to>
      <xdr:col>4</xdr:col>
      <xdr:colOff>76200</xdr:colOff>
      <xdr:row>39</xdr:row>
      <xdr:rowOff>0</xdr:rowOff>
    </xdr:to>
    <xdr:sp macro="" textlink="">
      <xdr:nvSpPr>
        <xdr:cNvPr id="756" name="Text Box 1">
          <a:extLst>
            <a:ext uri="{FF2B5EF4-FFF2-40B4-BE49-F238E27FC236}">
              <a16:creationId xmlns:a16="http://schemas.microsoft.com/office/drawing/2014/main" id="{00000000-0008-0000-0300-0000F4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38</xdr:row>
      <xdr:rowOff>0</xdr:rowOff>
    </xdr:from>
    <xdr:to>
      <xdr:col>4</xdr:col>
      <xdr:colOff>76200</xdr:colOff>
      <xdr:row>39</xdr:row>
      <xdr:rowOff>0</xdr:rowOff>
    </xdr:to>
    <xdr:sp macro="" textlink="">
      <xdr:nvSpPr>
        <xdr:cNvPr id="757" name="Text Box 1">
          <a:extLst>
            <a:ext uri="{FF2B5EF4-FFF2-40B4-BE49-F238E27FC236}">
              <a16:creationId xmlns:a16="http://schemas.microsoft.com/office/drawing/2014/main" id="{00000000-0008-0000-0300-0000F5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38</xdr:row>
      <xdr:rowOff>0</xdr:rowOff>
    </xdr:from>
    <xdr:to>
      <xdr:col>4</xdr:col>
      <xdr:colOff>76200</xdr:colOff>
      <xdr:row>39</xdr:row>
      <xdr:rowOff>0</xdr:rowOff>
    </xdr:to>
    <xdr:sp macro="" textlink="">
      <xdr:nvSpPr>
        <xdr:cNvPr id="758" name="Text Box 2">
          <a:extLst>
            <a:ext uri="{FF2B5EF4-FFF2-40B4-BE49-F238E27FC236}">
              <a16:creationId xmlns:a16="http://schemas.microsoft.com/office/drawing/2014/main" id="{00000000-0008-0000-0300-0000F6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38</xdr:row>
      <xdr:rowOff>0</xdr:rowOff>
    </xdr:from>
    <xdr:to>
      <xdr:col>4</xdr:col>
      <xdr:colOff>76200</xdr:colOff>
      <xdr:row>39</xdr:row>
      <xdr:rowOff>0</xdr:rowOff>
    </xdr:to>
    <xdr:sp macro="" textlink="">
      <xdr:nvSpPr>
        <xdr:cNvPr id="759" name="Text Box 1">
          <a:extLst>
            <a:ext uri="{FF2B5EF4-FFF2-40B4-BE49-F238E27FC236}">
              <a16:creationId xmlns:a16="http://schemas.microsoft.com/office/drawing/2014/main" id="{00000000-0008-0000-0300-0000F7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38</xdr:row>
      <xdr:rowOff>0</xdr:rowOff>
    </xdr:from>
    <xdr:to>
      <xdr:col>4</xdr:col>
      <xdr:colOff>76200</xdr:colOff>
      <xdr:row>39</xdr:row>
      <xdr:rowOff>0</xdr:rowOff>
    </xdr:to>
    <xdr:sp macro="" textlink="">
      <xdr:nvSpPr>
        <xdr:cNvPr id="760" name="Text Box 1">
          <a:extLst>
            <a:ext uri="{FF2B5EF4-FFF2-40B4-BE49-F238E27FC236}">
              <a16:creationId xmlns:a16="http://schemas.microsoft.com/office/drawing/2014/main" id="{00000000-0008-0000-0300-0000F8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39</xdr:row>
      <xdr:rowOff>0</xdr:rowOff>
    </xdr:from>
    <xdr:to>
      <xdr:col>4</xdr:col>
      <xdr:colOff>76200</xdr:colOff>
      <xdr:row>40</xdr:row>
      <xdr:rowOff>0</xdr:rowOff>
    </xdr:to>
    <xdr:sp macro="" textlink="">
      <xdr:nvSpPr>
        <xdr:cNvPr id="761" name="Text Box 1">
          <a:extLst>
            <a:ext uri="{FF2B5EF4-FFF2-40B4-BE49-F238E27FC236}">
              <a16:creationId xmlns:a16="http://schemas.microsoft.com/office/drawing/2014/main" id="{00000000-0008-0000-0300-0000F9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39</xdr:row>
      <xdr:rowOff>0</xdr:rowOff>
    </xdr:from>
    <xdr:to>
      <xdr:col>4</xdr:col>
      <xdr:colOff>76200</xdr:colOff>
      <xdr:row>40</xdr:row>
      <xdr:rowOff>0</xdr:rowOff>
    </xdr:to>
    <xdr:sp macro="" textlink="">
      <xdr:nvSpPr>
        <xdr:cNvPr id="762" name="Text Box 2">
          <a:extLst>
            <a:ext uri="{FF2B5EF4-FFF2-40B4-BE49-F238E27FC236}">
              <a16:creationId xmlns:a16="http://schemas.microsoft.com/office/drawing/2014/main" id="{00000000-0008-0000-0300-0000FA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39</xdr:row>
      <xdr:rowOff>0</xdr:rowOff>
    </xdr:from>
    <xdr:to>
      <xdr:col>4</xdr:col>
      <xdr:colOff>76200</xdr:colOff>
      <xdr:row>40</xdr:row>
      <xdr:rowOff>0</xdr:rowOff>
    </xdr:to>
    <xdr:sp macro="" textlink="">
      <xdr:nvSpPr>
        <xdr:cNvPr id="763" name="Text Box 1">
          <a:extLst>
            <a:ext uri="{FF2B5EF4-FFF2-40B4-BE49-F238E27FC236}">
              <a16:creationId xmlns:a16="http://schemas.microsoft.com/office/drawing/2014/main" id="{00000000-0008-0000-0300-0000FB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39</xdr:row>
      <xdr:rowOff>0</xdr:rowOff>
    </xdr:from>
    <xdr:to>
      <xdr:col>4</xdr:col>
      <xdr:colOff>76200</xdr:colOff>
      <xdr:row>40</xdr:row>
      <xdr:rowOff>0</xdr:rowOff>
    </xdr:to>
    <xdr:sp macro="" textlink="">
      <xdr:nvSpPr>
        <xdr:cNvPr id="764" name="Text Box 1">
          <a:extLst>
            <a:ext uri="{FF2B5EF4-FFF2-40B4-BE49-F238E27FC236}">
              <a16:creationId xmlns:a16="http://schemas.microsoft.com/office/drawing/2014/main" id="{00000000-0008-0000-0300-0000FC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39</xdr:row>
      <xdr:rowOff>0</xdr:rowOff>
    </xdr:from>
    <xdr:to>
      <xdr:col>4</xdr:col>
      <xdr:colOff>76200</xdr:colOff>
      <xdr:row>40</xdr:row>
      <xdr:rowOff>0</xdr:rowOff>
    </xdr:to>
    <xdr:sp macro="" textlink="">
      <xdr:nvSpPr>
        <xdr:cNvPr id="765" name="Text Box 1">
          <a:extLst>
            <a:ext uri="{FF2B5EF4-FFF2-40B4-BE49-F238E27FC236}">
              <a16:creationId xmlns:a16="http://schemas.microsoft.com/office/drawing/2014/main" id="{00000000-0008-0000-0300-0000FD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39</xdr:row>
      <xdr:rowOff>0</xdr:rowOff>
    </xdr:from>
    <xdr:to>
      <xdr:col>4</xdr:col>
      <xdr:colOff>76200</xdr:colOff>
      <xdr:row>40</xdr:row>
      <xdr:rowOff>0</xdr:rowOff>
    </xdr:to>
    <xdr:sp macro="" textlink="">
      <xdr:nvSpPr>
        <xdr:cNvPr id="766" name="Text Box 2">
          <a:extLst>
            <a:ext uri="{FF2B5EF4-FFF2-40B4-BE49-F238E27FC236}">
              <a16:creationId xmlns:a16="http://schemas.microsoft.com/office/drawing/2014/main" id="{00000000-0008-0000-0300-0000FE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39</xdr:row>
      <xdr:rowOff>0</xdr:rowOff>
    </xdr:from>
    <xdr:to>
      <xdr:col>4</xdr:col>
      <xdr:colOff>76200</xdr:colOff>
      <xdr:row>40</xdr:row>
      <xdr:rowOff>0</xdr:rowOff>
    </xdr:to>
    <xdr:sp macro="" textlink="">
      <xdr:nvSpPr>
        <xdr:cNvPr id="767" name="Text Box 1">
          <a:extLst>
            <a:ext uri="{FF2B5EF4-FFF2-40B4-BE49-F238E27FC236}">
              <a16:creationId xmlns:a16="http://schemas.microsoft.com/office/drawing/2014/main" id="{00000000-0008-0000-0300-0000FF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39</xdr:row>
      <xdr:rowOff>0</xdr:rowOff>
    </xdr:from>
    <xdr:to>
      <xdr:col>4</xdr:col>
      <xdr:colOff>76200</xdr:colOff>
      <xdr:row>40</xdr:row>
      <xdr:rowOff>0</xdr:rowOff>
    </xdr:to>
    <xdr:sp macro="" textlink="">
      <xdr:nvSpPr>
        <xdr:cNvPr id="768" name="Text Box 1">
          <a:extLst>
            <a:ext uri="{FF2B5EF4-FFF2-40B4-BE49-F238E27FC236}">
              <a16:creationId xmlns:a16="http://schemas.microsoft.com/office/drawing/2014/main" id="{00000000-0008-0000-0300-00000003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39</xdr:row>
      <xdr:rowOff>0</xdr:rowOff>
    </xdr:from>
    <xdr:to>
      <xdr:col>4</xdr:col>
      <xdr:colOff>76200</xdr:colOff>
      <xdr:row>40</xdr:row>
      <xdr:rowOff>0</xdr:rowOff>
    </xdr:to>
    <xdr:sp macro="" textlink="">
      <xdr:nvSpPr>
        <xdr:cNvPr id="769" name="Text Box 1">
          <a:extLst>
            <a:ext uri="{FF2B5EF4-FFF2-40B4-BE49-F238E27FC236}">
              <a16:creationId xmlns:a16="http://schemas.microsoft.com/office/drawing/2014/main" id="{00000000-0008-0000-0300-00000103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39</xdr:row>
      <xdr:rowOff>0</xdr:rowOff>
    </xdr:from>
    <xdr:to>
      <xdr:col>4</xdr:col>
      <xdr:colOff>76200</xdr:colOff>
      <xdr:row>40</xdr:row>
      <xdr:rowOff>0</xdr:rowOff>
    </xdr:to>
    <xdr:sp macro="" textlink="">
      <xdr:nvSpPr>
        <xdr:cNvPr id="770" name="Text Box 2">
          <a:extLst>
            <a:ext uri="{FF2B5EF4-FFF2-40B4-BE49-F238E27FC236}">
              <a16:creationId xmlns:a16="http://schemas.microsoft.com/office/drawing/2014/main" id="{00000000-0008-0000-0300-00000203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39</xdr:row>
      <xdr:rowOff>0</xdr:rowOff>
    </xdr:from>
    <xdr:to>
      <xdr:col>4</xdr:col>
      <xdr:colOff>76200</xdr:colOff>
      <xdr:row>40</xdr:row>
      <xdr:rowOff>0</xdr:rowOff>
    </xdr:to>
    <xdr:sp macro="" textlink="">
      <xdr:nvSpPr>
        <xdr:cNvPr id="771" name="Text Box 1">
          <a:extLst>
            <a:ext uri="{FF2B5EF4-FFF2-40B4-BE49-F238E27FC236}">
              <a16:creationId xmlns:a16="http://schemas.microsoft.com/office/drawing/2014/main" id="{00000000-0008-0000-0300-00000303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39</xdr:row>
      <xdr:rowOff>0</xdr:rowOff>
    </xdr:from>
    <xdr:to>
      <xdr:col>4</xdr:col>
      <xdr:colOff>76200</xdr:colOff>
      <xdr:row>40</xdr:row>
      <xdr:rowOff>0</xdr:rowOff>
    </xdr:to>
    <xdr:sp macro="" textlink="">
      <xdr:nvSpPr>
        <xdr:cNvPr id="772" name="Text Box 1">
          <a:extLst>
            <a:ext uri="{FF2B5EF4-FFF2-40B4-BE49-F238E27FC236}">
              <a16:creationId xmlns:a16="http://schemas.microsoft.com/office/drawing/2014/main" id="{00000000-0008-0000-0300-00000403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39</xdr:row>
      <xdr:rowOff>0</xdr:rowOff>
    </xdr:from>
    <xdr:to>
      <xdr:col>4</xdr:col>
      <xdr:colOff>76200</xdr:colOff>
      <xdr:row>40</xdr:row>
      <xdr:rowOff>0</xdr:rowOff>
    </xdr:to>
    <xdr:sp macro="" textlink="">
      <xdr:nvSpPr>
        <xdr:cNvPr id="773" name="Text Box 1">
          <a:extLst>
            <a:ext uri="{FF2B5EF4-FFF2-40B4-BE49-F238E27FC236}">
              <a16:creationId xmlns:a16="http://schemas.microsoft.com/office/drawing/2014/main" id="{00000000-0008-0000-0300-00000503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39</xdr:row>
      <xdr:rowOff>0</xdr:rowOff>
    </xdr:from>
    <xdr:to>
      <xdr:col>4</xdr:col>
      <xdr:colOff>76200</xdr:colOff>
      <xdr:row>40</xdr:row>
      <xdr:rowOff>0</xdr:rowOff>
    </xdr:to>
    <xdr:sp macro="" textlink="">
      <xdr:nvSpPr>
        <xdr:cNvPr id="774" name="Text Box 2">
          <a:extLst>
            <a:ext uri="{FF2B5EF4-FFF2-40B4-BE49-F238E27FC236}">
              <a16:creationId xmlns:a16="http://schemas.microsoft.com/office/drawing/2014/main" id="{00000000-0008-0000-0300-00000603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39</xdr:row>
      <xdr:rowOff>0</xdr:rowOff>
    </xdr:from>
    <xdr:to>
      <xdr:col>4</xdr:col>
      <xdr:colOff>76200</xdr:colOff>
      <xdr:row>40</xdr:row>
      <xdr:rowOff>0</xdr:rowOff>
    </xdr:to>
    <xdr:sp macro="" textlink="">
      <xdr:nvSpPr>
        <xdr:cNvPr id="775" name="Text Box 1">
          <a:extLst>
            <a:ext uri="{FF2B5EF4-FFF2-40B4-BE49-F238E27FC236}">
              <a16:creationId xmlns:a16="http://schemas.microsoft.com/office/drawing/2014/main" id="{00000000-0008-0000-0300-00000703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39</xdr:row>
      <xdr:rowOff>0</xdr:rowOff>
    </xdr:from>
    <xdr:to>
      <xdr:col>4</xdr:col>
      <xdr:colOff>76200</xdr:colOff>
      <xdr:row>40</xdr:row>
      <xdr:rowOff>0</xdr:rowOff>
    </xdr:to>
    <xdr:sp macro="" textlink="">
      <xdr:nvSpPr>
        <xdr:cNvPr id="776" name="Text Box 1">
          <a:extLst>
            <a:ext uri="{FF2B5EF4-FFF2-40B4-BE49-F238E27FC236}">
              <a16:creationId xmlns:a16="http://schemas.microsoft.com/office/drawing/2014/main" id="{00000000-0008-0000-0300-00000803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39</xdr:row>
      <xdr:rowOff>0</xdr:rowOff>
    </xdr:from>
    <xdr:to>
      <xdr:col>4</xdr:col>
      <xdr:colOff>76200</xdr:colOff>
      <xdr:row>40</xdr:row>
      <xdr:rowOff>0</xdr:rowOff>
    </xdr:to>
    <xdr:sp macro="" textlink="">
      <xdr:nvSpPr>
        <xdr:cNvPr id="777" name="Text Box 2">
          <a:extLst>
            <a:ext uri="{FF2B5EF4-FFF2-40B4-BE49-F238E27FC236}">
              <a16:creationId xmlns:a16="http://schemas.microsoft.com/office/drawing/2014/main" id="{00000000-0008-0000-0300-00000903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39</xdr:row>
      <xdr:rowOff>0</xdr:rowOff>
    </xdr:from>
    <xdr:to>
      <xdr:col>4</xdr:col>
      <xdr:colOff>76200</xdr:colOff>
      <xdr:row>40</xdr:row>
      <xdr:rowOff>0</xdr:rowOff>
    </xdr:to>
    <xdr:sp macro="" textlink="">
      <xdr:nvSpPr>
        <xdr:cNvPr id="778" name="Text Box 1">
          <a:extLst>
            <a:ext uri="{FF2B5EF4-FFF2-40B4-BE49-F238E27FC236}">
              <a16:creationId xmlns:a16="http://schemas.microsoft.com/office/drawing/2014/main" id="{00000000-0008-0000-0300-00000A03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39</xdr:row>
      <xdr:rowOff>0</xdr:rowOff>
    </xdr:from>
    <xdr:to>
      <xdr:col>4</xdr:col>
      <xdr:colOff>76200</xdr:colOff>
      <xdr:row>40</xdr:row>
      <xdr:rowOff>0</xdr:rowOff>
    </xdr:to>
    <xdr:sp macro="" textlink="">
      <xdr:nvSpPr>
        <xdr:cNvPr id="779" name="Text Box 1">
          <a:extLst>
            <a:ext uri="{FF2B5EF4-FFF2-40B4-BE49-F238E27FC236}">
              <a16:creationId xmlns:a16="http://schemas.microsoft.com/office/drawing/2014/main" id="{00000000-0008-0000-0300-00000B03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39</xdr:row>
      <xdr:rowOff>0</xdr:rowOff>
    </xdr:from>
    <xdr:to>
      <xdr:col>4</xdr:col>
      <xdr:colOff>76200</xdr:colOff>
      <xdr:row>40</xdr:row>
      <xdr:rowOff>0</xdr:rowOff>
    </xdr:to>
    <xdr:sp macro="" textlink="">
      <xdr:nvSpPr>
        <xdr:cNvPr id="780" name="Text Box 1">
          <a:extLst>
            <a:ext uri="{FF2B5EF4-FFF2-40B4-BE49-F238E27FC236}">
              <a16:creationId xmlns:a16="http://schemas.microsoft.com/office/drawing/2014/main" id="{00000000-0008-0000-0300-00000C03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39</xdr:row>
      <xdr:rowOff>0</xdr:rowOff>
    </xdr:from>
    <xdr:to>
      <xdr:col>4</xdr:col>
      <xdr:colOff>76200</xdr:colOff>
      <xdr:row>40</xdr:row>
      <xdr:rowOff>0</xdr:rowOff>
    </xdr:to>
    <xdr:sp macro="" textlink="">
      <xdr:nvSpPr>
        <xdr:cNvPr id="781" name="Text Box 2">
          <a:extLst>
            <a:ext uri="{FF2B5EF4-FFF2-40B4-BE49-F238E27FC236}">
              <a16:creationId xmlns:a16="http://schemas.microsoft.com/office/drawing/2014/main" id="{00000000-0008-0000-0300-00000D03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39</xdr:row>
      <xdr:rowOff>0</xdr:rowOff>
    </xdr:from>
    <xdr:to>
      <xdr:col>4</xdr:col>
      <xdr:colOff>76200</xdr:colOff>
      <xdr:row>40</xdr:row>
      <xdr:rowOff>0</xdr:rowOff>
    </xdr:to>
    <xdr:sp macro="" textlink="">
      <xdr:nvSpPr>
        <xdr:cNvPr id="782" name="Text Box 1">
          <a:extLst>
            <a:ext uri="{FF2B5EF4-FFF2-40B4-BE49-F238E27FC236}">
              <a16:creationId xmlns:a16="http://schemas.microsoft.com/office/drawing/2014/main" id="{00000000-0008-0000-0300-00000E03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39</xdr:row>
      <xdr:rowOff>0</xdr:rowOff>
    </xdr:from>
    <xdr:to>
      <xdr:col>4</xdr:col>
      <xdr:colOff>76200</xdr:colOff>
      <xdr:row>40</xdr:row>
      <xdr:rowOff>0</xdr:rowOff>
    </xdr:to>
    <xdr:sp macro="" textlink="">
      <xdr:nvSpPr>
        <xdr:cNvPr id="783" name="Text Box 1">
          <a:extLst>
            <a:ext uri="{FF2B5EF4-FFF2-40B4-BE49-F238E27FC236}">
              <a16:creationId xmlns:a16="http://schemas.microsoft.com/office/drawing/2014/main" id="{00000000-0008-0000-0300-00000F03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40</xdr:row>
      <xdr:rowOff>0</xdr:rowOff>
    </xdr:from>
    <xdr:to>
      <xdr:col>4</xdr:col>
      <xdr:colOff>76200</xdr:colOff>
      <xdr:row>41</xdr:row>
      <xdr:rowOff>0</xdr:rowOff>
    </xdr:to>
    <xdr:sp macro="" textlink="">
      <xdr:nvSpPr>
        <xdr:cNvPr id="784" name="Text Box 1">
          <a:extLst>
            <a:ext uri="{FF2B5EF4-FFF2-40B4-BE49-F238E27FC236}">
              <a16:creationId xmlns:a16="http://schemas.microsoft.com/office/drawing/2014/main" id="{00000000-0008-0000-0300-00001003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40</xdr:row>
      <xdr:rowOff>0</xdr:rowOff>
    </xdr:from>
    <xdr:to>
      <xdr:col>4</xdr:col>
      <xdr:colOff>76200</xdr:colOff>
      <xdr:row>41</xdr:row>
      <xdr:rowOff>0</xdr:rowOff>
    </xdr:to>
    <xdr:sp macro="" textlink="">
      <xdr:nvSpPr>
        <xdr:cNvPr id="785" name="Text Box 2">
          <a:extLst>
            <a:ext uri="{FF2B5EF4-FFF2-40B4-BE49-F238E27FC236}">
              <a16:creationId xmlns:a16="http://schemas.microsoft.com/office/drawing/2014/main" id="{00000000-0008-0000-0300-00001103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40</xdr:row>
      <xdr:rowOff>0</xdr:rowOff>
    </xdr:from>
    <xdr:to>
      <xdr:col>4</xdr:col>
      <xdr:colOff>76200</xdr:colOff>
      <xdr:row>41</xdr:row>
      <xdr:rowOff>0</xdr:rowOff>
    </xdr:to>
    <xdr:sp macro="" textlink="">
      <xdr:nvSpPr>
        <xdr:cNvPr id="786" name="Text Box 1">
          <a:extLst>
            <a:ext uri="{FF2B5EF4-FFF2-40B4-BE49-F238E27FC236}">
              <a16:creationId xmlns:a16="http://schemas.microsoft.com/office/drawing/2014/main" id="{00000000-0008-0000-0300-00001203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40</xdr:row>
      <xdr:rowOff>0</xdr:rowOff>
    </xdr:from>
    <xdr:to>
      <xdr:col>4</xdr:col>
      <xdr:colOff>76200</xdr:colOff>
      <xdr:row>41</xdr:row>
      <xdr:rowOff>0</xdr:rowOff>
    </xdr:to>
    <xdr:sp macro="" textlink="">
      <xdr:nvSpPr>
        <xdr:cNvPr id="787" name="Text Box 1">
          <a:extLst>
            <a:ext uri="{FF2B5EF4-FFF2-40B4-BE49-F238E27FC236}">
              <a16:creationId xmlns:a16="http://schemas.microsoft.com/office/drawing/2014/main" id="{00000000-0008-0000-0300-00001303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40</xdr:row>
      <xdr:rowOff>0</xdr:rowOff>
    </xdr:from>
    <xdr:to>
      <xdr:col>4</xdr:col>
      <xdr:colOff>76200</xdr:colOff>
      <xdr:row>41</xdr:row>
      <xdr:rowOff>0</xdr:rowOff>
    </xdr:to>
    <xdr:sp macro="" textlink="">
      <xdr:nvSpPr>
        <xdr:cNvPr id="788" name="Text Box 1">
          <a:extLst>
            <a:ext uri="{FF2B5EF4-FFF2-40B4-BE49-F238E27FC236}">
              <a16:creationId xmlns:a16="http://schemas.microsoft.com/office/drawing/2014/main" id="{00000000-0008-0000-0300-00001403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40</xdr:row>
      <xdr:rowOff>0</xdr:rowOff>
    </xdr:from>
    <xdr:to>
      <xdr:col>4</xdr:col>
      <xdr:colOff>76200</xdr:colOff>
      <xdr:row>41</xdr:row>
      <xdr:rowOff>0</xdr:rowOff>
    </xdr:to>
    <xdr:sp macro="" textlink="">
      <xdr:nvSpPr>
        <xdr:cNvPr id="789" name="Text Box 2">
          <a:extLst>
            <a:ext uri="{FF2B5EF4-FFF2-40B4-BE49-F238E27FC236}">
              <a16:creationId xmlns:a16="http://schemas.microsoft.com/office/drawing/2014/main" id="{00000000-0008-0000-0300-00001503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40</xdr:row>
      <xdr:rowOff>0</xdr:rowOff>
    </xdr:from>
    <xdr:to>
      <xdr:col>4</xdr:col>
      <xdr:colOff>76200</xdr:colOff>
      <xdr:row>41</xdr:row>
      <xdr:rowOff>0</xdr:rowOff>
    </xdr:to>
    <xdr:sp macro="" textlink="">
      <xdr:nvSpPr>
        <xdr:cNvPr id="790" name="Text Box 1">
          <a:extLst>
            <a:ext uri="{FF2B5EF4-FFF2-40B4-BE49-F238E27FC236}">
              <a16:creationId xmlns:a16="http://schemas.microsoft.com/office/drawing/2014/main" id="{00000000-0008-0000-0300-00001603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40</xdr:row>
      <xdr:rowOff>0</xdr:rowOff>
    </xdr:from>
    <xdr:to>
      <xdr:col>4</xdr:col>
      <xdr:colOff>76200</xdr:colOff>
      <xdr:row>41</xdr:row>
      <xdr:rowOff>0</xdr:rowOff>
    </xdr:to>
    <xdr:sp macro="" textlink="">
      <xdr:nvSpPr>
        <xdr:cNvPr id="791" name="Text Box 1">
          <a:extLst>
            <a:ext uri="{FF2B5EF4-FFF2-40B4-BE49-F238E27FC236}">
              <a16:creationId xmlns:a16="http://schemas.microsoft.com/office/drawing/2014/main" id="{00000000-0008-0000-0300-00001703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40</xdr:row>
      <xdr:rowOff>0</xdr:rowOff>
    </xdr:from>
    <xdr:to>
      <xdr:col>4</xdr:col>
      <xdr:colOff>76200</xdr:colOff>
      <xdr:row>41</xdr:row>
      <xdr:rowOff>0</xdr:rowOff>
    </xdr:to>
    <xdr:sp macro="" textlink="">
      <xdr:nvSpPr>
        <xdr:cNvPr id="792" name="Text Box 1">
          <a:extLst>
            <a:ext uri="{FF2B5EF4-FFF2-40B4-BE49-F238E27FC236}">
              <a16:creationId xmlns:a16="http://schemas.microsoft.com/office/drawing/2014/main" id="{00000000-0008-0000-0300-00001803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40</xdr:row>
      <xdr:rowOff>0</xdr:rowOff>
    </xdr:from>
    <xdr:to>
      <xdr:col>4</xdr:col>
      <xdr:colOff>76200</xdr:colOff>
      <xdr:row>41</xdr:row>
      <xdr:rowOff>0</xdr:rowOff>
    </xdr:to>
    <xdr:sp macro="" textlink="">
      <xdr:nvSpPr>
        <xdr:cNvPr id="793" name="Text Box 2">
          <a:extLst>
            <a:ext uri="{FF2B5EF4-FFF2-40B4-BE49-F238E27FC236}">
              <a16:creationId xmlns:a16="http://schemas.microsoft.com/office/drawing/2014/main" id="{00000000-0008-0000-0300-00001903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40</xdr:row>
      <xdr:rowOff>0</xdr:rowOff>
    </xdr:from>
    <xdr:to>
      <xdr:col>4</xdr:col>
      <xdr:colOff>76200</xdr:colOff>
      <xdr:row>41</xdr:row>
      <xdr:rowOff>0</xdr:rowOff>
    </xdr:to>
    <xdr:sp macro="" textlink="">
      <xdr:nvSpPr>
        <xdr:cNvPr id="794" name="Text Box 1">
          <a:extLst>
            <a:ext uri="{FF2B5EF4-FFF2-40B4-BE49-F238E27FC236}">
              <a16:creationId xmlns:a16="http://schemas.microsoft.com/office/drawing/2014/main" id="{00000000-0008-0000-0300-00001A03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40</xdr:row>
      <xdr:rowOff>0</xdr:rowOff>
    </xdr:from>
    <xdr:to>
      <xdr:col>4</xdr:col>
      <xdr:colOff>76200</xdr:colOff>
      <xdr:row>41</xdr:row>
      <xdr:rowOff>0</xdr:rowOff>
    </xdr:to>
    <xdr:sp macro="" textlink="">
      <xdr:nvSpPr>
        <xdr:cNvPr id="795" name="Text Box 1">
          <a:extLst>
            <a:ext uri="{FF2B5EF4-FFF2-40B4-BE49-F238E27FC236}">
              <a16:creationId xmlns:a16="http://schemas.microsoft.com/office/drawing/2014/main" id="{00000000-0008-0000-0300-00001B03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40</xdr:row>
      <xdr:rowOff>0</xdr:rowOff>
    </xdr:from>
    <xdr:to>
      <xdr:col>4</xdr:col>
      <xdr:colOff>76200</xdr:colOff>
      <xdr:row>41</xdr:row>
      <xdr:rowOff>0</xdr:rowOff>
    </xdr:to>
    <xdr:sp macro="" textlink="">
      <xdr:nvSpPr>
        <xdr:cNvPr id="796" name="Text Box 1">
          <a:extLst>
            <a:ext uri="{FF2B5EF4-FFF2-40B4-BE49-F238E27FC236}">
              <a16:creationId xmlns:a16="http://schemas.microsoft.com/office/drawing/2014/main" id="{00000000-0008-0000-0300-00001C03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40</xdr:row>
      <xdr:rowOff>0</xdr:rowOff>
    </xdr:from>
    <xdr:to>
      <xdr:col>4</xdr:col>
      <xdr:colOff>76200</xdr:colOff>
      <xdr:row>41</xdr:row>
      <xdr:rowOff>0</xdr:rowOff>
    </xdr:to>
    <xdr:sp macro="" textlink="">
      <xdr:nvSpPr>
        <xdr:cNvPr id="797" name="Text Box 2">
          <a:extLst>
            <a:ext uri="{FF2B5EF4-FFF2-40B4-BE49-F238E27FC236}">
              <a16:creationId xmlns:a16="http://schemas.microsoft.com/office/drawing/2014/main" id="{00000000-0008-0000-0300-00001D03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40</xdr:row>
      <xdr:rowOff>0</xdr:rowOff>
    </xdr:from>
    <xdr:to>
      <xdr:col>4</xdr:col>
      <xdr:colOff>76200</xdr:colOff>
      <xdr:row>41</xdr:row>
      <xdr:rowOff>0</xdr:rowOff>
    </xdr:to>
    <xdr:sp macro="" textlink="">
      <xdr:nvSpPr>
        <xdr:cNvPr id="798" name="Text Box 1">
          <a:extLst>
            <a:ext uri="{FF2B5EF4-FFF2-40B4-BE49-F238E27FC236}">
              <a16:creationId xmlns:a16="http://schemas.microsoft.com/office/drawing/2014/main" id="{00000000-0008-0000-0300-00001E03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40</xdr:row>
      <xdr:rowOff>0</xdr:rowOff>
    </xdr:from>
    <xdr:to>
      <xdr:col>4</xdr:col>
      <xdr:colOff>76200</xdr:colOff>
      <xdr:row>41</xdr:row>
      <xdr:rowOff>0</xdr:rowOff>
    </xdr:to>
    <xdr:sp macro="" textlink="">
      <xdr:nvSpPr>
        <xdr:cNvPr id="799" name="Text Box 1">
          <a:extLst>
            <a:ext uri="{FF2B5EF4-FFF2-40B4-BE49-F238E27FC236}">
              <a16:creationId xmlns:a16="http://schemas.microsoft.com/office/drawing/2014/main" id="{00000000-0008-0000-0300-00001F03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40</xdr:row>
      <xdr:rowOff>0</xdr:rowOff>
    </xdr:from>
    <xdr:to>
      <xdr:col>4</xdr:col>
      <xdr:colOff>76200</xdr:colOff>
      <xdr:row>41</xdr:row>
      <xdr:rowOff>0</xdr:rowOff>
    </xdr:to>
    <xdr:sp macro="" textlink="">
      <xdr:nvSpPr>
        <xdr:cNvPr id="800" name="Text Box 2">
          <a:extLst>
            <a:ext uri="{FF2B5EF4-FFF2-40B4-BE49-F238E27FC236}">
              <a16:creationId xmlns:a16="http://schemas.microsoft.com/office/drawing/2014/main" id="{00000000-0008-0000-0300-00002003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40</xdr:row>
      <xdr:rowOff>0</xdr:rowOff>
    </xdr:from>
    <xdr:to>
      <xdr:col>4</xdr:col>
      <xdr:colOff>76200</xdr:colOff>
      <xdr:row>41</xdr:row>
      <xdr:rowOff>0</xdr:rowOff>
    </xdr:to>
    <xdr:sp macro="" textlink="">
      <xdr:nvSpPr>
        <xdr:cNvPr id="801" name="Text Box 1">
          <a:extLst>
            <a:ext uri="{FF2B5EF4-FFF2-40B4-BE49-F238E27FC236}">
              <a16:creationId xmlns:a16="http://schemas.microsoft.com/office/drawing/2014/main" id="{00000000-0008-0000-0300-00002103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40</xdr:row>
      <xdr:rowOff>0</xdr:rowOff>
    </xdr:from>
    <xdr:to>
      <xdr:col>4</xdr:col>
      <xdr:colOff>76200</xdr:colOff>
      <xdr:row>41</xdr:row>
      <xdr:rowOff>0</xdr:rowOff>
    </xdr:to>
    <xdr:sp macro="" textlink="">
      <xdr:nvSpPr>
        <xdr:cNvPr id="802" name="Text Box 1">
          <a:extLst>
            <a:ext uri="{FF2B5EF4-FFF2-40B4-BE49-F238E27FC236}">
              <a16:creationId xmlns:a16="http://schemas.microsoft.com/office/drawing/2014/main" id="{00000000-0008-0000-0300-00002203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40</xdr:row>
      <xdr:rowOff>0</xdr:rowOff>
    </xdr:from>
    <xdr:to>
      <xdr:col>4</xdr:col>
      <xdr:colOff>76200</xdr:colOff>
      <xdr:row>41</xdr:row>
      <xdr:rowOff>0</xdr:rowOff>
    </xdr:to>
    <xdr:sp macro="" textlink="">
      <xdr:nvSpPr>
        <xdr:cNvPr id="803" name="Text Box 1">
          <a:extLst>
            <a:ext uri="{FF2B5EF4-FFF2-40B4-BE49-F238E27FC236}">
              <a16:creationId xmlns:a16="http://schemas.microsoft.com/office/drawing/2014/main" id="{00000000-0008-0000-0300-00002303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40</xdr:row>
      <xdr:rowOff>0</xdr:rowOff>
    </xdr:from>
    <xdr:to>
      <xdr:col>4</xdr:col>
      <xdr:colOff>76200</xdr:colOff>
      <xdr:row>41</xdr:row>
      <xdr:rowOff>0</xdr:rowOff>
    </xdr:to>
    <xdr:sp macro="" textlink="">
      <xdr:nvSpPr>
        <xdr:cNvPr id="804" name="Text Box 2">
          <a:extLst>
            <a:ext uri="{FF2B5EF4-FFF2-40B4-BE49-F238E27FC236}">
              <a16:creationId xmlns:a16="http://schemas.microsoft.com/office/drawing/2014/main" id="{00000000-0008-0000-0300-00002403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40</xdr:row>
      <xdr:rowOff>0</xdr:rowOff>
    </xdr:from>
    <xdr:to>
      <xdr:col>4</xdr:col>
      <xdr:colOff>76200</xdr:colOff>
      <xdr:row>41</xdr:row>
      <xdr:rowOff>0</xdr:rowOff>
    </xdr:to>
    <xdr:sp macro="" textlink="">
      <xdr:nvSpPr>
        <xdr:cNvPr id="805" name="Text Box 1">
          <a:extLst>
            <a:ext uri="{FF2B5EF4-FFF2-40B4-BE49-F238E27FC236}">
              <a16:creationId xmlns:a16="http://schemas.microsoft.com/office/drawing/2014/main" id="{00000000-0008-0000-0300-00002503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40</xdr:row>
      <xdr:rowOff>0</xdr:rowOff>
    </xdr:from>
    <xdr:to>
      <xdr:col>4</xdr:col>
      <xdr:colOff>76200</xdr:colOff>
      <xdr:row>41</xdr:row>
      <xdr:rowOff>0</xdr:rowOff>
    </xdr:to>
    <xdr:sp macro="" textlink="">
      <xdr:nvSpPr>
        <xdr:cNvPr id="806" name="Text Box 1">
          <a:extLst>
            <a:ext uri="{FF2B5EF4-FFF2-40B4-BE49-F238E27FC236}">
              <a16:creationId xmlns:a16="http://schemas.microsoft.com/office/drawing/2014/main" id="{00000000-0008-0000-0300-00002603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41</xdr:row>
      <xdr:rowOff>0</xdr:rowOff>
    </xdr:from>
    <xdr:to>
      <xdr:col>4</xdr:col>
      <xdr:colOff>76200</xdr:colOff>
      <xdr:row>42</xdr:row>
      <xdr:rowOff>0</xdr:rowOff>
    </xdr:to>
    <xdr:sp macro="" textlink="">
      <xdr:nvSpPr>
        <xdr:cNvPr id="807" name="Text Box 1">
          <a:extLst>
            <a:ext uri="{FF2B5EF4-FFF2-40B4-BE49-F238E27FC236}">
              <a16:creationId xmlns:a16="http://schemas.microsoft.com/office/drawing/2014/main" id="{00000000-0008-0000-0300-00002703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41</xdr:row>
      <xdr:rowOff>0</xdr:rowOff>
    </xdr:from>
    <xdr:to>
      <xdr:col>4</xdr:col>
      <xdr:colOff>76200</xdr:colOff>
      <xdr:row>42</xdr:row>
      <xdr:rowOff>0</xdr:rowOff>
    </xdr:to>
    <xdr:sp macro="" textlink="">
      <xdr:nvSpPr>
        <xdr:cNvPr id="808" name="Text Box 2">
          <a:extLst>
            <a:ext uri="{FF2B5EF4-FFF2-40B4-BE49-F238E27FC236}">
              <a16:creationId xmlns:a16="http://schemas.microsoft.com/office/drawing/2014/main" id="{00000000-0008-0000-0300-00002803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41</xdr:row>
      <xdr:rowOff>0</xdr:rowOff>
    </xdr:from>
    <xdr:to>
      <xdr:col>4</xdr:col>
      <xdr:colOff>76200</xdr:colOff>
      <xdr:row>42</xdr:row>
      <xdr:rowOff>0</xdr:rowOff>
    </xdr:to>
    <xdr:sp macro="" textlink="">
      <xdr:nvSpPr>
        <xdr:cNvPr id="809" name="Text Box 1">
          <a:extLst>
            <a:ext uri="{FF2B5EF4-FFF2-40B4-BE49-F238E27FC236}">
              <a16:creationId xmlns:a16="http://schemas.microsoft.com/office/drawing/2014/main" id="{00000000-0008-0000-0300-00002903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41</xdr:row>
      <xdr:rowOff>0</xdr:rowOff>
    </xdr:from>
    <xdr:to>
      <xdr:col>4</xdr:col>
      <xdr:colOff>76200</xdr:colOff>
      <xdr:row>42</xdr:row>
      <xdr:rowOff>0</xdr:rowOff>
    </xdr:to>
    <xdr:sp macro="" textlink="">
      <xdr:nvSpPr>
        <xdr:cNvPr id="810" name="Text Box 1">
          <a:extLst>
            <a:ext uri="{FF2B5EF4-FFF2-40B4-BE49-F238E27FC236}">
              <a16:creationId xmlns:a16="http://schemas.microsoft.com/office/drawing/2014/main" id="{00000000-0008-0000-0300-00002A03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41</xdr:row>
      <xdr:rowOff>0</xdr:rowOff>
    </xdr:from>
    <xdr:to>
      <xdr:col>4</xdr:col>
      <xdr:colOff>76200</xdr:colOff>
      <xdr:row>42</xdr:row>
      <xdr:rowOff>0</xdr:rowOff>
    </xdr:to>
    <xdr:sp macro="" textlink="">
      <xdr:nvSpPr>
        <xdr:cNvPr id="811" name="Text Box 1">
          <a:extLst>
            <a:ext uri="{FF2B5EF4-FFF2-40B4-BE49-F238E27FC236}">
              <a16:creationId xmlns:a16="http://schemas.microsoft.com/office/drawing/2014/main" id="{00000000-0008-0000-0300-00002B03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41</xdr:row>
      <xdr:rowOff>0</xdr:rowOff>
    </xdr:from>
    <xdr:to>
      <xdr:col>4</xdr:col>
      <xdr:colOff>76200</xdr:colOff>
      <xdr:row>42</xdr:row>
      <xdr:rowOff>0</xdr:rowOff>
    </xdr:to>
    <xdr:sp macro="" textlink="">
      <xdr:nvSpPr>
        <xdr:cNvPr id="812" name="Text Box 2">
          <a:extLst>
            <a:ext uri="{FF2B5EF4-FFF2-40B4-BE49-F238E27FC236}">
              <a16:creationId xmlns:a16="http://schemas.microsoft.com/office/drawing/2014/main" id="{00000000-0008-0000-0300-00002C03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41</xdr:row>
      <xdr:rowOff>0</xdr:rowOff>
    </xdr:from>
    <xdr:to>
      <xdr:col>4</xdr:col>
      <xdr:colOff>76200</xdr:colOff>
      <xdr:row>42</xdr:row>
      <xdr:rowOff>0</xdr:rowOff>
    </xdr:to>
    <xdr:sp macro="" textlink="">
      <xdr:nvSpPr>
        <xdr:cNvPr id="813" name="Text Box 1">
          <a:extLst>
            <a:ext uri="{FF2B5EF4-FFF2-40B4-BE49-F238E27FC236}">
              <a16:creationId xmlns:a16="http://schemas.microsoft.com/office/drawing/2014/main" id="{00000000-0008-0000-0300-00002D03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41</xdr:row>
      <xdr:rowOff>0</xdr:rowOff>
    </xdr:from>
    <xdr:to>
      <xdr:col>4</xdr:col>
      <xdr:colOff>76200</xdr:colOff>
      <xdr:row>42</xdr:row>
      <xdr:rowOff>0</xdr:rowOff>
    </xdr:to>
    <xdr:sp macro="" textlink="">
      <xdr:nvSpPr>
        <xdr:cNvPr id="814" name="Text Box 1">
          <a:extLst>
            <a:ext uri="{FF2B5EF4-FFF2-40B4-BE49-F238E27FC236}">
              <a16:creationId xmlns:a16="http://schemas.microsoft.com/office/drawing/2014/main" id="{00000000-0008-0000-0300-00002E03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41</xdr:row>
      <xdr:rowOff>0</xdr:rowOff>
    </xdr:from>
    <xdr:to>
      <xdr:col>4</xdr:col>
      <xdr:colOff>76200</xdr:colOff>
      <xdr:row>42</xdr:row>
      <xdr:rowOff>0</xdr:rowOff>
    </xdr:to>
    <xdr:sp macro="" textlink="">
      <xdr:nvSpPr>
        <xdr:cNvPr id="815" name="Text Box 1">
          <a:extLst>
            <a:ext uri="{FF2B5EF4-FFF2-40B4-BE49-F238E27FC236}">
              <a16:creationId xmlns:a16="http://schemas.microsoft.com/office/drawing/2014/main" id="{00000000-0008-0000-0300-00002F03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41</xdr:row>
      <xdr:rowOff>0</xdr:rowOff>
    </xdr:from>
    <xdr:to>
      <xdr:col>4</xdr:col>
      <xdr:colOff>76200</xdr:colOff>
      <xdr:row>42</xdr:row>
      <xdr:rowOff>0</xdr:rowOff>
    </xdr:to>
    <xdr:sp macro="" textlink="">
      <xdr:nvSpPr>
        <xdr:cNvPr id="816" name="Text Box 2">
          <a:extLst>
            <a:ext uri="{FF2B5EF4-FFF2-40B4-BE49-F238E27FC236}">
              <a16:creationId xmlns:a16="http://schemas.microsoft.com/office/drawing/2014/main" id="{00000000-0008-0000-0300-00003003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41</xdr:row>
      <xdr:rowOff>0</xdr:rowOff>
    </xdr:from>
    <xdr:to>
      <xdr:col>4</xdr:col>
      <xdr:colOff>76200</xdr:colOff>
      <xdr:row>42</xdr:row>
      <xdr:rowOff>0</xdr:rowOff>
    </xdr:to>
    <xdr:sp macro="" textlink="">
      <xdr:nvSpPr>
        <xdr:cNvPr id="817" name="Text Box 1">
          <a:extLst>
            <a:ext uri="{FF2B5EF4-FFF2-40B4-BE49-F238E27FC236}">
              <a16:creationId xmlns:a16="http://schemas.microsoft.com/office/drawing/2014/main" id="{00000000-0008-0000-0300-00003103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41</xdr:row>
      <xdr:rowOff>0</xdr:rowOff>
    </xdr:from>
    <xdr:to>
      <xdr:col>4</xdr:col>
      <xdr:colOff>76200</xdr:colOff>
      <xdr:row>42</xdr:row>
      <xdr:rowOff>0</xdr:rowOff>
    </xdr:to>
    <xdr:sp macro="" textlink="">
      <xdr:nvSpPr>
        <xdr:cNvPr id="818" name="Text Box 1">
          <a:extLst>
            <a:ext uri="{FF2B5EF4-FFF2-40B4-BE49-F238E27FC236}">
              <a16:creationId xmlns:a16="http://schemas.microsoft.com/office/drawing/2014/main" id="{00000000-0008-0000-0300-00003203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41</xdr:row>
      <xdr:rowOff>0</xdr:rowOff>
    </xdr:from>
    <xdr:to>
      <xdr:col>4</xdr:col>
      <xdr:colOff>76200</xdr:colOff>
      <xdr:row>42</xdr:row>
      <xdr:rowOff>0</xdr:rowOff>
    </xdr:to>
    <xdr:sp macro="" textlink="">
      <xdr:nvSpPr>
        <xdr:cNvPr id="819" name="Text Box 1">
          <a:extLst>
            <a:ext uri="{FF2B5EF4-FFF2-40B4-BE49-F238E27FC236}">
              <a16:creationId xmlns:a16="http://schemas.microsoft.com/office/drawing/2014/main" id="{00000000-0008-0000-0300-00003303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41</xdr:row>
      <xdr:rowOff>0</xdr:rowOff>
    </xdr:from>
    <xdr:to>
      <xdr:col>4</xdr:col>
      <xdr:colOff>76200</xdr:colOff>
      <xdr:row>42</xdr:row>
      <xdr:rowOff>0</xdr:rowOff>
    </xdr:to>
    <xdr:sp macro="" textlink="">
      <xdr:nvSpPr>
        <xdr:cNvPr id="820" name="Text Box 2">
          <a:extLst>
            <a:ext uri="{FF2B5EF4-FFF2-40B4-BE49-F238E27FC236}">
              <a16:creationId xmlns:a16="http://schemas.microsoft.com/office/drawing/2014/main" id="{00000000-0008-0000-0300-00003403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41</xdr:row>
      <xdr:rowOff>0</xdr:rowOff>
    </xdr:from>
    <xdr:to>
      <xdr:col>4</xdr:col>
      <xdr:colOff>76200</xdr:colOff>
      <xdr:row>42</xdr:row>
      <xdr:rowOff>0</xdr:rowOff>
    </xdr:to>
    <xdr:sp macro="" textlink="">
      <xdr:nvSpPr>
        <xdr:cNvPr id="821" name="Text Box 1">
          <a:extLst>
            <a:ext uri="{FF2B5EF4-FFF2-40B4-BE49-F238E27FC236}">
              <a16:creationId xmlns:a16="http://schemas.microsoft.com/office/drawing/2014/main" id="{00000000-0008-0000-0300-00003503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41</xdr:row>
      <xdr:rowOff>0</xdr:rowOff>
    </xdr:from>
    <xdr:to>
      <xdr:col>4</xdr:col>
      <xdr:colOff>76200</xdr:colOff>
      <xdr:row>42</xdr:row>
      <xdr:rowOff>0</xdr:rowOff>
    </xdr:to>
    <xdr:sp macro="" textlink="">
      <xdr:nvSpPr>
        <xdr:cNvPr id="822" name="Text Box 1">
          <a:extLst>
            <a:ext uri="{FF2B5EF4-FFF2-40B4-BE49-F238E27FC236}">
              <a16:creationId xmlns:a16="http://schemas.microsoft.com/office/drawing/2014/main" id="{00000000-0008-0000-0300-00003603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41</xdr:row>
      <xdr:rowOff>0</xdr:rowOff>
    </xdr:from>
    <xdr:to>
      <xdr:col>4</xdr:col>
      <xdr:colOff>76200</xdr:colOff>
      <xdr:row>42</xdr:row>
      <xdr:rowOff>0</xdr:rowOff>
    </xdr:to>
    <xdr:sp macro="" textlink="">
      <xdr:nvSpPr>
        <xdr:cNvPr id="823" name="Text Box 2">
          <a:extLst>
            <a:ext uri="{FF2B5EF4-FFF2-40B4-BE49-F238E27FC236}">
              <a16:creationId xmlns:a16="http://schemas.microsoft.com/office/drawing/2014/main" id="{00000000-0008-0000-0300-00003703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41</xdr:row>
      <xdr:rowOff>0</xdr:rowOff>
    </xdr:from>
    <xdr:to>
      <xdr:col>4</xdr:col>
      <xdr:colOff>76200</xdr:colOff>
      <xdr:row>42</xdr:row>
      <xdr:rowOff>0</xdr:rowOff>
    </xdr:to>
    <xdr:sp macro="" textlink="">
      <xdr:nvSpPr>
        <xdr:cNvPr id="824" name="Text Box 1">
          <a:extLst>
            <a:ext uri="{FF2B5EF4-FFF2-40B4-BE49-F238E27FC236}">
              <a16:creationId xmlns:a16="http://schemas.microsoft.com/office/drawing/2014/main" id="{00000000-0008-0000-0300-00003803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41</xdr:row>
      <xdr:rowOff>0</xdr:rowOff>
    </xdr:from>
    <xdr:to>
      <xdr:col>4</xdr:col>
      <xdr:colOff>76200</xdr:colOff>
      <xdr:row>42</xdr:row>
      <xdr:rowOff>0</xdr:rowOff>
    </xdr:to>
    <xdr:sp macro="" textlink="">
      <xdr:nvSpPr>
        <xdr:cNvPr id="825" name="Text Box 1">
          <a:extLst>
            <a:ext uri="{FF2B5EF4-FFF2-40B4-BE49-F238E27FC236}">
              <a16:creationId xmlns:a16="http://schemas.microsoft.com/office/drawing/2014/main" id="{00000000-0008-0000-0300-00003903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41</xdr:row>
      <xdr:rowOff>0</xdr:rowOff>
    </xdr:from>
    <xdr:to>
      <xdr:col>4</xdr:col>
      <xdr:colOff>76200</xdr:colOff>
      <xdr:row>42</xdr:row>
      <xdr:rowOff>0</xdr:rowOff>
    </xdr:to>
    <xdr:sp macro="" textlink="">
      <xdr:nvSpPr>
        <xdr:cNvPr id="826" name="Text Box 1">
          <a:extLst>
            <a:ext uri="{FF2B5EF4-FFF2-40B4-BE49-F238E27FC236}">
              <a16:creationId xmlns:a16="http://schemas.microsoft.com/office/drawing/2014/main" id="{00000000-0008-0000-0300-00003A03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41</xdr:row>
      <xdr:rowOff>0</xdr:rowOff>
    </xdr:from>
    <xdr:to>
      <xdr:col>4</xdr:col>
      <xdr:colOff>76200</xdr:colOff>
      <xdr:row>42</xdr:row>
      <xdr:rowOff>0</xdr:rowOff>
    </xdr:to>
    <xdr:sp macro="" textlink="">
      <xdr:nvSpPr>
        <xdr:cNvPr id="827" name="Text Box 2">
          <a:extLst>
            <a:ext uri="{FF2B5EF4-FFF2-40B4-BE49-F238E27FC236}">
              <a16:creationId xmlns:a16="http://schemas.microsoft.com/office/drawing/2014/main" id="{00000000-0008-0000-0300-00003B03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41</xdr:row>
      <xdr:rowOff>0</xdr:rowOff>
    </xdr:from>
    <xdr:to>
      <xdr:col>4</xdr:col>
      <xdr:colOff>76200</xdr:colOff>
      <xdr:row>42</xdr:row>
      <xdr:rowOff>0</xdr:rowOff>
    </xdr:to>
    <xdr:sp macro="" textlink="">
      <xdr:nvSpPr>
        <xdr:cNvPr id="828" name="Text Box 1">
          <a:extLst>
            <a:ext uri="{FF2B5EF4-FFF2-40B4-BE49-F238E27FC236}">
              <a16:creationId xmlns:a16="http://schemas.microsoft.com/office/drawing/2014/main" id="{00000000-0008-0000-0300-00003C03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41</xdr:row>
      <xdr:rowOff>0</xdr:rowOff>
    </xdr:from>
    <xdr:to>
      <xdr:col>4</xdr:col>
      <xdr:colOff>76200</xdr:colOff>
      <xdr:row>42</xdr:row>
      <xdr:rowOff>0</xdr:rowOff>
    </xdr:to>
    <xdr:sp macro="" textlink="">
      <xdr:nvSpPr>
        <xdr:cNvPr id="829" name="Text Box 1">
          <a:extLst>
            <a:ext uri="{FF2B5EF4-FFF2-40B4-BE49-F238E27FC236}">
              <a16:creationId xmlns:a16="http://schemas.microsoft.com/office/drawing/2014/main" id="{00000000-0008-0000-0300-00003D03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42</xdr:row>
      <xdr:rowOff>0</xdr:rowOff>
    </xdr:from>
    <xdr:to>
      <xdr:col>4</xdr:col>
      <xdr:colOff>76200</xdr:colOff>
      <xdr:row>43</xdr:row>
      <xdr:rowOff>0</xdr:rowOff>
    </xdr:to>
    <xdr:sp macro="" textlink="">
      <xdr:nvSpPr>
        <xdr:cNvPr id="830" name="Text Box 1">
          <a:extLst>
            <a:ext uri="{FF2B5EF4-FFF2-40B4-BE49-F238E27FC236}">
              <a16:creationId xmlns:a16="http://schemas.microsoft.com/office/drawing/2014/main" id="{00000000-0008-0000-0300-00003E03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42</xdr:row>
      <xdr:rowOff>0</xdr:rowOff>
    </xdr:from>
    <xdr:to>
      <xdr:col>4</xdr:col>
      <xdr:colOff>76200</xdr:colOff>
      <xdr:row>43</xdr:row>
      <xdr:rowOff>0</xdr:rowOff>
    </xdr:to>
    <xdr:sp macro="" textlink="">
      <xdr:nvSpPr>
        <xdr:cNvPr id="831" name="Text Box 2">
          <a:extLst>
            <a:ext uri="{FF2B5EF4-FFF2-40B4-BE49-F238E27FC236}">
              <a16:creationId xmlns:a16="http://schemas.microsoft.com/office/drawing/2014/main" id="{00000000-0008-0000-0300-00003F03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42</xdr:row>
      <xdr:rowOff>0</xdr:rowOff>
    </xdr:from>
    <xdr:to>
      <xdr:col>4</xdr:col>
      <xdr:colOff>76200</xdr:colOff>
      <xdr:row>43</xdr:row>
      <xdr:rowOff>0</xdr:rowOff>
    </xdr:to>
    <xdr:sp macro="" textlink="">
      <xdr:nvSpPr>
        <xdr:cNvPr id="832" name="Text Box 1">
          <a:extLst>
            <a:ext uri="{FF2B5EF4-FFF2-40B4-BE49-F238E27FC236}">
              <a16:creationId xmlns:a16="http://schemas.microsoft.com/office/drawing/2014/main" id="{00000000-0008-0000-0300-00004003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42</xdr:row>
      <xdr:rowOff>0</xdr:rowOff>
    </xdr:from>
    <xdr:to>
      <xdr:col>4</xdr:col>
      <xdr:colOff>76200</xdr:colOff>
      <xdr:row>43</xdr:row>
      <xdr:rowOff>0</xdr:rowOff>
    </xdr:to>
    <xdr:sp macro="" textlink="">
      <xdr:nvSpPr>
        <xdr:cNvPr id="833" name="Text Box 1">
          <a:extLst>
            <a:ext uri="{FF2B5EF4-FFF2-40B4-BE49-F238E27FC236}">
              <a16:creationId xmlns:a16="http://schemas.microsoft.com/office/drawing/2014/main" id="{00000000-0008-0000-0300-00004103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42</xdr:row>
      <xdr:rowOff>0</xdr:rowOff>
    </xdr:from>
    <xdr:to>
      <xdr:col>4</xdr:col>
      <xdr:colOff>76200</xdr:colOff>
      <xdr:row>43</xdr:row>
      <xdr:rowOff>0</xdr:rowOff>
    </xdr:to>
    <xdr:sp macro="" textlink="">
      <xdr:nvSpPr>
        <xdr:cNvPr id="834" name="Text Box 1">
          <a:extLst>
            <a:ext uri="{FF2B5EF4-FFF2-40B4-BE49-F238E27FC236}">
              <a16:creationId xmlns:a16="http://schemas.microsoft.com/office/drawing/2014/main" id="{00000000-0008-0000-0300-00004203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42</xdr:row>
      <xdr:rowOff>0</xdr:rowOff>
    </xdr:from>
    <xdr:to>
      <xdr:col>4</xdr:col>
      <xdr:colOff>76200</xdr:colOff>
      <xdr:row>43</xdr:row>
      <xdr:rowOff>0</xdr:rowOff>
    </xdr:to>
    <xdr:sp macro="" textlink="">
      <xdr:nvSpPr>
        <xdr:cNvPr id="835" name="Text Box 2">
          <a:extLst>
            <a:ext uri="{FF2B5EF4-FFF2-40B4-BE49-F238E27FC236}">
              <a16:creationId xmlns:a16="http://schemas.microsoft.com/office/drawing/2014/main" id="{00000000-0008-0000-0300-00004303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42</xdr:row>
      <xdr:rowOff>0</xdr:rowOff>
    </xdr:from>
    <xdr:to>
      <xdr:col>4</xdr:col>
      <xdr:colOff>76200</xdr:colOff>
      <xdr:row>43</xdr:row>
      <xdr:rowOff>0</xdr:rowOff>
    </xdr:to>
    <xdr:sp macro="" textlink="">
      <xdr:nvSpPr>
        <xdr:cNvPr id="836" name="Text Box 1">
          <a:extLst>
            <a:ext uri="{FF2B5EF4-FFF2-40B4-BE49-F238E27FC236}">
              <a16:creationId xmlns:a16="http://schemas.microsoft.com/office/drawing/2014/main" id="{00000000-0008-0000-0300-00004403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42</xdr:row>
      <xdr:rowOff>0</xdr:rowOff>
    </xdr:from>
    <xdr:to>
      <xdr:col>4</xdr:col>
      <xdr:colOff>76200</xdr:colOff>
      <xdr:row>43</xdr:row>
      <xdr:rowOff>0</xdr:rowOff>
    </xdr:to>
    <xdr:sp macro="" textlink="">
      <xdr:nvSpPr>
        <xdr:cNvPr id="837" name="Text Box 1">
          <a:extLst>
            <a:ext uri="{FF2B5EF4-FFF2-40B4-BE49-F238E27FC236}">
              <a16:creationId xmlns:a16="http://schemas.microsoft.com/office/drawing/2014/main" id="{00000000-0008-0000-0300-00004503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42</xdr:row>
      <xdr:rowOff>0</xdr:rowOff>
    </xdr:from>
    <xdr:to>
      <xdr:col>4</xdr:col>
      <xdr:colOff>76200</xdr:colOff>
      <xdr:row>43</xdr:row>
      <xdr:rowOff>0</xdr:rowOff>
    </xdr:to>
    <xdr:sp macro="" textlink="">
      <xdr:nvSpPr>
        <xdr:cNvPr id="838" name="Text Box 1">
          <a:extLst>
            <a:ext uri="{FF2B5EF4-FFF2-40B4-BE49-F238E27FC236}">
              <a16:creationId xmlns:a16="http://schemas.microsoft.com/office/drawing/2014/main" id="{00000000-0008-0000-0300-00004603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42</xdr:row>
      <xdr:rowOff>0</xdr:rowOff>
    </xdr:from>
    <xdr:to>
      <xdr:col>4</xdr:col>
      <xdr:colOff>76200</xdr:colOff>
      <xdr:row>43</xdr:row>
      <xdr:rowOff>0</xdr:rowOff>
    </xdr:to>
    <xdr:sp macro="" textlink="">
      <xdr:nvSpPr>
        <xdr:cNvPr id="839" name="Text Box 2">
          <a:extLst>
            <a:ext uri="{FF2B5EF4-FFF2-40B4-BE49-F238E27FC236}">
              <a16:creationId xmlns:a16="http://schemas.microsoft.com/office/drawing/2014/main" id="{00000000-0008-0000-0300-00004703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42</xdr:row>
      <xdr:rowOff>0</xdr:rowOff>
    </xdr:from>
    <xdr:to>
      <xdr:col>4</xdr:col>
      <xdr:colOff>76200</xdr:colOff>
      <xdr:row>43</xdr:row>
      <xdr:rowOff>0</xdr:rowOff>
    </xdr:to>
    <xdr:sp macro="" textlink="">
      <xdr:nvSpPr>
        <xdr:cNvPr id="840" name="Text Box 1">
          <a:extLst>
            <a:ext uri="{FF2B5EF4-FFF2-40B4-BE49-F238E27FC236}">
              <a16:creationId xmlns:a16="http://schemas.microsoft.com/office/drawing/2014/main" id="{00000000-0008-0000-0300-00004803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42</xdr:row>
      <xdr:rowOff>0</xdr:rowOff>
    </xdr:from>
    <xdr:to>
      <xdr:col>4</xdr:col>
      <xdr:colOff>76200</xdr:colOff>
      <xdr:row>43</xdr:row>
      <xdr:rowOff>0</xdr:rowOff>
    </xdr:to>
    <xdr:sp macro="" textlink="">
      <xdr:nvSpPr>
        <xdr:cNvPr id="841" name="Text Box 1">
          <a:extLst>
            <a:ext uri="{FF2B5EF4-FFF2-40B4-BE49-F238E27FC236}">
              <a16:creationId xmlns:a16="http://schemas.microsoft.com/office/drawing/2014/main" id="{00000000-0008-0000-0300-00004903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42</xdr:row>
      <xdr:rowOff>0</xdr:rowOff>
    </xdr:from>
    <xdr:to>
      <xdr:col>4</xdr:col>
      <xdr:colOff>76200</xdr:colOff>
      <xdr:row>43</xdr:row>
      <xdr:rowOff>0</xdr:rowOff>
    </xdr:to>
    <xdr:sp macro="" textlink="">
      <xdr:nvSpPr>
        <xdr:cNvPr id="842" name="Text Box 1">
          <a:extLst>
            <a:ext uri="{FF2B5EF4-FFF2-40B4-BE49-F238E27FC236}">
              <a16:creationId xmlns:a16="http://schemas.microsoft.com/office/drawing/2014/main" id="{00000000-0008-0000-0300-00004A03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42</xdr:row>
      <xdr:rowOff>0</xdr:rowOff>
    </xdr:from>
    <xdr:to>
      <xdr:col>4</xdr:col>
      <xdr:colOff>76200</xdr:colOff>
      <xdr:row>43</xdr:row>
      <xdr:rowOff>0</xdr:rowOff>
    </xdr:to>
    <xdr:sp macro="" textlink="">
      <xdr:nvSpPr>
        <xdr:cNvPr id="843" name="Text Box 2">
          <a:extLst>
            <a:ext uri="{FF2B5EF4-FFF2-40B4-BE49-F238E27FC236}">
              <a16:creationId xmlns:a16="http://schemas.microsoft.com/office/drawing/2014/main" id="{00000000-0008-0000-0300-00004B03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42</xdr:row>
      <xdr:rowOff>0</xdr:rowOff>
    </xdr:from>
    <xdr:to>
      <xdr:col>4</xdr:col>
      <xdr:colOff>76200</xdr:colOff>
      <xdr:row>43</xdr:row>
      <xdr:rowOff>0</xdr:rowOff>
    </xdr:to>
    <xdr:sp macro="" textlink="">
      <xdr:nvSpPr>
        <xdr:cNvPr id="844" name="Text Box 1">
          <a:extLst>
            <a:ext uri="{FF2B5EF4-FFF2-40B4-BE49-F238E27FC236}">
              <a16:creationId xmlns:a16="http://schemas.microsoft.com/office/drawing/2014/main" id="{00000000-0008-0000-0300-00004C03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42</xdr:row>
      <xdr:rowOff>0</xdr:rowOff>
    </xdr:from>
    <xdr:to>
      <xdr:col>4</xdr:col>
      <xdr:colOff>76200</xdr:colOff>
      <xdr:row>43</xdr:row>
      <xdr:rowOff>0</xdr:rowOff>
    </xdr:to>
    <xdr:sp macro="" textlink="">
      <xdr:nvSpPr>
        <xdr:cNvPr id="845" name="Text Box 1">
          <a:extLst>
            <a:ext uri="{FF2B5EF4-FFF2-40B4-BE49-F238E27FC236}">
              <a16:creationId xmlns:a16="http://schemas.microsoft.com/office/drawing/2014/main" id="{00000000-0008-0000-0300-00004D03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42</xdr:row>
      <xdr:rowOff>0</xdr:rowOff>
    </xdr:from>
    <xdr:to>
      <xdr:col>4</xdr:col>
      <xdr:colOff>76200</xdr:colOff>
      <xdr:row>43</xdr:row>
      <xdr:rowOff>0</xdr:rowOff>
    </xdr:to>
    <xdr:sp macro="" textlink="">
      <xdr:nvSpPr>
        <xdr:cNvPr id="846" name="Text Box 2">
          <a:extLst>
            <a:ext uri="{FF2B5EF4-FFF2-40B4-BE49-F238E27FC236}">
              <a16:creationId xmlns:a16="http://schemas.microsoft.com/office/drawing/2014/main" id="{00000000-0008-0000-0300-00004E03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42</xdr:row>
      <xdr:rowOff>0</xdr:rowOff>
    </xdr:from>
    <xdr:to>
      <xdr:col>4</xdr:col>
      <xdr:colOff>76200</xdr:colOff>
      <xdr:row>43</xdr:row>
      <xdr:rowOff>0</xdr:rowOff>
    </xdr:to>
    <xdr:sp macro="" textlink="">
      <xdr:nvSpPr>
        <xdr:cNvPr id="847" name="Text Box 1">
          <a:extLst>
            <a:ext uri="{FF2B5EF4-FFF2-40B4-BE49-F238E27FC236}">
              <a16:creationId xmlns:a16="http://schemas.microsoft.com/office/drawing/2014/main" id="{00000000-0008-0000-0300-00004F03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42</xdr:row>
      <xdr:rowOff>0</xdr:rowOff>
    </xdr:from>
    <xdr:to>
      <xdr:col>4</xdr:col>
      <xdr:colOff>76200</xdr:colOff>
      <xdr:row>43</xdr:row>
      <xdr:rowOff>0</xdr:rowOff>
    </xdr:to>
    <xdr:sp macro="" textlink="">
      <xdr:nvSpPr>
        <xdr:cNvPr id="848" name="Text Box 1">
          <a:extLst>
            <a:ext uri="{FF2B5EF4-FFF2-40B4-BE49-F238E27FC236}">
              <a16:creationId xmlns:a16="http://schemas.microsoft.com/office/drawing/2014/main" id="{00000000-0008-0000-0300-00005003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42</xdr:row>
      <xdr:rowOff>0</xdr:rowOff>
    </xdr:from>
    <xdr:to>
      <xdr:col>4</xdr:col>
      <xdr:colOff>76200</xdr:colOff>
      <xdr:row>43</xdr:row>
      <xdr:rowOff>0</xdr:rowOff>
    </xdr:to>
    <xdr:sp macro="" textlink="">
      <xdr:nvSpPr>
        <xdr:cNvPr id="849" name="Text Box 1">
          <a:extLst>
            <a:ext uri="{FF2B5EF4-FFF2-40B4-BE49-F238E27FC236}">
              <a16:creationId xmlns:a16="http://schemas.microsoft.com/office/drawing/2014/main" id="{00000000-0008-0000-0300-00005103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42</xdr:row>
      <xdr:rowOff>0</xdr:rowOff>
    </xdr:from>
    <xdr:to>
      <xdr:col>4</xdr:col>
      <xdr:colOff>76200</xdr:colOff>
      <xdr:row>43</xdr:row>
      <xdr:rowOff>0</xdr:rowOff>
    </xdr:to>
    <xdr:sp macro="" textlink="">
      <xdr:nvSpPr>
        <xdr:cNvPr id="850" name="Text Box 2">
          <a:extLst>
            <a:ext uri="{FF2B5EF4-FFF2-40B4-BE49-F238E27FC236}">
              <a16:creationId xmlns:a16="http://schemas.microsoft.com/office/drawing/2014/main" id="{00000000-0008-0000-0300-00005203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42</xdr:row>
      <xdr:rowOff>0</xdr:rowOff>
    </xdr:from>
    <xdr:to>
      <xdr:col>4</xdr:col>
      <xdr:colOff>76200</xdr:colOff>
      <xdr:row>43</xdr:row>
      <xdr:rowOff>0</xdr:rowOff>
    </xdr:to>
    <xdr:sp macro="" textlink="">
      <xdr:nvSpPr>
        <xdr:cNvPr id="851" name="Text Box 1">
          <a:extLst>
            <a:ext uri="{FF2B5EF4-FFF2-40B4-BE49-F238E27FC236}">
              <a16:creationId xmlns:a16="http://schemas.microsoft.com/office/drawing/2014/main" id="{00000000-0008-0000-0300-00005303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42</xdr:row>
      <xdr:rowOff>0</xdr:rowOff>
    </xdr:from>
    <xdr:to>
      <xdr:col>4</xdr:col>
      <xdr:colOff>76200</xdr:colOff>
      <xdr:row>43</xdr:row>
      <xdr:rowOff>0</xdr:rowOff>
    </xdr:to>
    <xdr:sp macro="" textlink="">
      <xdr:nvSpPr>
        <xdr:cNvPr id="852" name="Text Box 1">
          <a:extLst>
            <a:ext uri="{FF2B5EF4-FFF2-40B4-BE49-F238E27FC236}">
              <a16:creationId xmlns:a16="http://schemas.microsoft.com/office/drawing/2014/main" id="{00000000-0008-0000-0300-00005403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76200</xdr:colOff>
      <xdr:row>44</xdr:row>
      <xdr:rowOff>0</xdr:rowOff>
    </xdr:to>
    <xdr:sp macro="" textlink="">
      <xdr:nvSpPr>
        <xdr:cNvPr id="853" name="Text Box 1">
          <a:extLst>
            <a:ext uri="{FF2B5EF4-FFF2-40B4-BE49-F238E27FC236}">
              <a16:creationId xmlns:a16="http://schemas.microsoft.com/office/drawing/2014/main" id="{00000000-0008-0000-0300-00005503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76200</xdr:colOff>
      <xdr:row>44</xdr:row>
      <xdr:rowOff>0</xdr:rowOff>
    </xdr:to>
    <xdr:sp macro="" textlink="">
      <xdr:nvSpPr>
        <xdr:cNvPr id="854" name="Text Box 2">
          <a:extLst>
            <a:ext uri="{FF2B5EF4-FFF2-40B4-BE49-F238E27FC236}">
              <a16:creationId xmlns:a16="http://schemas.microsoft.com/office/drawing/2014/main" id="{00000000-0008-0000-0300-00005603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76200</xdr:colOff>
      <xdr:row>44</xdr:row>
      <xdr:rowOff>0</xdr:rowOff>
    </xdr:to>
    <xdr:sp macro="" textlink="">
      <xdr:nvSpPr>
        <xdr:cNvPr id="855" name="Text Box 1">
          <a:extLst>
            <a:ext uri="{FF2B5EF4-FFF2-40B4-BE49-F238E27FC236}">
              <a16:creationId xmlns:a16="http://schemas.microsoft.com/office/drawing/2014/main" id="{00000000-0008-0000-0300-00005703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76200</xdr:colOff>
      <xdr:row>44</xdr:row>
      <xdr:rowOff>0</xdr:rowOff>
    </xdr:to>
    <xdr:sp macro="" textlink="">
      <xdr:nvSpPr>
        <xdr:cNvPr id="856" name="Text Box 1">
          <a:extLst>
            <a:ext uri="{FF2B5EF4-FFF2-40B4-BE49-F238E27FC236}">
              <a16:creationId xmlns:a16="http://schemas.microsoft.com/office/drawing/2014/main" id="{00000000-0008-0000-0300-00005803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76200</xdr:colOff>
      <xdr:row>44</xdr:row>
      <xdr:rowOff>0</xdr:rowOff>
    </xdr:to>
    <xdr:sp macro="" textlink="">
      <xdr:nvSpPr>
        <xdr:cNvPr id="857" name="Text Box 1">
          <a:extLst>
            <a:ext uri="{FF2B5EF4-FFF2-40B4-BE49-F238E27FC236}">
              <a16:creationId xmlns:a16="http://schemas.microsoft.com/office/drawing/2014/main" id="{00000000-0008-0000-0300-00005903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76200</xdr:colOff>
      <xdr:row>44</xdr:row>
      <xdr:rowOff>0</xdr:rowOff>
    </xdr:to>
    <xdr:sp macro="" textlink="">
      <xdr:nvSpPr>
        <xdr:cNvPr id="858" name="Text Box 2">
          <a:extLst>
            <a:ext uri="{FF2B5EF4-FFF2-40B4-BE49-F238E27FC236}">
              <a16:creationId xmlns:a16="http://schemas.microsoft.com/office/drawing/2014/main" id="{00000000-0008-0000-0300-00005A03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76200</xdr:colOff>
      <xdr:row>44</xdr:row>
      <xdr:rowOff>0</xdr:rowOff>
    </xdr:to>
    <xdr:sp macro="" textlink="">
      <xdr:nvSpPr>
        <xdr:cNvPr id="859" name="Text Box 1">
          <a:extLst>
            <a:ext uri="{FF2B5EF4-FFF2-40B4-BE49-F238E27FC236}">
              <a16:creationId xmlns:a16="http://schemas.microsoft.com/office/drawing/2014/main" id="{00000000-0008-0000-0300-00005B03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76200</xdr:colOff>
      <xdr:row>44</xdr:row>
      <xdr:rowOff>0</xdr:rowOff>
    </xdr:to>
    <xdr:sp macro="" textlink="">
      <xdr:nvSpPr>
        <xdr:cNvPr id="860" name="Text Box 1">
          <a:extLst>
            <a:ext uri="{FF2B5EF4-FFF2-40B4-BE49-F238E27FC236}">
              <a16:creationId xmlns:a16="http://schemas.microsoft.com/office/drawing/2014/main" id="{00000000-0008-0000-0300-00005C03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76200</xdr:colOff>
      <xdr:row>44</xdr:row>
      <xdr:rowOff>0</xdr:rowOff>
    </xdr:to>
    <xdr:sp macro="" textlink="">
      <xdr:nvSpPr>
        <xdr:cNvPr id="861" name="Text Box 1">
          <a:extLst>
            <a:ext uri="{FF2B5EF4-FFF2-40B4-BE49-F238E27FC236}">
              <a16:creationId xmlns:a16="http://schemas.microsoft.com/office/drawing/2014/main" id="{00000000-0008-0000-0300-00005D03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76200</xdr:colOff>
      <xdr:row>44</xdr:row>
      <xdr:rowOff>0</xdr:rowOff>
    </xdr:to>
    <xdr:sp macro="" textlink="">
      <xdr:nvSpPr>
        <xdr:cNvPr id="862" name="Text Box 2">
          <a:extLst>
            <a:ext uri="{FF2B5EF4-FFF2-40B4-BE49-F238E27FC236}">
              <a16:creationId xmlns:a16="http://schemas.microsoft.com/office/drawing/2014/main" id="{00000000-0008-0000-0300-00005E03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76200</xdr:colOff>
      <xdr:row>44</xdr:row>
      <xdr:rowOff>0</xdr:rowOff>
    </xdr:to>
    <xdr:sp macro="" textlink="">
      <xdr:nvSpPr>
        <xdr:cNvPr id="863" name="Text Box 1">
          <a:extLst>
            <a:ext uri="{FF2B5EF4-FFF2-40B4-BE49-F238E27FC236}">
              <a16:creationId xmlns:a16="http://schemas.microsoft.com/office/drawing/2014/main" id="{00000000-0008-0000-0300-00005F03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76200</xdr:colOff>
      <xdr:row>44</xdr:row>
      <xdr:rowOff>0</xdr:rowOff>
    </xdr:to>
    <xdr:sp macro="" textlink="">
      <xdr:nvSpPr>
        <xdr:cNvPr id="864" name="Text Box 1">
          <a:extLst>
            <a:ext uri="{FF2B5EF4-FFF2-40B4-BE49-F238E27FC236}">
              <a16:creationId xmlns:a16="http://schemas.microsoft.com/office/drawing/2014/main" id="{00000000-0008-0000-0300-00006003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76200</xdr:colOff>
      <xdr:row>44</xdr:row>
      <xdr:rowOff>0</xdr:rowOff>
    </xdr:to>
    <xdr:sp macro="" textlink="">
      <xdr:nvSpPr>
        <xdr:cNvPr id="865" name="Text Box 1">
          <a:extLst>
            <a:ext uri="{FF2B5EF4-FFF2-40B4-BE49-F238E27FC236}">
              <a16:creationId xmlns:a16="http://schemas.microsoft.com/office/drawing/2014/main" id="{00000000-0008-0000-0300-00006103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76200</xdr:colOff>
      <xdr:row>44</xdr:row>
      <xdr:rowOff>0</xdr:rowOff>
    </xdr:to>
    <xdr:sp macro="" textlink="">
      <xdr:nvSpPr>
        <xdr:cNvPr id="866" name="Text Box 2">
          <a:extLst>
            <a:ext uri="{FF2B5EF4-FFF2-40B4-BE49-F238E27FC236}">
              <a16:creationId xmlns:a16="http://schemas.microsoft.com/office/drawing/2014/main" id="{00000000-0008-0000-0300-00006203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76200</xdr:colOff>
      <xdr:row>44</xdr:row>
      <xdr:rowOff>0</xdr:rowOff>
    </xdr:to>
    <xdr:sp macro="" textlink="">
      <xdr:nvSpPr>
        <xdr:cNvPr id="867" name="Text Box 1">
          <a:extLst>
            <a:ext uri="{FF2B5EF4-FFF2-40B4-BE49-F238E27FC236}">
              <a16:creationId xmlns:a16="http://schemas.microsoft.com/office/drawing/2014/main" id="{00000000-0008-0000-0300-00006303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76200</xdr:colOff>
      <xdr:row>44</xdr:row>
      <xdr:rowOff>0</xdr:rowOff>
    </xdr:to>
    <xdr:sp macro="" textlink="">
      <xdr:nvSpPr>
        <xdr:cNvPr id="868" name="Text Box 1">
          <a:extLst>
            <a:ext uri="{FF2B5EF4-FFF2-40B4-BE49-F238E27FC236}">
              <a16:creationId xmlns:a16="http://schemas.microsoft.com/office/drawing/2014/main" id="{00000000-0008-0000-0300-00006403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76200</xdr:colOff>
      <xdr:row>44</xdr:row>
      <xdr:rowOff>0</xdr:rowOff>
    </xdr:to>
    <xdr:sp macro="" textlink="">
      <xdr:nvSpPr>
        <xdr:cNvPr id="869" name="Text Box 2">
          <a:extLst>
            <a:ext uri="{FF2B5EF4-FFF2-40B4-BE49-F238E27FC236}">
              <a16:creationId xmlns:a16="http://schemas.microsoft.com/office/drawing/2014/main" id="{00000000-0008-0000-0300-00006503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76200</xdr:colOff>
      <xdr:row>44</xdr:row>
      <xdr:rowOff>0</xdr:rowOff>
    </xdr:to>
    <xdr:sp macro="" textlink="">
      <xdr:nvSpPr>
        <xdr:cNvPr id="870" name="Text Box 1">
          <a:extLst>
            <a:ext uri="{FF2B5EF4-FFF2-40B4-BE49-F238E27FC236}">
              <a16:creationId xmlns:a16="http://schemas.microsoft.com/office/drawing/2014/main" id="{00000000-0008-0000-0300-00006603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76200</xdr:colOff>
      <xdr:row>44</xdr:row>
      <xdr:rowOff>0</xdr:rowOff>
    </xdr:to>
    <xdr:sp macro="" textlink="">
      <xdr:nvSpPr>
        <xdr:cNvPr id="871" name="Text Box 1">
          <a:extLst>
            <a:ext uri="{FF2B5EF4-FFF2-40B4-BE49-F238E27FC236}">
              <a16:creationId xmlns:a16="http://schemas.microsoft.com/office/drawing/2014/main" id="{00000000-0008-0000-0300-00006703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76200</xdr:colOff>
      <xdr:row>44</xdr:row>
      <xdr:rowOff>0</xdr:rowOff>
    </xdr:to>
    <xdr:sp macro="" textlink="">
      <xdr:nvSpPr>
        <xdr:cNvPr id="872" name="Text Box 1">
          <a:extLst>
            <a:ext uri="{FF2B5EF4-FFF2-40B4-BE49-F238E27FC236}">
              <a16:creationId xmlns:a16="http://schemas.microsoft.com/office/drawing/2014/main" id="{00000000-0008-0000-0300-00006803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76200</xdr:colOff>
      <xdr:row>44</xdr:row>
      <xdr:rowOff>0</xdr:rowOff>
    </xdr:to>
    <xdr:sp macro="" textlink="">
      <xdr:nvSpPr>
        <xdr:cNvPr id="873" name="Text Box 2">
          <a:extLst>
            <a:ext uri="{FF2B5EF4-FFF2-40B4-BE49-F238E27FC236}">
              <a16:creationId xmlns:a16="http://schemas.microsoft.com/office/drawing/2014/main" id="{00000000-0008-0000-0300-00006903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76200</xdr:colOff>
      <xdr:row>44</xdr:row>
      <xdr:rowOff>0</xdr:rowOff>
    </xdr:to>
    <xdr:sp macro="" textlink="">
      <xdr:nvSpPr>
        <xdr:cNvPr id="874" name="Text Box 1">
          <a:extLst>
            <a:ext uri="{FF2B5EF4-FFF2-40B4-BE49-F238E27FC236}">
              <a16:creationId xmlns:a16="http://schemas.microsoft.com/office/drawing/2014/main" id="{00000000-0008-0000-0300-00006A03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76200</xdr:colOff>
      <xdr:row>44</xdr:row>
      <xdr:rowOff>0</xdr:rowOff>
    </xdr:to>
    <xdr:sp macro="" textlink="">
      <xdr:nvSpPr>
        <xdr:cNvPr id="875" name="Text Box 1">
          <a:extLst>
            <a:ext uri="{FF2B5EF4-FFF2-40B4-BE49-F238E27FC236}">
              <a16:creationId xmlns:a16="http://schemas.microsoft.com/office/drawing/2014/main" id="{00000000-0008-0000-0300-00006B03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44</xdr:row>
      <xdr:rowOff>0</xdr:rowOff>
    </xdr:from>
    <xdr:to>
      <xdr:col>4</xdr:col>
      <xdr:colOff>76200</xdr:colOff>
      <xdr:row>45</xdr:row>
      <xdr:rowOff>0</xdr:rowOff>
    </xdr:to>
    <xdr:sp macro="" textlink="">
      <xdr:nvSpPr>
        <xdr:cNvPr id="876" name="Text Box 1">
          <a:extLst>
            <a:ext uri="{FF2B5EF4-FFF2-40B4-BE49-F238E27FC236}">
              <a16:creationId xmlns:a16="http://schemas.microsoft.com/office/drawing/2014/main" id="{00000000-0008-0000-0300-00006C03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44</xdr:row>
      <xdr:rowOff>0</xdr:rowOff>
    </xdr:from>
    <xdr:to>
      <xdr:col>4</xdr:col>
      <xdr:colOff>76200</xdr:colOff>
      <xdr:row>45</xdr:row>
      <xdr:rowOff>0</xdr:rowOff>
    </xdr:to>
    <xdr:sp macro="" textlink="">
      <xdr:nvSpPr>
        <xdr:cNvPr id="877" name="Text Box 2">
          <a:extLst>
            <a:ext uri="{FF2B5EF4-FFF2-40B4-BE49-F238E27FC236}">
              <a16:creationId xmlns:a16="http://schemas.microsoft.com/office/drawing/2014/main" id="{00000000-0008-0000-0300-00006D03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44</xdr:row>
      <xdr:rowOff>0</xdr:rowOff>
    </xdr:from>
    <xdr:to>
      <xdr:col>4</xdr:col>
      <xdr:colOff>76200</xdr:colOff>
      <xdr:row>45</xdr:row>
      <xdr:rowOff>0</xdr:rowOff>
    </xdr:to>
    <xdr:sp macro="" textlink="">
      <xdr:nvSpPr>
        <xdr:cNvPr id="878" name="Text Box 1">
          <a:extLst>
            <a:ext uri="{FF2B5EF4-FFF2-40B4-BE49-F238E27FC236}">
              <a16:creationId xmlns:a16="http://schemas.microsoft.com/office/drawing/2014/main" id="{00000000-0008-0000-0300-00006E03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44</xdr:row>
      <xdr:rowOff>0</xdr:rowOff>
    </xdr:from>
    <xdr:to>
      <xdr:col>4</xdr:col>
      <xdr:colOff>76200</xdr:colOff>
      <xdr:row>45</xdr:row>
      <xdr:rowOff>0</xdr:rowOff>
    </xdr:to>
    <xdr:sp macro="" textlink="">
      <xdr:nvSpPr>
        <xdr:cNvPr id="879" name="Text Box 1">
          <a:extLst>
            <a:ext uri="{FF2B5EF4-FFF2-40B4-BE49-F238E27FC236}">
              <a16:creationId xmlns:a16="http://schemas.microsoft.com/office/drawing/2014/main" id="{00000000-0008-0000-0300-00006F03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44</xdr:row>
      <xdr:rowOff>0</xdr:rowOff>
    </xdr:from>
    <xdr:to>
      <xdr:col>4</xdr:col>
      <xdr:colOff>76200</xdr:colOff>
      <xdr:row>45</xdr:row>
      <xdr:rowOff>0</xdr:rowOff>
    </xdr:to>
    <xdr:sp macro="" textlink="">
      <xdr:nvSpPr>
        <xdr:cNvPr id="880" name="Text Box 1">
          <a:extLst>
            <a:ext uri="{FF2B5EF4-FFF2-40B4-BE49-F238E27FC236}">
              <a16:creationId xmlns:a16="http://schemas.microsoft.com/office/drawing/2014/main" id="{00000000-0008-0000-0300-00007003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44</xdr:row>
      <xdr:rowOff>0</xdr:rowOff>
    </xdr:from>
    <xdr:to>
      <xdr:col>4</xdr:col>
      <xdr:colOff>76200</xdr:colOff>
      <xdr:row>45</xdr:row>
      <xdr:rowOff>0</xdr:rowOff>
    </xdr:to>
    <xdr:sp macro="" textlink="">
      <xdr:nvSpPr>
        <xdr:cNvPr id="881" name="Text Box 2">
          <a:extLst>
            <a:ext uri="{FF2B5EF4-FFF2-40B4-BE49-F238E27FC236}">
              <a16:creationId xmlns:a16="http://schemas.microsoft.com/office/drawing/2014/main" id="{00000000-0008-0000-0300-00007103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44</xdr:row>
      <xdr:rowOff>0</xdr:rowOff>
    </xdr:from>
    <xdr:to>
      <xdr:col>4</xdr:col>
      <xdr:colOff>76200</xdr:colOff>
      <xdr:row>45</xdr:row>
      <xdr:rowOff>0</xdr:rowOff>
    </xdr:to>
    <xdr:sp macro="" textlink="">
      <xdr:nvSpPr>
        <xdr:cNvPr id="882" name="Text Box 1">
          <a:extLst>
            <a:ext uri="{FF2B5EF4-FFF2-40B4-BE49-F238E27FC236}">
              <a16:creationId xmlns:a16="http://schemas.microsoft.com/office/drawing/2014/main" id="{00000000-0008-0000-0300-00007203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44</xdr:row>
      <xdr:rowOff>0</xdr:rowOff>
    </xdr:from>
    <xdr:to>
      <xdr:col>4</xdr:col>
      <xdr:colOff>76200</xdr:colOff>
      <xdr:row>45</xdr:row>
      <xdr:rowOff>0</xdr:rowOff>
    </xdr:to>
    <xdr:sp macro="" textlink="">
      <xdr:nvSpPr>
        <xdr:cNvPr id="883" name="Text Box 1">
          <a:extLst>
            <a:ext uri="{FF2B5EF4-FFF2-40B4-BE49-F238E27FC236}">
              <a16:creationId xmlns:a16="http://schemas.microsoft.com/office/drawing/2014/main" id="{00000000-0008-0000-0300-00007303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44</xdr:row>
      <xdr:rowOff>0</xdr:rowOff>
    </xdr:from>
    <xdr:to>
      <xdr:col>4</xdr:col>
      <xdr:colOff>76200</xdr:colOff>
      <xdr:row>45</xdr:row>
      <xdr:rowOff>0</xdr:rowOff>
    </xdr:to>
    <xdr:sp macro="" textlink="">
      <xdr:nvSpPr>
        <xdr:cNvPr id="884" name="Text Box 1">
          <a:extLst>
            <a:ext uri="{FF2B5EF4-FFF2-40B4-BE49-F238E27FC236}">
              <a16:creationId xmlns:a16="http://schemas.microsoft.com/office/drawing/2014/main" id="{00000000-0008-0000-0300-00007403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44</xdr:row>
      <xdr:rowOff>0</xdr:rowOff>
    </xdr:from>
    <xdr:to>
      <xdr:col>4</xdr:col>
      <xdr:colOff>76200</xdr:colOff>
      <xdr:row>45</xdr:row>
      <xdr:rowOff>0</xdr:rowOff>
    </xdr:to>
    <xdr:sp macro="" textlink="">
      <xdr:nvSpPr>
        <xdr:cNvPr id="885" name="Text Box 2">
          <a:extLst>
            <a:ext uri="{FF2B5EF4-FFF2-40B4-BE49-F238E27FC236}">
              <a16:creationId xmlns:a16="http://schemas.microsoft.com/office/drawing/2014/main" id="{00000000-0008-0000-0300-00007503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44</xdr:row>
      <xdr:rowOff>0</xdr:rowOff>
    </xdr:from>
    <xdr:to>
      <xdr:col>4</xdr:col>
      <xdr:colOff>76200</xdr:colOff>
      <xdr:row>45</xdr:row>
      <xdr:rowOff>0</xdr:rowOff>
    </xdr:to>
    <xdr:sp macro="" textlink="">
      <xdr:nvSpPr>
        <xdr:cNvPr id="886" name="Text Box 1">
          <a:extLst>
            <a:ext uri="{FF2B5EF4-FFF2-40B4-BE49-F238E27FC236}">
              <a16:creationId xmlns:a16="http://schemas.microsoft.com/office/drawing/2014/main" id="{00000000-0008-0000-0300-00007603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44</xdr:row>
      <xdr:rowOff>0</xdr:rowOff>
    </xdr:from>
    <xdr:to>
      <xdr:col>4</xdr:col>
      <xdr:colOff>76200</xdr:colOff>
      <xdr:row>45</xdr:row>
      <xdr:rowOff>0</xdr:rowOff>
    </xdr:to>
    <xdr:sp macro="" textlink="">
      <xdr:nvSpPr>
        <xdr:cNvPr id="887" name="Text Box 1">
          <a:extLst>
            <a:ext uri="{FF2B5EF4-FFF2-40B4-BE49-F238E27FC236}">
              <a16:creationId xmlns:a16="http://schemas.microsoft.com/office/drawing/2014/main" id="{00000000-0008-0000-0300-00007703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44</xdr:row>
      <xdr:rowOff>0</xdr:rowOff>
    </xdr:from>
    <xdr:to>
      <xdr:col>4</xdr:col>
      <xdr:colOff>76200</xdr:colOff>
      <xdr:row>45</xdr:row>
      <xdr:rowOff>0</xdr:rowOff>
    </xdr:to>
    <xdr:sp macro="" textlink="">
      <xdr:nvSpPr>
        <xdr:cNvPr id="888" name="Text Box 1">
          <a:extLst>
            <a:ext uri="{FF2B5EF4-FFF2-40B4-BE49-F238E27FC236}">
              <a16:creationId xmlns:a16="http://schemas.microsoft.com/office/drawing/2014/main" id="{00000000-0008-0000-0300-00007803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44</xdr:row>
      <xdr:rowOff>0</xdr:rowOff>
    </xdr:from>
    <xdr:to>
      <xdr:col>4</xdr:col>
      <xdr:colOff>76200</xdr:colOff>
      <xdr:row>45</xdr:row>
      <xdr:rowOff>0</xdr:rowOff>
    </xdr:to>
    <xdr:sp macro="" textlink="">
      <xdr:nvSpPr>
        <xdr:cNvPr id="889" name="Text Box 2">
          <a:extLst>
            <a:ext uri="{FF2B5EF4-FFF2-40B4-BE49-F238E27FC236}">
              <a16:creationId xmlns:a16="http://schemas.microsoft.com/office/drawing/2014/main" id="{00000000-0008-0000-0300-00007903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44</xdr:row>
      <xdr:rowOff>0</xdr:rowOff>
    </xdr:from>
    <xdr:to>
      <xdr:col>4</xdr:col>
      <xdr:colOff>76200</xdr:colOff>
      <xdr:row>45</xdr:row>
      <xdr:rowOff>0</xdr:rowOff>
    </xdr:to>
    <xdr:sp macro="" textlink="">
      <xdr:nvSpPr>
        <xdr:cNvPr id="890" name="Text Box 1">
          <a:extLst>
            <a:ext uri="{FF2B5EF4-FFF2-40B4-BE49-F238E27FC236}">
              <a16:creationId xmlns:a16="http://schemas.microsoft.com/office/drawing/2014/main" id="{00000000-0008-0000-0300-00007A03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44</xdr:row>
      <xdr:rowOff>0</xdr:rowOff>
    </xdr:from>
    <xdr:to>
      <xdr:col>4</xdr:col>
      <xdr:colOff>76200</xdr:colOff>
      <xdr:row>45</xdr:row>
      <xdr:rowOff>0</xdr:rowOff>
    </xdr:to>
    <xdr:sp macro="" textlink="">
      <xdr:nvSpPr>
        <xdr:cNvPr id="891" name="Text Box 1">
          <a:extLst>
            <a:ext uri="{FF2B5EF4-FFF2-40B4-BE49-F238E27FC236}">
              <a16:creationId xmlns:a16="http://schemas.microsoft.com/office/drawing/2014/main" id="{00000000-0008-0000-0300-00007B03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44</xdr:row>
      <xdr:rowOff>0</xdr:rowOff>
    </xdr:from>
    <xdr:to>
      <xdr:col>4</xdr:col>
      <xdr:colOff>76200</xdr:colOff>
      <xdr:row>45</xdr:row>
      <xdr:rowOff>0</xdr:rowOff>
    </xdr:to>
    <xdr:sp macro="" textlink="">
      <xdr:nvSpPr>
        <xdr:cNvPr id="892" name="Text Box 2">
          <a:extLst>
            <a:ext uri="{FF2B5EF4-FFF2-40B4-BE49-F238E27FC236}">
              <a16:creationId xmlns:a16="http://schemas.microsoft.com/office/drawing/2014/main" id="{00000000-0008-0000-0300-00007C03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44</xdr:row>
      <xdr:rowOff>0</xdr:rowOff>
    </xdr:from>
    <xdr:to>
      <xdr:col>4</xdr:col>
      <xdr:colOff>76200</xdr:colOff>
      <xdr:row>45</xdr:row>
      <xdr:rowOff>0</xdr:rowOff>
    </xdr:to>
    <xdr:sp macro="" textlink="">
      <xdr:nvSpPr>
        <xdr:cNvPr id="893" name="Text Box 1">
          <a:extLst>
            <a:ext uri="{FF2B5EF4-FFF2-40B4-BE49-F238E27FC236}">
              <a16:creationId xmlns:a16="http://schemas.microsoft.com/office/drawing/2014/main" id="{00000000-0008-0000-0300-00007D03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44</xdr:row>
      <xdr:rowOff>0</xdr:rowOff>
    </xdr:from>
    <xdr:to>
      <xdr:col>4</xdr:col>
      <xdr:colOff>76200</xdr:colOff>
      <xdr:row>45</xdr:row>
      <xdr:rowOff>0</xdr:rowOff>
    </xdr:to>
    <xdr:sp macro="" textlink="">
      <xdr:nvSpPr>
        <xdr:cNvPr id="894" name="Text Box 1">
          <a:extLst>
            <a:ext uri="{FF2B5EF4-FFF2-40B4-BE49-F238E27FC236}">
              <a16:creationId xmlns:a16="http://schemas.microsoft.com/office/drawing/2014/main" id="{00000000-0008-0000-0300-00007E03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44</xdr:row>
      <xdr:rowOff>0</xdr:rowOff>
    </xdr:from>
    <xdr:to>
      <xdr:col>4</xdr:col>
      <xdr:colOff>76200</xdr:colOff>
      <xdr:row>45</xdr:row>
      <xdr:rowOff>0</xdr:rowOff>
    </xdr:to>
    <xdr:sp macro="" textlink="">
      <xdr:nvSpPr>
        <xdr:cNvPr id="895" name="Text Box 1">
          <a:extLst>
            <a:ext uri="{FF2B5EF4-FFF2-40B4-BE49-F238E27FC236}">
              <a16:creationId xmlns:a16="http://schemas.microsoft.com/office/drawing/2014/main" id="{00000000-0008-0000-0300-00007F03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44</xdr:row>
      <xdr:rowOff>0</xdr:rowOff>
    </xdr:from>
    <xdr:to>
      <xdr:col>4</xdr:col>
      <xdr:colOff>76200</xdr:colOff>
      <xdr:row>45</xdr:row>
      <xdr:rowOff>0</xdr:rowOff>
    </xdr:to>
    <xdr:sp macro="" textlink="">
      <xdr:nvSpPr>
        <xdr:cNvPr id="896" name="Text Box 2">
          <a:extLst>
            <a:ext uri="{FF2B5EF4-FFF2-40B4-BE49-F238E27FC236}">
              <a16:creationId xmlns:a16="http://schemas.microsoft.com/office/drawing/2014/main" id="{00000000-0008-0000-0300-00008003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44</xdr:row>
      <xdr:rowOff>0</xdr:rowOff>
    </xdr:from>
    <xdr:to>
      <xdr:col>4</xdr:col>
      <xdr:colOff>76200</xdr:colOff>
      <xdr:row>45</xdr:row>
      <xdr:rowOff>0</xdr:rowOff>
    </xdr:to>
    <xdr:sp macro="" textlink="">
      <xdr:nvSpPr>
        <xdr:cNvPr id="897" name="Text Box 1">
          <a:extLst>
            <a:ext uri="{FF2B5EF4-FFF2-40B4-BE49-F238E27FC236}">
              <a16:creationId xmlns:a16="http://schemas.microsoft.com/office/drawing/2014/main" id="{00000000-0008-0000-0300-00008103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44</xdr:row>
      <xdr:rowOff>0</xdr:rowOff>
    </xdr:from>
    <xdr:to>
      <xdr:col>4</xdr:col>
      <xdr:colOff>76200</xdr:colOff>
      <xdr:row>45</xdr:row>
      <xdr:rowOff>0</xdr:rowOff>
    </xdr:to>
    <xdr:sp macro="" textlink="">
      <xdr:nvSpPr>
        <xdr:cNvPr id="898" name="Text Box 1">
          <a:extLst>
            <a:ext uri="{FF2B5EF4-FFF2-40B4-BE49-F238E27FC236}">
              <a16:creationId xmlns:a16="http://schemas.microsoft.com/office/drawing/2014/main" id="{00000000-0008-0000-0300-00008203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45</xdr:row>
      <xdr:rowOff>0</xdr:rowOff>
    </xdr:from>
    <xdr:to>
      <xdr:col>4</xdr:col>
      <xdr:colOff>76200</xdr:colOff>
      <xdr:row>46</xdr:row>
      <xdr:rowOff>0</xdr:rowOff>
    </xdr:to>
    <xdr:sp macro="" textlink="">
      <xdr:nvSpPr>
        <xdr:cNvPr id="899" name="Text Box 1">
          <a:extLst>
            <a:ext uri="{FF2B5EF4-FFF2-40B4-BE49-F238E27FC236}">
              <a16:creationId xmlns:a16="http://schemas.microsoft.com/office/drawing/2014/main" id="{00000000-0008-0000-0300-00008303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45</xdr:row>
      <xdr:rowOff>0</xdr:rowOff>
    </xdr:from>
    <xdr:to>
      <xdr:col>4</xdr:col>
      <xdr:colOff>76200</xdr:colOff>
      <xdr:row>46</xdr:row>
      <xdr:rowOff>0</xdr:rowOff>
    </xdr:to>
    <xdr:sp macro="" textlink="">
      <xdr:nvSpPr>
        <xdr:cNvPr id="900" name="Text Box 2">
          <a:extLst>
            <a:ext uri="{FF2B5EF4-FFF2-40B4-BE49-F238E27FC236}">
              <a16:creationId xmlns:a16="http://schemas.microsoft.com/office/drawing/2014/main" id="{00000000-0008-0000-0300-00008403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45</xdr:row>
      <xdr:rowOff>0</xdr:rowOff>
    </xdr:from>
    <xdr:to>
      <xdr:col>4</xdr:col>
      <xdr:colOff>76200</xdr:colOff>
      <xdr:row>46</xdr:row>
      <xdr:rowOff>0</xdr:rowOff>
    </xdr:to>
    <xdr:sp macro="" textlink="">
      <xdr:nvSpPr>
        <xdr:cNvPr id="901" name="Text Box 1">
          <a:extLst>
            <a:ext uri="{FF2B5EF4-FFF2-40B4-BE49-F238E27FC236}">
              <a16:creationId xmlns:a16="http://schemas.microsoft.com/office/drawing/2014/main" id="{00000000-0008-0000-0300-00008503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45</xdr:row>
      <xdr:rowOff>0</xdr:rowOff>
    </xdr:from>
    <xdr:to>
      <xdr:col>4</xdr:col>
      <xdr:colOff>76200</xdr:colOff>
      <xdr:row>46</xdr:row>
      <xdr:rowOff>0</xdr:rowOff>
    </xdr:to>
    <xdr:sp macro="" textlink="">
      <xdr:nvSpPr>
        <xdr:cNvPr id="902" name="Text Box 1">
          <a:extLst>
            <a:ext uri="{FF2B5EF4-FFF2-40B4-BE49-F238E27FC236}">
              <a16:creationId xmlns:a16="http://schemas.microsoft.com/office/drawing/2014/main" id="{00000000-0008-0000-0300-00008603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45</xdr:row>
      <xdr:rowOff>0</xdr:rowOff>
    </xdr:from>
    <xdr:to>
      <xdr:col>4</xdr:col>
      <xdr:colOff>76200</xdr:colOff>
      <xdr:row>46</xdr:row>
      <xdr:rowOff>0</xdr:rowOff>
    </xdr:to>
    <xdr:sp macro="" textlink="">
      <xdr:nvSpPr>
        <xdr:cNvPr id="903" name="Text Box 1">
          <a:extLst>
            <a:ext uri="{FF2B5EF4-FFF2-40B4-BE49-F238E27FC236}">
              <a16:creationId xmlns:a16="http://schemas.microsoft.com/office/drawing/2014/main" id="{00000000-0008-0000-0300-00008703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45</xdr:row>
      <xdr:rowOff>0</xdr:rowOff>
    </xdr:from>
    <xdr:to>
      <xdr:col>4</xdr:col>
      <xdr:colOff>76200</xdr:colOff>
      <xdr:row>46</xdr:row>
      <xdr:rowOff>0</xdr:rowOff>
    </xdr:to>
    <xdr:sp macro="" textlink="">
      <xdr:nvSpPr>
        <xdr:cNvPr id="904" name="Text Box 2">
          <a:extLst>
            <a:ext uri="{FF2B5EF4-FFF2-40B4-BE49-F238E27FC236}">
              <a16:creationId xmlns:a16="http://schemas.microsoft.com/office/drawing/2014/main" id="{00000000-0008-0000-0300-00008803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45</xdr:row>
      <xdr:rowOff>0</xdr:rowOff>
    </xdr:from>
    <xdr:to>
      <xdr:col>4</xdr:col>
      <xdr:colOff>76200</xdr:colOff>
      <xdr:row>46</xdr:row>
      <xdr:rowOff>0</xdr:rowOff>
    </xdr:to>
    <xdr:sp macro="" textlink="">
      <xdr:nvSpPr>
        <xdr:cNvPr id="905" name="Text Box 1">
          <a:extLst>
            <a:ext uri="{FF2B5EF4-FFF2-40B4-BE49-F238E27FC236}">
              <a16:creationId xmlns:a16="http://schemas.microsoft.com/office/drawing/2014/main" id="{00000000-0008-0000-0300-00008903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45</xdr:row>
      <xdr:rowOff>0</xdr:rowOff>
    </xdr:from>
    <xdr:to>
      <xdr:col>4</xdr:col>
      <xdr:colOff>76200</xdr:colOff>
      <xdr:row>46</xdr:row>
      <xdr:rowOff>0</xdr:rowOff>
    </xdr:to>
    <xdr:sp macro="" textlink="">
      <xdr:nvSpPr>
        <xdr:cNvPr id="906" name="Text Box 1">
          <a:extLst>
            <a:ext uri="{FF2B5EF4-FFF2-40B4-BE49-F238E27FC236}">
              <a16:creationId xmlns:a16="http://schemas.microsoft.com/office/drawing/2014/main" id="{00000000-0008-0000-0300-00008A03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45</xdr:row>
      <xdr:rowOff>0</xdr:rowOff>
    </xdr:from>
    <xdr:to>
      <xdr:col>4</xdr:col>
      <xdr:colOff>76200</xdr:colOff>
      <xdr:row>46</xdr:row>
      <xdr:rowOff>0</xdr:rowOff>
    </xdr:to>
    <xdr:sp macro="" textlink="">
      <xdr:nvSpPr>
        <xdr:cNvPr id="907" name="Text Box 1">
          <a:extLst>
            <a:ext uri="{FF2B5EF4-FFF2-40B4-BE49-F238E27FC236}">
              <a16:creationId xmlns:a16="http://schemas.microsoft.com/office/drawing/2014/main" id="{00000000-0008-0000-0300-00008B03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45</xdr:row>
      <xdr:rowOff>0</xdr:rowOff>
    </xdr:from>
    <xdr:to>
      <xdr:col>4</xdr:col>
      <xdr:colOff>76200</xdr:colOff>
      <xdr:row>46</xdr:row>
      <xdr:rowOff>0</xdr:rowOff>
    </xdr:to>
    <xdr:sp macro="" textlink="">
      <xdr:nvSpPr>
        <xdr:cNvPr id="908" name="Text Box 2">
          <a:extLst>
            <a:ext uri="{FF2B5EF4-FFF2-40B4-BE49-F238E27FC236}">
              <a16:creationId xmlns:a16="http://schemas.microsoft.com/office/drawing/2014/main" id="{00000000-0008-0000-0300-00008C03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45</xdr:row>
      <xdr:rowOff>0</xdr:rowOff>
    </xdr:from>
    <xdr:to>
      <xdr:col>4</xdr:col>
      <xdr:colOff>76200</xdr:colOff>
      <xdr:row>46</xdr:row>
      <xdr:rowOff>0</xdr:rowOff>
    </xdr:to>
    <xdr:sp macro="" textlink="">
      <xdr:nvSpPr>
        <xdr:cNvPr id="909" name="Text Box 1">
          <a:extLst>
            <a:ext uri="{FF2B5EF4-FFF2-40B4-BE49-F238E27FC236}">
              <a16:creationId xmlns:a16="http://schemas.microsoft.com/office/drawing/2014/main" id="{00000000-0008-0000-0300-00008D03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45</xdr:row>
      <xdr:rowOff>0</xdr:rowOff>
    </xdr:from>
    <xdr:to>
      <xdr:col>4</xdr:col>
      <xdr:colOff>76200</xdr:colOff>
      <xdr:row>46</xdr:row>
      <xdr:rowOff>0</xdr:rowOff>
    </xdr:to>
    <xdr:sp macro="" textlink="">
      <xdr:nvSpPr>
        <xdr:cNvPr id="910" name="Text Box 1">
          <a:extLst>
            <a:ext uri="{FF2B5EF4-FFF2-40B4-BE49-F238E27FC236}">
              <a16:creationId xmlns:a16="http://schemas.microsoft.com/office/drawing/2014/main" id="{00000000-0008-0000-0300-00008E03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45</xdr:row>
      <xdr:rowOff>0</xdr:rowOff>
    </xdr:from>
    <xdr:to>
      <xdr:col>4</xdr:col>
      <xdr:colOff>76200</xdr:colOff>
      <xdr:row>46</xdr:row>
      <xdr:rowOff>0</xdr:rowOff>
    </xdr:to>
    <xdr:sp macro="" textlink="">
      <xdr:nvSpPr>
        <xdr:cNvPr id="911" name="Text Box 1">
          <a:extLst>
            <a:ext uri="{FF2B5EF4-FFF2-40B4-BE49-F238E27FC236}">
              <a16:creationId xmlns:a16="http://schemas.microsoft.com/office/drawing/2014/main" id="{00000000-0008-0000-0300-00008F03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45</xdr:row>
      <xdr:rowOff>0</xdr:rowOff>
    </xdr:from>
    <xdr:to>
      <xdr:col>4</xdr:col>
      <xdr:colOff>76200</xdr:colOff>
      <xdr:row>46</xdr:row>
      <xdr:rowOff>0</xdr:rowOff>
    </xdr:to>
    <xdr:sp macro="" textlink="">
      <xdr:nvSpPr>
        <xdr:cNvPr id="912" name="Text Box 2">
          <a:extLst>
            <a:ext uri="{FF2B5EF4-FFF2-40B4-BE49-F238E27FC236}">
              <a16:creationId xmlns:a16="http://schemas.microsoft.com/office/drawing/2014/main" id="{00000000-0008-0000-0300-00009003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45</xdr:row>
      <xdr:rowOff>0</xdr:rowOff>
    </xdr:from>
    <xdr:to>
      <xdr:col>4</xdr:col>
      <xdr:colOff>76200</xdr:colOff>
      <xdr:row>46</xdr:row>
      <xdr:rowOff>0</xdr:rowOff>
    </xdr:to>
    <xdr:sp macro="" textlink="">
      <xdr:nvSpPr>
        <xdr:cNvPr id="913" name="Text Box 1">
          <a:extLst>
            <a:ext uri="{FF2B5EF4-FFF2-40B4-BE49-F238E27FC236}">
              <a16:creationId xmlns:a16="http://schemas.microsoft.com/office/drawing/2014/main" id="{00000000-0008-0000-0300-00009103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45</xdr:row>
      <xdr:rowOff>0</xdr:rowOff>
    </xdr:from>
    <xdr:to>
      <xdr:col>4</xdr:col>
      <xdr:colOff>76200</xdr:colOff>
      <xdr:row>46</xdr:row>
      <xdr:rowOff>0</xdr:rowOff>
    </xdr:to>
    <xdr:sp macro="" textlink="">
      <xdr:nvSpPr>
        <xdr:cNvPr id="914" name="Text Box 1">
          <a:extLst>
            <a:ext uri="{FF2B5EF4-FFF2-40B4-BE49-F238E27FC236}">
              <a16:creationId xmlns:a16="http://schemas.microsoft.com/office/drawing/2014/main" id="{00000000-0008-0000-0300-00009203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45</xdr:row>
      <xdr:rowOff>0</xdr:rowOff>
    </xdr:from>
    <xdr:to>
      <xdr:col>4</xdr:col>
      <xdr:colOff>76200</xdr:colOff>
      <xdr:row>46</xdr:row>
      <xdr:rowOff>0</xdr:rowOff>
    </xdr:to>
    <xdr:sp macro="" textlink="">
      <xdr:nvSpPr>
        <xdr:cNvPr id="915" name="Text Box 2">
          <a:extLst>
            <a:ext uri="{FF2B5EF4-FFF2-40B4-BE49-F238E27FC236}">
              <a16:creationId xmlns:a16="http://schemas.microsoft.com/office/drawing/2014/main" id="{00000000-0008-0000-0300-00009303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45</xdr:row>
      <xdr:rowOff>0</xdr:rowOff>
    </xdr:from>
    <xdr:to>
      <xdr:col>4</xdr:col>
      <xdr:colOff>76200</xdr:colOff>
      <xdr:row>46</xdr:row>
      <xdr:rowOff>0</xdr:rowOff>
    </xdr:to>
    <xdr:sp macro="" textlink="">
      <xdr:nvSpPr>
        <xdr:cNvPr id="916" name="Text Box 1">
          <a:extLst>
            <a:ext uri="{FF2B5EF4-FFF2-40B4-BE49-F238E27FC236}">
              <a16:creationId xmlns:a16="http://schemas.microsoft.com/office/drawing/2014/main" id="{00000000-0008-0000-0300-00009403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45</xdr:row>
      <xdr:rowOff>0</xdr:rowOff>
    </xdr:from>
    <xdr:to>
      <xdr:col>4</xdr:col>
      <xdr:colOff>76200</xdr:colOff>
      <xdr:row>46</xdr:row>
      <xdr:rowOff>0</xdr:rowOff>
    </xdr:to>
    <xdr:sp macro="" textlink="">
      <xdr:nvSpPr>
        <xdr:cNvPr id="917" name="Text Box 1">
          <a:extLst>
            <a:ext uri="{FF2B5EF4-FFF2-40B4-BE49-F238E27FC236}">
              <a16:creationId xmlns:a16="http://schemas.microsoft.com/office/drawing/2014/main" id="{00000000-0008-0000-0300-00009503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45</xdr:row>
      <xdr:rowOff>0</xdr:rowOff>
    </xdr:from>
    <xdr:to>
      <xdr:col>4</xdr:col>
      <xdr:colOff>76200</xdr:colOff>
      <xdr:row>46</xdr:row>
      <xdr:rowOff>0</xdr:rowOff>
    </xdr:to>
    <xdr:sp macro="" textlink="">
      <xdr:nvSpPr>
        <xdr:cNvPr id="918" name="Text Box 1">
          <a:extLst>
            <a:ext uri="{FF2B5EF4-FFF2-40B4-BE49-F238E27FC236}">
              <a16:creationId xmlns:a16="http://schemas.microsoft.com/office/drawing/2014/main" id="{00000000-0008-0000-0300-00009603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45</xdr:row>
      <xdr:rowOff>0</xdr:rowOff>
    </xdr:from>
    <xdr:to>
      <xdr:col>4</xdr:col>
      <xdr:colOff>76200</xdr:colOff>
      <xdr:row>46</xdr:row>
      <xdr:rowOff>0</xdr:rowOff>
    </xdr:to>
    <xdr:sp macro="" textlink="">
      <xdr:nvSpPr>
        <xdr:cNvPr id="919" name="Text Box 2">
          <a:extLst>
            <a:ext uri="{FF2B5EF4-FFF2-40B4-BE49-F238E27FC236}">
              <a16:creationId xmlns:a16="http://schemas.microsoft.com/office/drawing/2014/main" id="{00000000-0008-0000-0300-00009703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45</xdr:row>
      <xdr:rowOff>0</xdr:rowOff>
    </xdr:from>
    <xdr:to>
      <xdr:col>4</xdr:col>
      <xdr:colOff>76200</xdr:colOff>
      <xdr:row>46</xdr:row>
      <xdr:rowOff>0</xdr:rowOff>
    </xdr:to>
    <xdr:sp macro="" textlink="">
      <xdr:nvSpPr>
        <xdr:cNvPr id="920" name="Text Box 1">
          <a:extLst>
            <a:ext uri="{FF2B5EF4-FFF2-40B4-BE49-F238E27FC236}">
              <a16:creationId xmlns:a16="http://schemas.microsoft.com/office/drawing/2014/main" id="{00000000-0008-0000-0300-00009803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45</xdr:row>
      <xdr:rowOff>0</xdr:rowOff>
    </xdr:from>
    <xdr:to>
      <xdr:col>4</xdr:col>
      <xdr:colOff>76200</xdr:colOff>
      <xdr:row>46</xdr:row>
      <xdr:rowOff>0</xdr:rowOff>
    </xdr:to>
    <xdr:sp macro="" textlink="">
      <xdr:nvSpPr>
        <xdr:cNvPr id="921" name="Text Box 1">
          <a:extLst>
            <a:ext uri="{FF2B5EF4-FFF2-40B4-BE49-F238E27FC236}">
              <a16:creationId xmlns:a16="http://schemas.microsoft.com/office/drawing/2014/main" id="{00000000-0008-0000-0300-00009903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46</xdr:row>
      <xdr:rowOff>0</xdr:rowOff>
    </xdr:from>
    <xdr:to>
      <xdr:col>4</xdr:col>
      <xdr:colOff>76200</xdr:colOff>
      <xdr:row>47</xdr:row>
      <xdr:rowOff>0</xdr:rowOff>
    </xdr:to>
    <xdr:sp macro="" textlink="">
      <xdr:nvSpPr>
        <xdr:cNvPr id="922" name="Text Box 1">
          <a:extLst>
            <a:ext uri="{FF2B5EF4-FFF2-40B4-BE49-F238E27FC236}">
              <a16:creationId xmlns:a16="http://schemas.microsoft.com/office/drawing/2014/main" id="{00000000-0008-0000-0300-00009A03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46</xdr:row>
      <xdr:rowOff>0</xdr:rowOff>
    </xdr:from>
    <xdr:to>
      <xdr:col>4</xdr:col>
      <xdr:colOff>76200</xdr:colOff>
      <xdr:row>47</xdr:row>
      <xdr:rowOff>0</xdr:rowOff>
    </xdr:to>
    <xdr:sp macro="" textlink="">
      <xdr:nvSpPr>
        <xdr:cNvPr id="923" name="Text Box 2">
          <a:extLst>
            <a:ext uri="{FF2B5EF4-FFF2-40B4-BE49-F238E27FC236}">
              <a16:creationId xmlns:a16="http://schemas.microsoft.com/office/drawing/2014/main" id="{00000000-0008-0000-0300-00009B03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46</xdr:row>
      <xdr:rowOff>0</xdr:rowOff>
    </xdr:from>
    <xdr:to>
      <xdr:col>4</xdr:col>
      <xdr:colOff>76200</xdr:colOff>
      <xdr:row>47</xdr:row>
      <xdr:rowOff>0</xdr:rowOff>
    </xdr:to>
    <xdr:sp macro="" textlink="">
      <xdr:nvSpPr>
        <xdr:cNvPr id="924" name="Text Box 1">
          <a:extLst>
            <a:ext uri="{FF2B5EF4-FFF2-40B4-BE49-F238E27FC236}">
              <a16:creationId xmlns:a16="http://schemas.microsoft.com/office/drawing/2014/main" id="{00000000-0008-0000-0300-00009C03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46</xdr:row>
      <xdr:rowOff>0</xdr:rowOff>
    </xdr:from>
    <xdr:to>
      <xdr:col>4</xdr:col>
      <xdr:colOff>76200</xdr:colOff>
      <xdr:row>47</xdr:row>
      <xdr:rowOff>0</xdr:rowOff>
    </xdr:to>
    <xdr:sp macro="" textlink="">
      <xdr:nvSpPr>
        <xdr:cNvPr id="925" name="Text Box 1">
          <a:extLst>
            <a:ext uri="{FF2B5EF4-FFF2-40B4-BE49-F238E27FC236}">
              <a16:creationId xmlns:a16="http://schemas.microsoft.com/office/drawing/2014/main" id="{00000000-0008-0000-0300-00009D03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46</xdr:row>
      <xdr:rowOff>0</xdr:rowOff>
    </xdr:from>
    <xdr:to>
      <xdr:col>4</xdr:col>
      <xdr:colOff>76200</xdr:colOff>
      <xdr:row>47</xdr:row>
      <xdr:rowOff>0</xdr:rowOff>
    </xdr:to>
    <xdr:sp macro="" textlink="">
      <xdr:nvSpPr>
        <xdr:cNvPr id="926" name="Text Box 1">
          <a:extLst>
            <a:ext uri="{FF2B5EF4-FFF2-40B4-BE49-F238E27FC236}">
              <a16:creationId xmlns:a16="http://schemas.microsoft.com/office/drawing/2014/main" id="{00000000-0008-0000-0300-00009E03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46</xdr:row>
      <xdr:rowOff>0</xdr:rowOff>
    </xdr:from>
    <xdr:to>
      <xdr:col>4</xdr:col>
      <xdr:colOff>76200</xdr:colOff>
      <xdr:row>47</xdr:row>
      <xdr:rowOff>0</xdr:rowOff>
    </xdr:to>
    <xdr:sp macro="" textlink="">
      <xdr:nvSpPr>
        <xdr:cNvPr id="927" name="Text Box 2">
          <a:extLst>
            <a:ext uri="{FF2B5EF4-FFF2-40B4-BE49-F238E27FC236}">
              <a16:creationId xmlns:a16="http://schemas.microsoft.com/office/drawing/2014/main" id="{00000000-0008-0000-0300-00009F03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46</xdr:row>
      <xdr:rowOff>0</xdr:rowOff>
    </xdr:from>
    <xdr:to>
      <xdr:col>4</xdr:col>
      <xdr:colOff>76200</xdr:colOff>
      <xdr:row>47</xdr:row>
      <xdr:rowOff>0</xdr:rowOff>
    </xdr:to>
    <xdr:sp macro="" textlink="">
      <xdr:nvSpPr>
        <xdr:cNvPr id="928" name="Text Box 1">
          <a:extLst>
            <a:ext uri="{FF2B5EF4-FFF2-40B4-BE49-F238E27FC236}">
              <a16:creationId xmlns:a16="http://schemas.microsoft.com/office/drawing/2014/main" id="{00000000-0008-0000-0300-0000A003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46</xdr:row>
      <xdr:rowOff>0</xdr:rowOff>
    </xdr:from>
    <xdr:to>
      <xdr:col>4</xdr:col>
      <xdr:colOff>76200</xdr:colOff>
      <xdr:row>47</xdr:row>
      <xdr:rowOff>0</xdr:rowOff>
    </xdr:to>
    <xdr:sp macro="" textlink="">
      <xdr:nvSpPr>
        <xdr:cNvPr id="929" name="Text Box 1">
          <a:extLst>
            <a:ext uri="{FF2B5EF4-FFF2-40B4-BE49-F238E27FC236}">
              <a16:creationId xmlns:a16="http://schemas.microsoft.com/office/drawing/2014/main" id="{00000000-0008-0000-0300-0000A103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46</xdr:row>
      <xdr:rowOff>0</xdr:rowOff>
    </xdr:from>
    <xdr:to>
      <xdr:col>4</xdr:col>
      <xdr:colOff>76200</xdr:colOff>
      <xdr:row>47</xdr:row>
      <xdr:rowOff>0</xdr:rowOff>
    </xdr:to>
    <xdr:sp macro="" textlink="">
      <xdr:nvSpPr>
        <xdr:cNvPr id="930" name="Text Box 1">
          <a:extLst>
            <a:ext uri="{FF2B5EF4-FFF2-40B4-BE49-F238E27FC236}">
              <a16:creationId xmlns:a16="http://schemas.microsoft.com/office/drawing/2014/main" id="{00000000-0008-0000-0300-0000A203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46</xdr:row>
      <xdr:rowOff>0</xdr:rowOff>
    </xdr:from>
    <xdr:to>
      <xdr:col>4</xdr:col>
      <xdr:colOff>76200</xdr:colOff>
      <xdr:row>47</xdr:row>
      <xdr:rowOff>0</xdr:rowOff>
    </xdr:to>
    <xdr:sp macro="" textlink="">
      <xdr:nvSpPr>
        <xdr:cNvPr id="931" name="Text Box 2">
          <a:extLst>
            <a:ext uri="{FF2B5EF4-FFF2-40B4-BE49-F238E27FC236}">
              <a16:creationId xmlns:a16="http://schemas.microsoft.com/office/drawing/2014/main" id="{00000000-0008-0000-0300-0000A303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46</xdr:row>
      <xdr:rowOff>0</xdr:rowOff>
    </xdr:from>
    <xdr:to>
      <xdr:col>4</xdr:col>
      <xdr:colOff>76200</xdr:colOff>
      <xdr:row>47</xdr:row>
      <xdr:rowOff>0</xdr:rowOff>
    </xdr:to>
    <xdr:sp macro="" textlink="">
      <xdr:nvSpPr>
        <xdr:cNvPr id="932" name="Text Box 1">
          <a:extLst>
            <a:ext uri="{FF2B5EF4-FFF2-40B4-BE49-F238E27FC236}">
              <a16:creationId xmlns:a16="http://schemas.microsoft.com/office/drawing/2014/main" id="{00000000-0008-0000-0300-0000A403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46</xdr:row>
      <xdr:rowOff>0</xdr:rowOff>
    </xdr:from>
    <xdr:to>
      <xdr:col>4</xdr:col>
      <xdr:colOff>76200</xdr:colOff>
      <xdr:row>47</xdr:row>
      <xdr:rowOff>0</xdr:rowOff>
    </xdr:to>
    <xdr:sp macro="" textlink="">
      <xdr:nvSpPr>
        <xdr:cNvPr id="933" name="Text Box 1">
          <a:extLst>
            <a:ext uri="{FF2B5EF4-FFF2-40B4-BE49-F238E27FC236}">
              <a16:creationId xmlns:a16="http://schemas.microsoft.com/office/drawing/2014/main" id="{00000000-0008-0000-0300-0000A503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46</xdr:row>
      <xdr:rowOff>0</xdr:rowOff>
    </xdr:from>
    <xdr:to>
      <xdr:col>4</xdr:col>
      <xdr:colOff>76200</xdr:colOff>
      <xdr:row>47</xdr:row>
      <xdr:rowOff>0</xdr:rowOff>
    </xdr:to>
    <xdr:sp macro="" textlink="">
      <xdr:nvSpPr>
        <xdr:cNvPr id="934" name="Text Box 1">
          <a:extLst>
            <a:ext uri="{FF2B5EF4-FFF2-40B4-BE49-F238E27FC236}">
              <a16:creationId xmlns:a16="http://schemas.microsoft.com/office/drawing/2014/main" id="{00000000-0008-0000-0300-0000A603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46</xdr:row>
      <xdr:rowOff>0</xdr:rowOff>
    </xdr:from>
    <xdr:to>
      <xdr:col>4</xdr:col>
      <xdr:colOff>76200</xdr:colOff>
      <xdr:row>47</xdr:row>
      <xdr:rowOff>0</xdr:rowOff>
    </xdr:to>
    <xdr:sp macro="" textlink="">
      <xdr:nvSpPr>
        <xdr:cNvPr id="935" name="Text Box 2">
          <a:extLst>
            <a:ext uri="{FF2B5EF4-FFF2-40B4-BE49-F238E27FC236}">
              <a16:creationId xmlns:a16="http://schemas.microsoft.com/office/drawing/2014/main" id="{00000000-0008-0000-0300-0000A703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46</xdr:row>
      <xdr:rowOff>0</xdr:rowOff>
    </xdr:from>
    <xdr:to>
      <xdr:col>4</xdr:col>
      <xdr:colOff>76200</xdr:colOff>
      <xdr:row>47</xdr:row>
      <xdr:rowOff>0</xdr:rowOff>
    </xdr:to>
    <xdr:sp macro="" textlink="">
      <xdr:nvSpPr>
        <xdr:cNvPr id="936" name="Text Box 1">
          <a:extLst>
            <a:ext uri="{FF2B5EF4-FFF2-40B4-BE49-F238E27FC236}">
              <a16:creationId xmlns:a16="http://schemas.microsoft.com/office/drawing/2014/main" id="{00000000-0008-0000-0300-0000A803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46</xdr:row>
      <xdr:rowOff>0</xdr:rowOff>
    </xdr:from>
    <xdr:to>
      <xdr:col>4</xdr:col>
      <xdr:colOff>76200</xdr:colOff>
      <xdr:row>47</xdr:row>
      <xdr:rowOff>0</xdr:rowOff>
    </xdr:to>
    <xdr:sp macro="" textlink="">
      <xdr:nvSpPr>
        <xdr:cNvPr id="937" name="Text Box 1">
          <a:extLst>
            <a:ext uri="{FF2B5EF4-FFF2-40B4-BE49-F238E27FC236}">
              <a16:creationId xmlns:a16="http://schemas.microsoft.com/office/drawing/2014/main" id="{00000000-0008-0000-0300-0000A903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46</xdr:row>
      <xdr:rowOff>0</xdr:rowOff>
    </xdr:from>
    <xdr:to>
      <xdr:col>4</xdr:col>
      <xdr:colOff>76200</xdr:colOff>
      <xdr:row>47</xdr:row>
      <xdr:rowOff>0</xdr:rowOff>
    </xdr:to>
    <xdr:sp macro="" textlink="">
      <xdr:nvSpPr>
        <xdr:cNvPr id="938" name="Text Box 2">
          <a:extLst>
            <a:ext uri="{FF2B5EF4-FFF2-40B4-BE49-F238E27FC236}">
              <a16:creationId xmlns:a16="http://schemas.microsoft.com/office/drawing/2014/main" id="{00000000-0008-0000-0300-0000AA03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46</xdr:row>
      <xdr:rowOff>0</xdr:rowOff>
    </xdr:from>
    <xdr:to>
      <xdr:col>4</xdr:col>
      <xdr:colOff>76200</xdr:colOff>
      <xdr:row>47</xdr:row>
      <xdr:rowOff>0</xdr:rowOff>
    </xdr:to>
    <xdr:sp macro="" textlink="">
      <xdr:nvSpPr>
        <xdr:cNvPr id="939" name="Text Box 1">
          <a:extLst>
            <a:ext uri="{FF2B5EF4-FFF2-40B4-BE49-F238E27FC236}">
              <a16:creationId xmlns:a16="http://schemas.microsoft.com/office/drawing/2014/main" id="{00000000-0008-0000-0300-0000AB03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46</xdr:row>
      <xdr:rowOff>0</xdr:rowOff>
    </xdr:from>
    <xdr:to>
      <xdr:col>4</xdr:col>
      <xdr:colOff>76200</xdr:colOff>
      <xdr:row>47</xdr:row>
      <xdr:rowOff>0</xdr:rowOff>
    </xdr:to>
    <xdr:sp macro="" textlink="">
      <xdr:nvSpPr>
        <xdr:cNvPr id="940" name="Text Box 1">
          <a:extLst>
            <a:ext uri="{FF2B5EF4-FFF2-40B4-BE49-F238E27FC236}">
              <a16:creationId xmlns:a16="http://schemas.microsoft.com/office/drawing/2014/main" id="{00000000-0008-0000-0300-0000AC03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46</xdr:row>
      <xdr:rowOff>0</xdr:rowOff>
    </xdr:from>
    <xdr:to>
      <xdr:col>4</xdr:col>
      <xdr:colOff>76200</xdr:colOff>
      <xdr:row>47</xdr:row>
      <xdr:rowOff>0</xdr:rowOff>
    </xdr:to>
    <xdr:sp macro="" textlink="">
      <xdr:nvSpPr>
        <xdr:cNvPr id="941" name="Text Box 1">
          <a:extLst>
            <a:ext uri="{FF2B5EF4-FFF2-40B4-BE49-F238E27FC236}">
              <a16:creationId xmlns:a16="http://schemas.microsoft.com/office/drawing/2014/main" id="{00000000-0008-0000-0300-0000AD03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46</xdr:row>
      <xdr:rowOff>0</xdr:rowOff>
    </xdr:from>
    <xdr:to>
      <xdr:col>4</xdr:col>
      <xdr:colOff>76200</xdr:colOff>
      <xdr:row>47</xdr:row>
      <xdr:rowOff>0</xdr:rowOff>
    </xdr:to>
    <xdr:sp macro="" textlink="">
      <xdr:nvSpPr>
        <xdr:cNvPr id="942" name="Text Box 2">
          <a:extLst>
            <a:ext uri="{FF2B5EF4-FFF2-40B4-BE49-F238E27FC236}">
              <a16:creationId xmlns:a16="http://schemas.microsoft.com/office/drawing/2014/main" id="{00000000-0008-0000-0300-0000AE03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46</xdr:row>
      <xdr:rowOff>0</xdr:rowOff>
    </xdr:from>
    <xdr:to>
      <xdr:col>4</xdr:col>
      <xdr:colOff>76200</xdr:colOff>
      <xdr:row>47</xdr:row>
      <xdr:rowOff>0</xdr:rowOff>
    </xdr:to>
    <xdr:sp macro="" textlink="">
      <xdr:nvSpPr>
        <xdr:cNvPr id="943" name="Text Box 1">
          <a:extLst>
            <a:ext uri="{FF2B5EF4-FFF2-40B4-BE49-F238E27FC236}">
              <a16:creationId xmlns:a16="http://schemas.microsoft.com/office/drawing/2014/main" id="{00000000-0008-0000-0300-0000AF03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46</xdr:row>
      <xdr:rowOff>0</xdr:rowOff>
    </xdr:from>
    <xdr:to>
      <xdr:col>4</xdr:col>
      <xdr:colOff>76200</xdr:colOff>
      <xdr:row>47</xdr:row>
      <xdr:rowOff>0</xdr:rowOff>
    </xdr:to>
    <xdr:sp macro="" textlink="">
      <xdr:nvSpPr>
        <xdr:cNvPr id="944" name="Text Box 1">
          <a:extLst>
            <a:ext uri="{FF2B5EF4-FFF2-40B4-BE49-F238E27FC236}">
              <a16:creationId xmlns:a16="http://schemas.microsoft.com/office/drawing/2014/main" id="{00000000-0008-0000-0300-0000B003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47</xdr:row>
      <xdr:rowOff>0</xdr:rowOff>
    </xdr:from>
    <xdr:to>
      <xdr:col>4</xdr:col>
      <xdr:colOff>76200</xdr:colOff>
      <xdr:row>48</xdr:row>
      <xdr:rowOff>0</xdr:rowOff>
    </xdr:to>
    <xdr:sp macro="" textlink="">
      <xdr:nvSpPr>
        <xdr:cNvPr id="945" name="Text Box 1">
          <a:extLst>
            <a:ext uri="{FF2B5EF4-FFF2-40B4-BE49-F238E27FC236}">
              <a16:creationId xmlns:a16="http://schemas.microsoft.com/office/drawing/2014/main" id="{00000000-0008-0000-0300-0000B103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47</xdr:row>
      <xdr:rowOff>0</xdr:rowOff>
    </xdr:from>
    <xdr:to>
      <xdr:col>4</xdr:col>
      <xdr:colOff>76200</xdr:colOff>
      <xdr:row>48</xdr:row>
      <xdr:rowOff>0</xdr:rowOff>
    </xdr:to>
    <xdr:sp macro="" textlink="">
      <xdr:nvSpPr>
        <xdr:cNvPr id="946" name="Text Box 2">
          <a:extLst>
            <a:ext uri="{FF2B5EF4-FFF2-40B4-BE49-F238E27FC236}">
              <a16:creationId xmlns:a16="http://schemas.microsoft.com/office/drawing/2014/main" id="{00000000-0008-0000-0300-0000B203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47</xdr:row>
      <xdr:rowOff>0</xdr:rowOff>
    </xdr:from>
    <xdr:to>
      <xdr:col>4</xdr:col>
      <xdr:colOff>76200</xdr:colOff>
      <xdr:row>48</xdr:row>
      <xdr:rowOff>0</xdr:rowOff>
    </xdr:to>
    <xdr:sp macro="" textlink="">
      <xdr:nvSpPr>
        <xdr:cNvPr id="947" name="Text Box 1">
          <a:extLst>
            <a:ext uri="{FF2B5EF4-FFF2-40B4-BE49-F238E27FC236}">
              <a16:creationId xmlns:a16="http://schemas.microsoft.com/office/drawing/2014/main" id="{00000000-0008-0000-0300-0000B303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47</xdr:row>
      <xdr:rowOff>0</xdr:rowOff>
    </xdr:from>
    <xdr:to>
      <xdr:col>4</xdr:col>
      <xdr:colOff>76200</xdr:colOff>
      <xdr:row>48</xdr:row>
      <xdr:rowOff>0</xdr:rowOff>
    </xdr:to>
    <xdr:sp macro="" textlink="">
      <xdr:nvSpPr>
        <xdr:cNvPr id="948" name="Text Box 1">
          <a:extLst>
            <a:ext uri="{FF2B5EF4-FFF2-40B4-BE49-F238E27FC236}">
              <a16:creationId xmlns:a16="http://schemas.microsoft.com/office/drawing/2014/main" id="{00000000-0008-0000-0300-0000B403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47</xdr:row>
      <xdr:rowOff>0</xdr:rowOff>
    </xdr:from>
    <xdr:to>
      <xdr:col>4</xdr:col>
      <xdr:colOff>76200</xdr:colOff>
      <xdr:row>48</xdr:row>
      <xdr:rowOff>0</xdr:rowOff>
    </xdr:to>
    <xdr:sp macro="" textlink="">
      <xdr:nvSpPr>
        <xdr:cNvPr id="949" name="Text Box 1">
          <a:extLst>
            <a:ext uri="{FF2B5EF4-FFF2-40B4-BE49-F238E27FC236}">
              <a16:creationId xmlns:a16="http://schemas.microsoft.com/office/drawing/2014/main" id="{00000000-0008-0000-0300-0000B503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47</xdr:row>
      <xdr:rowOff>0</xdr:rowOff>
    </xdr:from>
    <xdr:to>
      <xdr:col>4</xdr:col>
      <xdr:colOff>76200</xdr:colOff>
      <xdr:row>48</xdr:row>
      <xdr:rowOff>0</xdr:rowOff>
    </xdr:to>
    <xdr:sp macro="" textlink="">
      <xdr:nvSpPr>
        <xdr:cNvPr id="950" name="Text Box 2">
          <a:extLst>
            <a:ext uri="{FF2B5EF4-FFF2-40B4-BE49-F238E27FC236}">
              <a16:creationId xmlns:a16="http://schemas.microsoft.com/office/drawing/2014/main" id="{00000000-0008-0000-0300-0000B603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47</xdr:row>
      <xdr:rowOff>0</xdr:rowOff>
    </xdr:from>
    <xdr:to>
      <xdr:col>4</xdr:col>
      <xdr:colOff>76200</xdr:colOff>
      <xdr:row>48</xdr:row>
      <xdr:rowOff>0</xdr:rowOff>
    </xdr:to>
    <xdr:sp macro="" textlink="">
      <xdr:nvSpPr>
        <xdr:cNvPr id="951" name="Text Box 1">
          <a:extLst>
            <a:ext uri="{FF2B5EF4-FFF2-40B4-BE49-F238E27FC236}">
              <a16:creationId xmlns:a16="http://schemas.microsoft.com/office/drawing/2014/main" id="{00000000-0008-0000-0300-0000B703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47</xdr:row>
      <xdr:rowOff>0</xdr:rowOff>
    </xdr:from>
    <xdr:to>
      <xdr:col>4</xdr:col>
      <xdr:colOff>76200</xdr:colOff>
      <xdr:row>48</xdr:row>
      <xdr:rowOff>0</xdr:rowOff>
    </xdr:to>
    <xdr:sp macro="" textlink="">
      <xdr:nvSpPr>
        <xdr:cNvPr id="952" name="Text Box 1">
          <a:extLst>
            <a:ext uri="{FF2B5EF4-FFF2-40B4-BE49-F238E27FC236}">
              <a16:creationId xmlns:a16="http://schemas.microsoft.com/office/drawing/2014/main" id="{00000000-0008-0000-0300-0000B803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47</xdr:row>
      <xdr:rowOff>0</xdr:rowOff>
    </xdr:from>
    <xdr:to>
      <xdr:col>4</xdr:col>
      <xdr:colOff>76200</xdr:colOff>
      <xdr:row>48</xdr:row>
      <xdr:rowOff>0</xdr:rowOff>
    </xdr:to>
    <xdr:sp macro="" textlink="">
      <xdr:nvSpPr>
        <xdr:cNvPr id="953" name="Text Box 1">
          <a:extLst>
            <a:ext uri="{FF2B5EF4-FFF2-40B4-BE49-F238E27FC236}">
              <a16:creationId xmlns:a16="http://schemas.microsoft.com/office/drawing/2014/main" id="{00000000-0008-0000-0300-0000B903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47</xdr:row>
      <xdr:rowOff>0</xdr:rowOff>
    </xdr:from>
    <xdr:to>
      <xdr:col>4</xdr:col>
      <xdr:colOff>76200</xdr:colOff>
      <xdr:row>48</xdr:row>
      <xdr:rowOff>0</xdr:rowOff>
    </xdr:to>
    <xdr:sp macro="" textlink="">
      <xdr:nvSpPr>
        <xdr:cNvPr id="954" name="Text Box 2">
          <a:extLst>
            <a:ext uri="{FF2B5EF4-FFF2-40B4-BE49-F238E27FC236}">
              <a16:creationId xmlns:a16="http://schemas.microsoft.com/office/drawing/2014/main" id="{00000000-0008-0000-0300-0000BA03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47</xdr:row>
      <xdr:rowOff>0</xdr:rowOff>
    </xdr:from>
    <xdr:to>
      <xdr:col>4</xdr:col>
      <xdr:colOff>76200</xdr:colOff>
      <xdr:row>48</xdr:row>
      <xdr:rowOff>0</xdr:rowOff>
    </xdr:to>
    <xdr:sp macro="" textlink="">
      <xdr:nvSpPr>
        <xdr:cNvPr id="955" name="Text Box 1">
          <a:extLst>
            <a:ext uri="{FF2B5EF4-FFF2-40B4-BE49-F238E27FC236}">
              <a16:creationId xmlns:a16="http://schemas.microsoft.com/office/drawing/2014/main" id="{00000000-0008-0000-0300-0000BB03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47</xdr:row>
      <xdr:rowOff>0</xdr:rowOff>
    </xdr:from>
    <xdr:to>
      <xdr:col>4</xdr:col>
      <xdr:colOff>76200</xdr:colOff>
      <xdr:row>48</xdr:row>
      <xdr:rowOff>0</xdr:rowOff>
    </xdr:to>
    <xdr:sp macro="" textlink="">
      <xdr:nvSpPr>
        <xdr:cNvPr id="956" name="Text Box 1">
          <a:extLst>
            <a:ext uri="{FF2B5EF4-FFF2-40B4-BE49-F238E27FC236}">
              <a16:creationId xmlns:a16="http://schemas.microsoft.com/office/drawing/2014/main" id="{00000000-0008-0000-0300-0000BC03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47</xdr:row>
      <xdr:rowOff>0</xdr:rowOff>
    </xdr:from>
    <xdr:to>
      <xdr:col>4</xdr:col>
      <xdr:colOff>76200</xdr:colOff>
      <xdr:row>48</xdr:row>
      <xdr:rowOff>0</xdr:rowOff>
    </xdr:to>
    <xdr:sp macro="" textlink="">
      <xdr:nvSpPr>
        <xdr:cNvPr id="957" name="Text Box 1">
          <a:extLst>
            <a:ext uri="{FF2B5EF4-FFF2-40B4-BE49-F238E27FC236}">
              <a16:creationId xmlns:a16="http://schemas.microsoft.com/office/drawing/2014/main" id="{00000000-0008-0000-0300-0000BD03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47</xdr:row>
      <xdr:rowOff>0</xdr:rowOff>
    </xdr:from>
    <xdr:to>
      <xdr:col>4</xdr:col>
      <xdr:colOff>76200</xdr:colOff>
      <xdr:row>48</xdr:row>
      <xdr:rowOff>0</xdr:rowOff>
    </xdr:to>
    <xdr:sp macro="" textlink="">
      <xdr:nvSpPr>
        <xdr:cNvPr id="958" name="Text Box 2">
          <a:extLst>
            <a:ext uri="{FF2B5EF4-FFF2-40B4-BE49-F238E27FC236}">
              <a16:creationId xmlns:a16="http://schemas.microsoft.com/office/drawing/2014/main" id="{00000000-0008-0000-0300-0000BE03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47</xdr:row>
      <xdr:rowOff>0</xdr:rowOff>
    </xdr:from>
    <xdr:to>
      <xdr:col>4</xdr:col>
      <xdr:colOff>76200</xdr:colOff>
      <xdr:row>48</xdr:row>
      <xdr:rowOff>0</xdr:rowOff>
    </xdr:to>
    <xdr:sp macro="" textlink="">
      <xdr:nvSpPr>
        <xdr:cNvPr id="959" name="Text Box 1">
          <a:extLst>
            <a:ext uri="{FF2B5EF4-FFF2-40B4-BE49-F238E27FC236}">
              <a16:creationId xmlns:a16="http://schemas.microsoft.com/office/drawing/2014/main" id="{00000000-0008-0000-0300-0000BF03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47</xdr:row>
      <xdr:rowOff>0</xdr:rowOff>
    </xdr:from>
    <xdr:to>
      <xdr:col>4</xdr:col>
      <xdr:colOff>76200</xdr:colOff>
      <xdr:row>48</xdr:row>
      <xdr:rowOff>0</xdr:rowOff>
    </xdr:to>
    <xdr:sp macro="" textlink="">
      <xdr:nvSpPr>
        <xdr:cNvPr id="960" name="Text Box 1">
          <a:extLst>
            <a:ext uri="{FF2B5EF4-FFF2-40B4-BE49-F238E27FC236}">
              <a16:creationId xmlns:a16="http://schemas.microsoft.com/office/drawing/2014/main" id="{00000000-0008-0000-0300-0000C003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47</xdr:row>
      <xdr:rowOff>0</xdr:rowOff>
    </xdr:from>
    <xdr:to>
      <xdr:col>4</xdr:col>
      <xdr:colOff>76200</xdr:colOff>
      <xdr:row>48</xdr:row>
      <xdr:rowOff>0</xdr:rowOff>
    </xdr:to>
    <xdr:sp macro="" textlink="">
      <xdr:nvSpPr>
        <xdr:cNvPr id="961" name="Text Box 2">
          <a:extLst>
            <a:ext uri="{FF2B5EF4-FFF2-40B4-BE49-F238E27FC236}">
              <a16:creationId xmlns:a16="http://schemas.microsoft.com/office/drawing/2014/main" id="{00000000-0008-0000-0300-0000C103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47</xdr:row>
      <xdr:rowOff>0</xdr:rowOff>
    </xdr:from>
    <xdr:to>
      <xdr:col>4</xdr:col>
      <xdr:colOff>76200</xdr:colOff>
      <xdr:row>48</xdr:row>
      <xdr:rowOff>0</xdr:rowOff>
    </xdr:to>
    <xdr:sp macro="" textlink="">
      <xdr:nvSpPr>
        <xdr:cNvPr id="962" name="Text Box 1">
          <a:extLst>
            <a:ext uri="{FF2B5EF4-FFF2-40B4-BE49-F238E27FC236}">
              <a16:creationId xmlns:a16="http://schemas.microsoft.com/office/drawing/2014/main" id="{00000000-0008-0000-0300-0000C203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47</xdr:row>
      <xdr:rowOff>0</xdr:rowOff>
    </xdr:from>
    <xdr:to>
      <xdr:col>4</xdr:col>
      <xdr:colOff>76200</xdr:colOff>
      <xdr:row>48</xdr:row>
      <xdr:rowOff>0</xdr:rowOff>
    </xdr:to>
    <xdr:sp macro="" textlink="">
      <xdr:nvSpPr>
        <xdr:cNvPr id="963" name="Text Box 1">
          <a:extLst>
            <a:ext uri="{FF2B5EF4-FFF2-40B4-BE49-F238E27FC236}">
              <a16:creationId xmlns:a16="http://schemas.microsoft.com/office/drawing/2014/main" id="{00000000-0008-0000-0300-0000C303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47</xdr:row>
      <xdr:rowOff>0</xdr:rowOff>
    </xdr:from>
    <xdr:to>
      <xdr:col>4</xdr:col>
      <xdr:colOff>76200</xdr:colOff>
      <xdr:row>48</xdr:row>
      <xdr:rowOff>0</xdr:rowOff>
    </xdr:to>
    <xdr:sp macro="" textlink="">
      <xdr:nvSpPr>
        <xdr:cNvPr id="964" name="Text Box 1">
          <a:extLst>
            <a:ext uri="{FF2B5EF4-FFF2-40B4-BE49-F238E27FC236}">
              <a16:creationId xmlns:a16="http://schemas.microsoft.com/office/drawing/2014/main" id="{00000000-0008-0000-0300-0000C403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47</xdr:row>
      <xdr:rowOff>0</xdr:rowOff>
    </xdr:from>
    <xdr:to>
      <xdr:col>4</xdr:col>
      <xdr:colOff>76200</xdr:colOff>
      <xdr:row>48</xdr:row>
      <xdr:rowOff>0</xdr:rowOff>
    </xdr:to>
    <xdr:sp macro="" textlink="">
      <xdr:nvSpPr>
        <xdr:cNvPr id="965" name="Text Box 2">
          <a:extLst>
            <a:ext uri="{FF2B5EF4-FFF2-40B4-BE49-F238E27FC236}">
              <a16:creationId xmlns:a16="http://schemas.microsoft.com/office/drawing/2014/main" id="{00000000-0008-0000-0300-0000C503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47</xdr:row>
      <xdr:rowOff>0</xdr:rowOff>
    </xdr:from>
    <xdr:to>
      <xdr:col>4</xdr:col>
      <xdr:colOff>76200</xdr:colOff>
      <xdr:row>48</xdr:row>
      <xdr:rowOff>0</xdr:rowOff>
    </xdr:to>
    <xdr:sp macro="" textlink="">
      <xdr:nvSpPr>
        <xdr:cNvPr id="966" name="Text Box 1">
          <a:extLst>
            <a:ext uri="{FF2B5EF4-FFF2-40B4-BE49-F238E27FC236}">
              <a16:creationId xmlns:a16="http://schemas.microsoft.com/office/drawing/2014/main" id="{00000000-0008-0000-0300-0000C603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47</xdr:row>
      <xdr:rowOff>0</xdr:rowOff>
    </xdr:from>
    <xdr:to>
      <xdr:col>4</xdr:col>
      <xdr:colOff>76200</xdr:colOff>
      <xdr:row>48</xdr:row>
      <xdr:rowOff>0</xdr:rowOff>
    </xdr:to>
    <xdr:sp macro="" textlink="">
      <xdr:nvSpPr>
        <xdr:cNvPr id="967" name="Text Box 1">
          <a:extLst>
            <a:ext uri="{FF2B5EF4-FFF2-40B4-BE49-F238E27FC236}">
              <a16:creationId xmlns:a16="http://schemas.microsoft.com/office/drawing/2014/main" id="{00000000-0008-0000-0300-0000C703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48</xdr:row>
      <xdr:rowOff>0</xdr:rowOff>
    </xdr:from>
    <xdr:to>
      <xdr:col>4</xdr:col>
      <xdr:colOff>76200</xdr:colOff>
      <xdr:row>49</xdr:row>
      <xdr:rowOff>0</xdr:rowOff>
    </xdr:to>
    <xdr:sp macro="" textlink="">
      <xdr:nvSpPr>
        <xdr:cNvPr id="968" name="Text Box 1">
          <a:extLst>
            <a:ext uri="{FF2B5EF4-FFF2-40B4-BE49-F238E27FC236}">
              <a16:creationId xmlns:a16="http://schemas.microsoft.com/office/drawing/2014/main" id="{00000000-0008-0000-0300-0000C803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48</xdr:row>
      <xdr:rowOff>0</xdr:rowOff>
    </xdr:from>
    <xdr:to>
      <xdr:col>4</xdr:col>
      <xdr:colOff>76200</xdr:colOff>
      <xdr:row>49</xdr:row>
      <xdr:rowOff>0</xdr:rowOff>
    </xdr:to>
    <xdr:sp macro="" textlink="">
      <xdr:nvSpPr>
        <xdr:cNvPr id="969" name="Text Box 2">
          <a:extLst>
            <a:ext uri="{FF2B5EF4-FFF2-40B4-BE49-F238E27FC236}">
              <a16:creationId xmlns:a16="http://schemas.microsoft.com/office/drawing/2014/main" id="{00000000-0008-0000-0300-0000C903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48</xdr:row>
      <xdr:rowOff>0</xdr:rowOff>
    </xdr:from>
    <xdr:to>
      <xdr:col>4</xdr:col>
      <xdr:colOff>76200</xdr:colOff>
      <xdr:row>49</xdr:row>
      <xdr:rowOff>0</xdr:rowOff>
    </xdr:to>
    <xdr:sp macro="" textlink="">
      <xdr:nvSpPr>
        <xdr:cNvPr id="970" name="Text Box 1">
          <a:extLst>
            <a:ext uri="{FF2B5EF4-FFF2-40B4-BE49-F238E27FC236}">
              <a16:creationId xmlns:a16="http://schemas.microsoft.com/office/drawing/2014/main" id="{00000000-0008-0000-0300-0000CA03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48</xdr:row>
      <xdr:rowOff>0</xdr:rowOff>
    </xdr:from>
    <xdr:to>
      <xdr:col>4</xdr:col>
      <xdr:colOff>76200</xdr:colOff>
      <xdr:row>49</xdr:row>
      <xdr:rowOff>0</xdr:rowOff>
    </xdr:to>
    <xdr:sp macro="" textlink="">
      <xdr:nvSpPr>
        <xdr:cNvPr id="971" name="Text Box 1">
          <a:extLst>
            <a:ext uri="{FF2B5EF4-FFF2-40B4-BE49-F238E27FC236}">
              <a16:creationId xmlns:a16="http://schemas.microsoft.com/office/drawing/2014/main" id="{00000000-0008-0000-0300-0000CB03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48</xdr:row>
      <xdr:rowOff>0</xdr:rowOff>
    </xdr:from>
    <xdr:to>
      <xdr:col>4</xdr:col>
      <xdr:colOff>76200</xdr:colOff>
      <xdr:row>49</xdr:row>
      <xdr:rowOff>0</xdr:rowOff>
    </xdr:to>
    <xdr:sp macro="" textlink="">
      <xdr:nvSpPr>
        <xdr:cNvPr id="972" name="Text Box 1">
          <a:extLst>
            <a:ext uri="{FF2B5EF4-FFF2-40B4-BE49-F238E27FC236}">
              <a16:creationId xmlns:a16="http://schemas.microsoft.com/office/drawing/2014/main" id="{00000000-0008-0000-0300-0000CC03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48</xdr:row>
      <xdr:rowOff>0</xdr:rowOff>
    </xdr:from>
    <xdr:to>
      <xdr:col>4</xdr:col>
      <xdr:colOff>76200</xdr:colOff>
      <xdr:row>49</xdr:row>
      <xdr:rowOff>0</xdr:rowOff>
    </xdr:to>
    <xdr:sp macro="" textlink="">
      <xdr:nvSpPr>
        <xdr:cNvPr id="973" name="Text Box 2">
          <a:extLst>
            <a:ext uri="{FF2B5EF4-FFF2-40B4-BE49-F238E27FC236}">
              <a16:creationId xmlns:a16="http://schemas.microsoft.com/office/drawing/2014/main" id="{00000000-0008-0000-0300-0000CD03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48</xdr:row>
      <xdr:rowOff>0</xdr:rowOff>
    </xdr:from>
    <xdr:to>
      <xdr:col>4</xdr:col>
      <xdr:colOff>76200</xdr:colOff>
      <xdr:row>49</xdr:row>
      <xdr:rowOff>0</xdr:rowOff>
    </xdr:to>
    <xdr:sp macro="" textlink="">
      <xdr:nvSpPr>
        <xdr:cNvPr id="974" name="Text Box 1">
          <a:extLst>
            <a:ext uri="{FF2B5EF4-FFF2-40B4-BE49-F238E27FC236}">
              <a16:creationId xmlns:a16="http://schemas.microsoft.com/office/drawing/2014/main" id="{00000000-0008-0000-0300-0000CE03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48</xdr:row>
      <xdr:rowOff>0</xdr:rowOff>
    </xdr:from>
    <xdr:to>
      <xdr:col>4</xdr:col>
      <xdr:colOff>76200</xdr:colOff>
      <xdr:row>49</xdr:row>
      <xdr:rowOff>0</xdr:rowOff>
    </xdr:to>
    <xdr:sp macro="" textlink="">
      <xdr:nvSpPr>
        <xdr:cNvPr id="975" name="Text Box 1">
          <a:extLst>
            <a:ext uri="{FF2B5EF4-FFF2-40B4-BE49-F238E27FC236}">
              <a16:creationId xmlns:a16="http://schemas.microsoft.com/office/drawing/2014/main" id="{00000000-0008-0000-0300-0000CF03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48</xdr:row>
      <xdr:rowOff>0</xdr:rowOff>
    </xdr:from>
    <xdr:to>
      <xdr:col>4</xdr:col>
      <xdr:colOff>76200</xdr:colOff>
      <xdr:row>49</xdr:row>
      <xdr:rowOff>0</xdr:rowOff>
    </xdr:to>
    <xdr:sp macro="" textlink="">
      <xdr:nvSpPr>
        <xdr:cNvPr id="976" name="Text Box 1">
          <a:extLst>
            <a:ext uri="{FF2B5EF4-FFF2-40B4-BE49-F238E27FC236}">
              <a16:creationId xmlns:a16="http://schemas.microsoft.com/office/drawing/2014/main" id="{00000000-0008-0000-0300-0000D003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48</xdr:row>
      <xdr:rowOff>0</xdr:rowOff>
    </xdr:from>
    <xdr:to>
      <xdr:col>4</xdr:col>
      <xdr:colOff>76200</xdr:colOff>
      <xdr:row>49</xdr:row>
      <xdr:rowOff>0</xdr:rowOff>
    </xdr:to>
    <xdr:sp macro="" textlink="">
      <xdr:nvSpPr>
        <xdr:cNvPr id="977" name="Text Box 2">
          <a:extLst>
            <a:ext uri="{FF2B5EF4-FFF2-40B4-BE49-F238E27FC236}">
              <a16:creationId xmlns:a16="http://schemas.microsoft.com/office/drawing/2014/main" id="{00000000-0008-0000-0300-0000D103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48</xdr:row>
      <xdr:rowOff>0</xdr:rowOff>
    </xdr:from>
    <xdr:to>
      <xdr:col>4</xdr:col>
      <xdr:colOff>76200</xdr:colOff>
      <xdr:row>49</xdr:row>
      <xdr:rowOff>0</xdr:rowOff>
    </xdr:to>
    <xdr:sp macro="" textlink="">
      <xdr:nvSpPr>
        <xdr:cNvPr id="978" name="Text Box 1">
          <a:extLst>
            <a:ext uri="{FF2B5EF4-FFF2-40B4-BE49-F238E27FC236}">
              <a16:creationId xmlns:a16="http://schemas.microsoft.com/office/drawing/2014/main" id="{00000000-0008-0000-0300-0000D203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48</xdr:row>
      <xdr:rowOff>0</xdr:rowOff>
    </xdr:from>
    <xdr:to>
      <xdr:col>4</xdr:col>
      <xdr:colOff>76200</xdr:colOff>
      <xdr:row>49</xdr:row>
      <xdr:rowOff>0</xdr:rowOff>
    </xdr:to>
    <xdr:sp macro="" textlink="">
      <xdr:nvSpPr>
        <xdr:cNvPr id="979" name="Text Box 1">
          <a:extLst>
            <a:ext uri="{FF2B5EF4-FFF2-40B4-BE49-F238E27FC236}">
              <a16:creationId xmlns:a16="http://schemas.microsoft.com/office/drawing/2014/main" id="{00000000-0008-0000-0300-0000D303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48</xdr:row>
      <xdr:rowOff>0</xdr:rowOff>
    </xdr:from>
    <xdr:to>
      <xdr:col>4</xdr:col>
      <xdr:colOff>76200</xdr:colOff>
      <xdr:row>49</xdr:row>
      <xdr:rowOff>0</xdr:rowOff>
    </xdr:to>
    <xdr:sp macro="" textlink="">
      <xdr:nvSpPr>
        <xdr:cNvPr id="980" name="Text Box 1">
          <a:extLst>
            <a:ext uri="{FF2B5EF4-FFF2-40B4-BE49-F238E27FC236}">
              <a16:creationId xmlns:a16="http://schemas.microsoft.com/office/drawing/2014/main" id="{00000000-0008-0000-0300-0000D403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48</xdr:row>
      <xdr:rowOff>0</xdr:rowOff>
    </xdr:from>
    <xdr:to>
      <xdr:col>4</xdr:col>
      <xdr:colOff>76200</xdr:colOff>
      <xdr:row>49</xdr:row>
      <xdr:rowOff>0</xdr:rowOff>
    </xdr:to>
    <xdr:sp macro="" textlink="">
      <xdr:nvSpPr>
        <xdr:cNvPr id="981" name="Text Box 2">
          <a:extLst>
            <a:ext uri="{FF2B5EF4-FFF2-40B4-BE49-F238E27FC236}">
              <a16:creationId xmlns:a16="http://schemas.microsoft.com/office/drawing/2014/main" id="{00000000-0008-0000-0300-0000D503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48</xdr:row>
      <xdr:rowOff>0</xdr:rowOff>
    </xdr:from>
    <xdr:to>
      <xdr:col>4</xdr:col>
      <xdr:colOff>76200</xdr:colOff>
      <xdr:row>49</xdr:row>
      <xdr:rowOff>0</xdr:rowOff>
    </xdr:to>
    <xdr:sp macro="" textlink="">
      <xdr:nvSpPr>
        <xdr:cNvPr id="982" name="Text Box 1">
          <a:extLst>
            <a:ext uri="{FF2B5EF4-FFF2-40B4-BE49-F238E27FC236}">
              <a16:creationId xmlns:a16="http://schemas.microsoft.com/office/drawing/2014/main" id="{00000000-0008-0000-0300-0000D603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48</xdr:row>
      <xdr:rowOff>0</xdr:rowOff>
    </xdr:from>
    <xdr:to>
      <xdr:col>4</xdr:col>
      <xdr:colOff>76200</xdr:colOff>
      <xdr:row>49</xdr:row>
      <xdr:rowOff>0</xdr:rowOff>
    </xdr:to>
    <xdr:sp macro="" textlink="">
      <xdr:nvSpPr>
        <xdr:cNvPr id="983" name="Text Box 1">
          <a:extLst>
            <a:ext uri="{FF2B5EF4-FFF2-40B4-BE49-F238E27FC236}">
              <a16:creationId xmlns:a16="http://schemas.microsoft.com/office/drawing/2014/main" id="{00000000-0008-0000-0300-0000D703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48</xdr:row>
      <xdr:rowOff>0</xdr:rowOff>
    </xdr:from>
    <xdr:to>
      <xdr:col>4</xdr:col>
      <xdr:colOff>76200</xdr:colOff>
      <xdr:row>49</xdr:row>
      <xdr:rowOff>0</xdr:rowOff>
    </xdr:to>
    <xdr:sp macro="" textlink="">
      <xdr:nvSpPr>
        <xdr:cNvPr id="984" name="Text Box 2">
          <a:extLst>
            <a:ext uri="{FF2B5EF4-FFF2-40B4-BE49-F238E27FC236}">
              <a16:creationId xmlns:a16="http://schemas.microsoft.com/office/drawing/2014/main" id="{00000000-0008-0000-0300-0000D803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48</xdr:row>
      <xdr:rowOff>0</xdr:rowOff>
    </xdr:from>
    <xdr:to>
      <xdr:col>4</xdr:col>
      <xdr:colOff>76200</xdr:colOff>
      <xdr:row>49</xdr:row>
      <xdr:rowOff>0</xdr:rowOff>
    </xdr:to>
    <xdr:sp macro="" textlink="">
      <xdr:nvSpPr>
        <xdr:cNvPr id="985" name="Text Box 1">
          <a:extLst>
            <a:ext uri="{FF2B5EF4-FFF2-40B4-BE49-F238E27FC236}">
              <a16:creationId xmlns:a16="http://schemas.microsoft.com/office/drawing/2014/main" id="{00000000-0008-0000-0300-0000D903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48</xdr:row>
      <xdr:rowOff>0</xdr:rowOff>
    </xdr:from>
    <xdr:to>
      <xdr:col>4</xdr:col>
      <xdr:colOff>76200</xdr:colOff>
      <xdr:row>49</xdr:row>
      <xdr:rowOff>0</xdr:rowOff>
    </xdr:to>
    <xdr:sp macro="" textlink="">
      <xdr:nvSpPr>
        <xdr:cNvPr id="986" name="Text Box 1">
          <a:extLst>
            <a:ext uri="{FF2B5EF4-FFF2-40B4-BE49-F238E27FC236}">
              <a16:creationId xmlns:a16="http://schemas.microsoft.com/office/drawing/2014/main" id="{00000000-0008-0000-0300-0000DA03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48</xdr:row>
      <xdr:rowOff>0</xdr:rowOff>
    </xdr:from>
    <xdr:to>
      <xdr:col>4</xdr:col>
      <xdr:colOff>76200</xdr:colOff>
      <xdr:row>49</xdr:row>
      <xdr:rowOff>0</xdr:rowOff>
    </xdr:to>
    <xdr:sp macro="" textlink="">
      <xdr:nvSpPr>
        <xdr:cNvPr id="987" name="Text Box 1">
          <a:extLst>
            <a:ext uri="{FF2B5EF4-FFF2-40B4-BE49-F238E27FC236}">
              <a16:creationId xmlns:a16="http://schemas.microsoft.com/office/drawing/2014/main" id="{00000000-0008-0000-0300-0000DB03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48</xdr:row>
      <xdr:rowOff>0</xdr:rowOff>
    </xdr:from>
    <xdr:to>
      <xdr:col>4</xdr:col>
      <xdr:colOff>76200</xdr:colOff>
      <xdr:row>49</xdr:row>
      <xdr:rowOff>0</xdr:rowOff>
    </xdr:to>
    <xdr:sp macro="" textlink="">
      <xdr:nvSpPr>
        <xdr:cNvPr id="988" name="Text Box 2">
          <a:extLst>
            <a:ext uri="{FF2B5EF4-FFF2-40B4-BE49-F238E27FC236}">
              <a16:creationId xmlns:a16="http://schemas.microsoft.com/office/drawing/2014/main" id="{00000000-0008-0000-0300-0000DC03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48</xdr:row>
      <xdr:rowOff>0</xdr:rowOff>
    </xdr:from>
    <xdr:to>
      <xdr:col>4</xdr:col>
      <xdr:colOff>76200</xdr:colOff>
      <xdr:row>49</xdr:row>
      <xdr:rowOff>0</xdr:rowOff>
    </xdr:to>
    <xdr:sp macro="" textlink="">
      <xdr:nvSpPr>
        <xdr:cNvPr id="989" name="Text Box 1">
          <a:extLst>
            <a:ext uri="{FF2B5EF4-FFF2-40B4-BE49-F238E27FC236}">
              <a16:creationId xmlns:a16="http://schemas.microsoft.com/office/drawing/2014/main" id="{00000000-0008-0000-0300-0000DD03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48</xdr:row>
      <xdr:rowOff>0</xdr:rowOff>
    </xdr:from>
    <xdr:to>
      <xdr:col>4</xdr:col>
      <xdr:colOff>76200</xdr:colOff>
      <xdr:row>49</xdr:row>
      <xdr:rowOff>0</xdr:rowOff>
    </xdr:to>
    <xdr:sp macro="" textlink="">
      <xdr:nvSpPr>
        <xdr:cNvPr id="990" name="Text Box 1">
          <a:extLst>
            <a:ext uri="{FF2B5EF4-FFF2-40B4-BE49-F238E27FC236}">
              <a16:creationId xmlns:a16="http://schemas.microsoft.com/office/drawing/2014/main" id="{00000000-0008-0000-0300-0000DE03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49</xdr:row>
      <xdr:rowOff>0</xdr:rowOff>
    </xdr:from>
    <xdr:to>
      <xdr:col>4</xdr:col>
      <xdr:colOff>76200</xdr:colOff>
      <xdr:row>50</xdr:row>
      <xdr:rowOff>0</xdr:rowOff>
    </xdr:to>
    <xdr:sp macro="" textlink="">
      <xdr:nvSpPr>
        <xdr:cNvPr id="991" name="Text Box 1">
          <a:extLst>
            <a:ext uri="{FF2B5EF4-FFF2-40B4-BE49-F238E27FC236}">
              <a16:creationId xmlns:a16="http://schemas.microsoft.com/office/drawing/2014/main" id="{00000000-0008-0000-0300-0000DF03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49</xdr:row>
      <xdr:rowOff>0</xdr:rowOff>
    </xdr:from>
    <xdr:to>
      <xdr:col>4</xdr:col>
      <xdr:colOff>76200</xdr:colOff>
      <xdr:row>50</xdr:row>
      <xdr:rowOff>0</xdr:rowOff>
    </xdr:to>
    <xdr:sp macro="" textlink="">
      <xdr:nvSpPr>
        <xdr:cNvPr id="992" name="Text Box 2">
          <a:extLst>
            <a:ext uri="{FF2B5EF4-FFF2-40B4-BE49-F238E27FC236}">
              <a16:creationId xmlns:a16="http://schemas.microsoft.com/office/drawing/2014/main" id="{00000000-0008-0000-0300-0000E003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49</xdr:row>
      <xdr:rowOff>0</xdr:rowOff>
    </xdr:from>
    <xdr:to>
      <xdr:col>4</xdr:col>
      <xdr:colOff>76200</xdr:colOff>
      <xdr:row>50</xdr:row>
      <xdr:rowOff>0</xdr:rowOff>
    </xdr:to>
    <xdr:sp macro="" textlink="">
      <xdr:nvSpPr>
        <xdr:cNvPr id="993" name="Text Box 1">
          <a:extLst>
            <a:ext uri="{FF2B5EF4-FFF2-40B4-BE49-F238E27FC236}">
              <a16:creationId xmlns:a16="http://schemas.microsoft.com/office/drawing/2014/main" id="{00000000-0008-0000-0300-0000E103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49</xdr:row>
      <xdr:rowOff>0</xdr:rowOff>
    </xdr:from>
    <xdr:to>
      <xdr:col>4</xdr:col>
      <xdr:colOff>76200</xdr:colOff>
      <xdr:row>50</xdr:row>
      <xdr:rowOff>0</xdr:rowOff>
    </xdr:to>
    <xdr:sp macro="" textlink="">
      <xdr:nvSpPr>
        <xdr:cNvPr id="994" name="Text Box 1">
          <a:extLst>
            <a:ext uri="{FF2B5EF4-FFF2-40B4-BE49-F238E27FC236}">
              <a16:creationId xmlns:a16="http://schemas.microsoft.com/office/drawing/2014/main" id="{00000000-0008-0000-0300-0000E203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49</xdr:row>
      <xdr:rowOff>0</xdr:rowOff>
    </xdr:from>
    <xdr:to>
      <xdr:col>4</xdr:col>
      <xdr:colOff>76200</xdr:colOff>
      <xdr:row>50</xdr:row>
      <xdr:rowOff>0</xdr:rowOff>
    </xdr:to>
    <xdr:sp macro="" textlink="">
      <xdr:nvSpPr>
        <xdr:cNvPr id="995" name="Text Box 1">
          <a:extLst>
            <a:ext uri="{FF2B5EF4-FFF2-40B4-BE49-F238E27FC236}">
              <a16:creationId xmlns:a16="http://schemas.microsoft.com/office/drawing/2014/main" id="{00000000-0008-0000-0300-0000E303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49</xdr:row>
      <xdr:rowOff>0</xdr:rowOff>
    </xdr:from>
    <xdr:to>
      <xdr:col>4</xdr:col>
      <xdr:colOff>76200</xdr:colOff>
      <xdr:row>50</xdr:row>
      <xdr:rowOff>0</xdr:rowOff>
    </xdr:to>
    <xdr:sp macro="" textlink="">
      <xdr:nvSpPr>
        <xdr:cNvPr id="996" name="Text Box 2">
          <a:extLst>
            <a:ext uri="{FF2B5EF4-FFF2-40B4-BE49-F238E27FC236}">
              <a16:creationId xmlns:a16="http://schemas.microsoft.com/office/drawing/2014/main" id="{00000000-0008-0000-0300-0000E403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49</xdr:row>
      <xdr:rowOff>0</xdr:rowOff>
    </xdr:from>
    <xdr:to>
      <xdr:col>4</xdr:col>
      <xdr:colOff>76200</xdr:colOff>
      <xdr:row>50</xdr:row>
      <xdr:rowOff>0</xdr:rowOff>
    </xdr:to>
    <xdr:sp macro="" textlink="">
      <xdr:nvSpPr>
        <xdr:cNvPr id="997" name="Text Box 1">
          <a:extLst>
            <a:ext uri="{FF2B5EF4-FFF2-40B4-BE49-F238E27FC236}">
              <a16:creationId xmlns:a16="http://schemas.microsoft.com/office/drawing/2014/main" id="{00000000-0008-0000-0300-0000E503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49</xdr:row>
      <xdr:rowOff>0</xdr:rowOff>
    </xdr:from>
    <xdr:to>
      <xdr:col>4</xdr:col>
      <xdr:colOff>76200</xdr:colOff>
      <xdr:row>50</xdr:row>
      <xdr:rowOff>0</xdr:rowOff>
    </xdr:to>
    <xdr:sp macro="" textlink="">
      <xdr:nvSpPr>
        <xdr:cNvPr id="998" name="Text Box 1">
          <a:extLst>
            <a:ext uri="{FF2B5EF4-FFF2-40B4-BE49-F238E27FC236}">
              <a16:creationId xmlns:a16="http://schemas.microsoft.com/office/drawing/2014/main" id="{00000000-0008-0000-0300-0000E603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49</xdr:row>
      <xdr:rowOff>0</xdr:rowOff>
    </xdr:from>
    <xdr:to>
      <xdr:col>4</xdr:col>
      <xdr:colOff>76200</xdr:colOff>
      <xdr:row>50</xdr:row>
      <xdr:rowOff>0</xdr:rowOff>
    </xdr:to>
    <xdr:sp macro="" textlink="">
      <xdr:nvSpPr>
        <xdr:cNvPr id="999" name="Text Box 1">
          <a:extLst>
            <a:ext uri="{FF2B5EF4-FFF2-40B4-BE49-F238E27FC236}">
              <a16:creationId xmlns:a16="http://schemas.microsoft.com/office/drawing/2014/main" id="{00000000-0008-0000-0300-0000E703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49</xdr:row>
      <xdr:rowOff>0</xdr:rowOff>
    </xdr:from>
    <xdr:to>
      <xdr:col>4</xdr:col>
      <xdr:colOff>76200</xdr:colOff>
      <xdr:row>50</xdr:row>
      <xdr:rowOff>0</xdr:rowOff>
    </xdr:to>
    <xdr:sp macro="" textlink="">
      <xdr:nvSpPr>
        <xdr:cNvPr id="1000" name="Text Box 2">
          <a:extLst>
            <a:ext uri="{FF2B5EF4-FFF2-40B4-BE49-F238E27FC236}">
              <a16:creationId xmlns:a16="http://schemas.microsoft.com/office/drawing/2014/main" id="{00000000-0008-0000-0300-0000E803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49</xdr:row>
      <xdr:rowOff>0</xdr:rowOff>
    </xdr:from>
    <xdr:to>
      <xdr:col>4</xdr:col>
      <xdr:colOff>76200</xdr:colOff>
      <xdr:row>50</xdr:row>
      <xdr:rowOff>0</xdr:rowOff>
    </xdr:to>
    <xdr:sp macro="" textlink="">
      <xdr:nvSpPr>
        <xdr:cNvPr id="1001" name="Text Box 1">
          <a:extLst>
            <a:ext uri="{FF2B5EF4-FFF2-40B4-BE49-F238E27FC236}">
              <a16:creationId xmlns:a16="http://schemas.microsoft.com/office/drawing/2014/main" id="{00000000-0008-0000-0300-0000E903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49</xdr:row>
      <xdr:rowOff>0</xdr:rowOff>
    </xdr:from>
    <xdr:to>
      <xdr:col>4</xdr:col>
      <xdr:colOff>76200</xdr:colOff>
      <xdr:row>50</xdr:row>
      <xdr:rowOff>0</xdr:rowOff>
    </xdr:to>
    <xdr:sp macro="" textlink="">
      <xdr:nvSpPr>
        <xdr:cNvPr id="1002" name="Text Box 1">
          <a:extLst>
            <a:ext uri="{FF2B5EF4-FFF2-40B4-BE49-F238E27FC236}">
              <a16:creationId xmlns:a16="http://schemas.microsoft.com/office/drawing/2014/main" id="{00000000-0008-0000-0300-0000EA03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49</xdr:row>
      <xdr:rowOff>0</xdr:rowOff>
    </xdr:from>
    <xdr:to>
      <xdr:col>4</xdr:col>
      <xdr:colOff>76200</xdr:colOff>
      <xdr:row>50</xdr:row>
      <xdr:rowOff>0</xdr:rowOff>
    </xdr:to>
    <xdr:sp macro="" textlink="">
      <xdr:nvSpPr>
        <xdr:cNvPr id="1003" name="Text Box 1">
          <a:extLst>
            <a:ext uri="{FF2B5EF4-FFF2-40B4-BE49-F238E27FC236}">
              <a16:creationId xmlns:a16="http://schemas.microsoft.com/office/drawing/2014/main" id="{00000000-0008-0000-0300-0000EB03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49</xdr:row>
      <xdr:rowOff>0</xdr:rowOff>
    </xdr:from>
    <xdr:to>
      <xdr:col>4</xdr:col>
      <xdr:colOff>76200</xdr:colOff>
      <xdr:row>50</xdr:row>
      <xdr:rowOff>0</xdr:rowOff>
    </xdr:to>
    <xdr:sp macro="" textlink="">
      <xdr:nvSpPr>
        <xdr:cNvPr id="1004" name="Text Box 2">
          <a:extLst>
            <a:ext uri="{FF2B5EF4-FFF2-40B4-BE49-F238E27FC236}">
              <a16:creationId xmlns:a16="http://schemas.microsoft.com/office/drawing/2014/main" id="{00000000-0008-0000-0300-0000EC03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49</xdr:row>
      <xdr:rowOff>0</xdr:rowOff>
    </xdr:from>
    <xdr:to>
      <xdr:col>4</xdr:col>
      <xdr:colOff>76200</xdr:colOff>
      <xdr:row>50</xdr:row>
      <xdr:rowOff>0</xdr:rowOff>
    </xdr:to>
    <xdr:sp macro="" textlink="">
      <xdr:nvSpPr>
        <xdr:cNvPr id="1005" name="Text Box 1">
          <a:extLst>
            <a:ext uri="{FF2B5EF4-FFF2-40B4-BE49-F238E27FC236}">
              <a16:creationId xmlns:a16="http://schemas.microsoft.com/office/drawing/2014/main" id="{00000000-0008-0000-0300-0000ED03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49</xdr:row>
      <xdr:rowOff>0</xdr:rowOff>
    </xdr:from>
    <xdr:to>
      <xdr:col>4</xdr:col>
      <xdr:colOff>76200</xdr:colOff>
      <xdr:row>50</xdr:row>
      <xdr:rowOff>0</xdr:rowOff>
    </xdr:to>
    <xdr:sp macro="" textlink="">
      <xdr:nvSpPr>
        <xdr:cNvPr id="1006" name="Text Box 1">
          <a:extLst>
            <a:ext uri="{FF2B5EF4-FFF2-40B4-BE49-F238E27FC236}">
              <a16:creationId xmlns:a16="http://schemas.microsoft.com/office/drawing/2014/main" id="{00000000-0008-0000-0300-0000EE03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49</xdr:row>
      <xdr:rowOff>0</xdr:rowOff>
    </xdr:from>
    <xdr:to>
      <xdr:col>4</xdr:col>
      <xdr:colOff>76200</xdr:colOff>
      <xdr:row>50</xdr:row>
      <xdr:rowOff>0</xdr:rowOff>
    </xdr:to>
    <xdr:sp macro="" textlink="">
      <xdr:nvSpPr>
        <xdr:cNvPr id="1007" name="Text Box 2">
          <a:extLst>
            <a:ext uri="{FF2B5EF4-FFF2-40B4-BE49-F238E27FC236}">
              <a16:creationId xmlns:a16="http://schemas.microsoft.com/office/drawing/2014/main" id="{00000000-0008-0000-0300-0000EF03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49</xdr:row>
      <xdr:rowOff>0</xdr:rowOff>
    </xdr:from>
    <xdr:to>
      <xdr:col>4</xdr:col>
      <xdr:colOff>76200</xdr:colOff>
      <xdr:row>50</xdr:row>
      <xdr:rowOff>0</xdr:rowOff>
    </xdr:to>
    <xdr:sp macro="" textlink="">
      <xdr:nvSpPr>
        <xdr:cNvPr id="1008" name="Text Box 1">
          <a:extLst>
            <a:ext uri="{FF2B5EF4-FFF2-40B4-BE49-F238E27FC236}">
              <a16:creationId xmlns:a16="http://schemas.microsoft.com/office/drawing/2014/main" id="{00000000-0008-0000-0300-0000F003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49</xdr:row>
      <xdr:rowOff>0</xdr:rowOff>
    </xdr:from>
    <xdr:to>
      <xdr:col>4</xdr:col>
      <xdr:colOff>76200</xdr:colOff>
      <xdr:row>50</xdr:row>
      <xdr:rowOff>0</xdr:rowOff>
    </xdr:to>
    <xdr:sp macro="" textlink="">
      <xdr:nvSpPr>
        <xdr:cNvPr id="1009" name="Text Box 1">
          <a:extLst>
            <a:ext uri="{FF2B5EF4-FFF2-40B4-BE49-F238E27FC236}">
              <a16:creationId xmlns:a16="http://schemas.microsoft.com/office/drawing/2014/main" id="{00000000-0008-0000-0300-0000F103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49</xdr:row>
      <xdr:rowOff>0</xdr:rowOff>
    </xdr:from>
    <xdr:to>
      <xdr:col>4</xdr:col>
      <xdr:colOff>76200</xdr:colOff>
      <xdr:row>50</xdr:row>
      <xdr:rowOff>0</xdr:rowOff>
    </xdr:to>
    <xdr:sp macro="" textlink="">
      <xdr:nvSpPr>
        <xdr:cNvPr id="1010" name="Text Box 1">
          <a:extLst>
            <a:ext uri="{FF2B5EF4-FFF2-40B4-BE49-F238E27FC236}">
              <a16:creationId xmlns:a16="http://schemas.microsoft.com/office/drawing/2014/main" id="{00000000-0008-0000-0300-0000F203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49</xdr:row>
      <xdr:rowOff>0</xdr:rowOff>
    </xdr:from>
    <xdr:to>
      <xdr:col>4</xdr:col>
      <xdr:colOff>76200</xdr:colOff>
      <xdr:row>50</xdr:row>
      <xdr:rowOff>0</xdr:rowOff>
    </xdr:to>
    <xdr:sp macro="" textlink="">
      <xdr:nvSpPr>
        <xdr:cNvPr id="1011" name="Text Box 2">
          <a:extLst>
            <a:ext uri="{FF2B5EF4-FFF2-40B4-BE49-F238E27FC236}">
              <a16:creationId xmlns:a16="http://schemas.microsoft.com/office/drawing/2014/main" id="{00000000-0008-0000-0300-0000F303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49</xdr:row>
      <xdr:rowOff>0</xdr:rowOff>
    </xdr:from>
    <xdr:to>
      <xdr:col>4</xdr:col>
      <xdr:colOff>76200</xdr:colOff>
      <xdr:row>50</xdr:row>
      <xdr:rowOff>0</xdr:rowOff>
    </xdr:to>
    <xdr:sp macro="" textlink="">
      <xdr:nvSpPr>
        <xdr:cNvPr id="1012" name="Text Box 1">
          <a:extLst>
            <a:ext uri="{FF2B5EF4-FFF2-40B4-BE49-F238E27FC236}">
              <a16:creationId xmlns:a16="http://schemas.microsoft.com/office/drawing/2014/main" id="{00000000-0008-0000-0300-0000F403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49</xdr:row>
      <xdr:rowOff>0</xdr:rowOff>
    </xdr:from>
    <xdr:to>
      <xdr:col>4</xdr:col>
      <xdr:colOff>76200</xdr:colOff>
      <xdr:row>50</xdr:row>
      <xdr:rowOff>0</xdr:rowOff>
    </xdr:to>
    <xdr:sp macro="" textlink="">
      <xdr:nvSpPr>
        <xdr:cNvPr id="1013" name="Text Box 1">
          <a:extLst>
            <a:ext uri="{FF2B5EF4-FFF2-40B4-BE49-F238E27FC236}">
              <a16:creationId xmlns:a16="http://schemas.microsoft.com/office/drawing/2014/main" id="{00000000-0008-0000-0300-0000F503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50</xdr:row>
      <xdr:rowOff>0</xdr:rowOff>
    </xdr:from>
    <xdr:to>
      <xdr:col>4</xdr:col>
      <xdr:colOff>76200</xdr:colOff>
      <xdr:row>51</xdr:row>
      <xdr:rowOff>0</xdr:rowOff>
    </xdr:to>
    <xdr:sp macro="" textlink="">
      <xdr:nvSpPr>
        <xdr:cNvPr id="1014" name="Text Box 1">
          <a:extLst>
            <a:ext uri="{FF2B5EF4-FFF2-40B4-BE49-F238E27FC236}">
              <a16:creationId xmlns:a16="http://schemas.microsoft.com/office/drawing/2014/main" id="{00000000-0008-0000-0300-0000F603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50</xdr:row>
      <xdr:rowOff>0</xdr:rowOff>
    </xdr:from>
    <xdr:to>
      <xdr:col>4</xdr:col>
      <xdr:colOff>76200</xdr:colOff>
      <xdr:row>51</xdr:row>
      <xdr:rowOff>0</xdr:rowOff>
    </xdr:to>
    <xdr:sp macro="" textlink="">
      <xdr:nvSpPr>
        <xdr:cNvPr id="1015" name="Text Box 2">
          <a:extLst>
            <a:ext uri="{FF2B5EF4-FFF2-40B4-BE49-F238E27FC236}">
              <a16:creationId xmlns:a16="http://schemas.microsoft.com/office/drawing/2014/main" id="{00000000-0008-0000-0300-0000F703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50</xdr:row>
      <xdr:rowOff>0</xdr:rowOff>
    </xdr:from>
    <xdr:to>
      <xdr:col>4</xdr:col>
      <xdr:colOff>76200</xdr:colOff>
      <xdr:row>51</xdr:row>
      <xdr:rowOff>0</xdr:rowOff>
    </xdr:to>
    <xdr:sp macro="" textlink="">
      <xdr:nvSpPr>
        <xdr:cNvPr id="1016" name="Text Box 1">
          <a:extLst>
            <a:ext uri="{FF2B5EF4-FFF2-40B4-BE49-F238E27FC236}">
              <a16:creationId xmlns:a16="http://schemas.microsoft.com/office/drawing/2014/main" id="{00000000-0008-0000-0300-0000F803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50</xdr:row>
      <xdr:rowOff>0</xdr:rowOff>
    </xdr:from>
    <xdr:to>
      <xdr:col>4</xdr:col>
      <xdr:colOff>76200</xdr:colOff>
      <xdr:row>51</xdr:row>
      <xdr:rowOff>0</xdr:rowOff>
    </xdr:to>
    <xdr:sp macro="" textlink="">
      <xdr:nvSpPr>
        <xdr:cNvPr id="1017" name="Text Box 1">
          <a:extLst>
            <a:ext uri="{FF2B5EF4-FFF2-40B4-BE49-F238E27FC236}">
              <a16:creationId xmlns:a16="http://schemas.microsoft.com/office/drawing/2014/main" id="{00000000-0008-0000-0300-0000F903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50</xdr:row>
      <xdr:rowOff>0</xdr:rowOff>
    </xdr:from>
    <xdr:to>
      <xdr:col>4</xdr:col>
      <xdr:colOff>76200</xdr:colOff>
      <xdr:row>51</xdr:row>
      <xdr:rowOff>0</xdr:rowOff>
    </xdr:to>
    <xdr:sp macro="" textlink="">
      <xdr:nvSpPr>
        <xdr:cNvPr id="1018" name="Text Box 1">
          <a:extLst>
            <a:ext uri="{FF2B5EF4-FFF2-40B4-BE49-F238E27FC236}">
              <a16:creationId xmlns:a16="http://schemas.microsoft.com/office/drawing/2014/main" id="{00000000-0008-0000-0300-0000FA03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50</xdr:row>
      <xdr:rowOff>0</xdr:rowOff>
    </xdr:from>
    <xdr:to>
      <xdr:col>4</xdr:col>
      <xdr:colOff>76200</xdr:colOff>
      <xdr:row>51</xdr:row>
      <xdr:rowOff>0</xdr:rowOff>
    </xdr:to>
    <xdr:sp macro="" textlink="">
      <xdr:nvSpPr>
        <xdr:cNvPr id="1019" name="Text Box 2">
          <a:extLst>
            <a:ext uri="{FF2B5EF4-FFF2-40B4-BE49-F238E27FC236}">
              <a16:creationId xmlns:a16="http://schemas.microsoft.com/office/drawing/2014/main" id="{00000000-0008-0000-0300-0000FB03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50</xdr:row>
      <xdr:rowOff>0</xdr:rowOff>
    </xdr:from>
    <xdr:to>
      <xdr:col>4</xdr:col>
      <xdr:colOff>76200</xdr:colOff>
      <xdr:row>51</xdr:row>
      <xdr:rowOff>0</xdr:rowOff>
    </xdr:to>
    <xdr:sp macro="" textlink="">
      <xdr:nvSpPr>
        <xdr:cNvPr id="1020" name="Text Box 1">
          <a:extLst>
            <a:ext uri="{FF2B5EF4-FFF2-40B4-BE49-F238E27FC236}">
              <a16:creationId xmlns:a16="http://schemas.microsoft.com/office/drawing/2014/main" id="{00000000-0008-0000-0300-0000FC03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50</xdr:row>
      <xdr:rowOff>0</xdr:rowOff>
    </xdr:from>
    <xdr:to>
      <xdr:col>4</xdr:col>
      <xdr:colOff>76200</xdr:colOff>
      <xdr:row>51</xdr:row>
      <xdr:rowOff>0</xdr:rowOff>
    </xdr:to>
    <xdr:sp macro="" textlink="">
      <xdr:nvSpPr>
        <xdr:cNvPr id="1021" name="Text Box 1">
          <a:extLst>
            <a:ext uri="{FF2B5EF4-FFF2-40B4-BE49-F238E27FC236}">
              <a16:creationId xmlns:a16="http://schemas.microsoft.com/office/drawing/2014/main" id="{00000000-0008-0000-0300-0000FD03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50</xdr:row>
      <xdr:rowOff>0</xdr:rowOff>
    </xdr:from>
    <xdr:to>
      <xdr:col>4</xdr:col>
      <xdr:colOff>76200</xdr:colOff>
      <xdr:row>51</xdr:row>
      <xdr:rowOff>0</xdr:rowOff>
    </xdr:to>
    <xdr:sp macro="" textlink="">
      <xdr:nvSpPr>
        <xdr:cNvPr id="1022" name="Text Box 1">
          <a:extLst>
            <a:ext uri="{FF2B5EF4-FFF2-40B4-BE49-F238E27FC236}">
              <a16:creationId xmlns:a16="http://schemas.microsoft.com/office/drawing/2014/main" id="{00000000-0008-0000-0300-0000FE03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50</xdr:row>
      <xdr:rowOff>0</xdr:rowOff>
    </xdr:from>
    <xdr:to>
      <xdr:col>4</xdr:col>
      <xdr:colOff>76200</xdr:colOff>
      <xdr:row>51</xdr:row>
      <xdr:rowOff>0</xdr:rowOff>
    </xdr:to>
    <xdr:sp macro="" textlink="">
      <xdr:nvSpPr>
        <xdr:cNvPr id="1023" name="Text Box 2">
          <a:extLst>
            <a:ext uri="{FF2B5EF4-FFF2-40B4-BE49-F238E27FC236}">
              <a16:creationId xmlns:a16="http://schemas.microsoft.com/office/drawing/2014/main" id="{00000000-0008-0000-0300-0000FF03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50</xdr:row>
      <xdr:rowOff>0</xdr:rowOff>
    </xdr:from>
    <xdr:to>
      <xdr:col>4</xdr:col>
      <xdr:colOff>76200</xdr:colOff>
      <xdr:row>51</xdr:row>
      <xdr:rowOff>0</xdr:rowOff>
    </xdr:to>
    <xdr:sp macro="" textlink="">
      <xdr:nvSpPr>
        <xdr:cNvPr id="1024" name="Text Box 1">
          <a:extLst>
            <a:ext uri="{FF2B5EF4-FFF2-40B4-BE49-F238E27FC236}">
              <a16:creationId xmlns:a16="http://schemas.microsoft.com/office/drawing/2014/main" id="{00000000-0008-0000-0300-00000004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50</xdr:row>
      <xdr:rowOff>0</xdr:rowOff>
    </xdr:from>
    <xdr:to>
      <xdr:col>4</xdr:col>
      <xdr:colOff>76200</xdr:colOff>
      <xdr:row>51</xdr:row>
      <xdr:rowOff>0</xdr:rowOff>
    </xdr:to>
    <xdr:sp macro="" textlink="">
      <xdr:nvSpPr>
        <xdr:cNvPr id="1025" name="Text Box 1">
          <a:extLst>
            <a:ext uri="{FF2B5EF4-FFF2-40B4-BE49-F238E27FC236}">
              <a16:creationId xmlns:a16="http://schemas.microsoft.com/office/drawing/2014/main" id="{00000000-0008-0000-0300-00000104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50</xdr:row>
      <xdr:rowOff>0</xdr:rowOff>
    </xdr:from>
    <xdr:to>
      <xdr:col>4</xdr:col>
      <xdr:colOff>76200</xdr:colOff>
      <xdr:row>51</xdr:row>
      <xdr:rowOff>0</xdr:rowOff>
    </xdr:to>
    <xdr:sp macro="" textlink="">
      <xdr:nvSpPr>
        <xdr:cNvPr id="1026" name="Text Box 1">
          <a:extLst>
            <a:ext uri="{FF2B5EF4-FFF2-40B4-BE49-F238E27FC236}">
              <a16:creationId xmlns:a16="http://schemas.microsoft.com/office/drawing/2014/main" id="{00000000-0008-0000-0300-00000204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50</xdr:row>
      <xdr:rowOff>0</xdr:rowOff>
    </xdr:from>
    <xdr:to>
      <xdr:col>4</xdr:col>
      <xdr:colOff>76200</xdr:colOff>
      <xdr:row>51</xdr:row>
      <xdr:rowOff>0</xdr:rowOff>
    </xdr:to>
    <xdr:sp macro="" textlink="">
      <xdr:nvSpPr>
        <xdr:cNvPr id="1027" name="Text Box 2">
          <a:extLst>
            <a:ext uri="{FF2B5EF4-FFF2-40B4-BE49-F238E27FC236}">
              <a16:creationId xmlns:a16="http://schemas.microsoft.com/office/drawing/2014/main" id="{00000000-0008-0000-0300-00000304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50</xdr:row>
      <xdr:rowOff>0</xdr:rowOff>
    </xdr:from>
    <xdr:to>
      <xdr:col>4</xdr:col>
      <xdr:colOff>76200</xdr:colOff>
      <xdr:row>51</xdr:row>
      <xdr:rowOff>0</xdr:rowOff>
    </xdr:to>
    <xdr:sp macro="" textlink="">
      <xdr:nvSpPr>
        <xdr:cNvPr id="1028" name="Text Box 1">
          <a:extLst>
            <a:ext uri="{FF2B5EF4-FFF2-40B4-BE49-F238E27FC236}">
              <a16:creationId xmlns:a16="http://schemas.microsoft.com/office/drawing/2014/main" id="{00000000-0008-0000-0300-00000404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50</xdr:row>
      <xdr:rowOff>0</xdr:rowOff>
    </xdr:from>
    <xdr:to>
      <xdr:col>4</xdr:col>
      <xdr:colOff>76200</xdr:colOff>
      <xdr:row>51</xdr:row>
      <xdr:rowOff>0</xdr:rowOff>
    </xdr:to>
    <xdr:sp macro="" textlink="">
      <xdr:nvSpPr>
        <xdr:cNvPr id="1029" name="Text Box 1">
          <a:extLst>
            <a:ext uri="{FF2B5EF4-FFF2-40B4-BE49-F238E27FC236}">
              <a16:creationId xmlns:a16="http://schemas.microsoft.com/office/drawing/2014/main" id="{00000000-0008-0000-0300-00000504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50</xdr:row>
      <xdr:rowOff>0</xdr:rowOff>
    </xdr:from>
    <xdr:to>
      <xdr:col>4</xdr:col>
      <xdr:colOff>76200</xdr:colOff>
      <xdr:row>51</xdr:row>
      <xdr:rowOff>0</xdr:rowOff>
    </xdr:to>
    <xdr:sp macro="" textlink="">
      <xdr:nvSpPr>
        <xdr:cNvPr id="1030" name="Text Box 2">
          <a:extLst>
            <a:ext uri="{FF2B5EF4-FFF2-40B4-BE49-F238E27FC236}">
              <a16:creationId xmlns:a16="http://schemas.microsoft.com/office/drawing/2014/main" id="{00000000-0008-0000-0300-00000604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50</xdr:row>
      <xdr:rowOff>0</xdr:rowOff>
    </xdr:from>
    <xdr:to>
      <xdr:col>4</xdr:col>
      <xdr:colOff>76200</xdr:colOff>
      <xdr:row>51</xdr:row>
      <xdr:rowOff>0</xdr:rowOff>
    </xdr:to>
    <xdr:sp macro="" textlink="">
      <xdr:nvSpPr>
        <xdr:cNvPr id="1031" name="Text Box 1">
          <a:extLst>
            <a:ext uri="{FF2B5EF4-FFF2-40B4-BE49-F238E27FC236}">
              <a16:creationId xmlns:a16="http://schemas.microsoft.com/office/drawing/2014/main" id="{00000000-0008-0000-0300-00000704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50</xdr:row>
      <xdr:rowOff>0</xdr:rowOff>
    </xdr:from>
    <xdr:to>
      <xdr:col>4</xdr:col>
      <xdr:colOff>76200</xdr:colOff>
      <xdr:row>51</xdr:row>
      <xdr:rowOff>0</xdr:rowOff>
    </xdr:to>
    <xdr:sp macro="" textlink="">
      <xdr:nvSpPr>
        <xdr:cNvPr id="1032" name="Text Box 1">
          <a:extLst>
            <a:ext uri="{FF2B5EF4-FFF2-40B4-BE49-F238E27FC236}">
              <a16:creationId xmlns:a16="http://schemas.microsoft.com/office/drawing/2014/main" id="{00000000-0008-0000-0300-00000804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50</xdr:row>
      <xdr:rowOff>0</xdr:rowOff>
    </xdr:from>
    <xdr:to>
      <xdr:col>4</xdr:col>
      <xdr:colOff>76200</xdr:colOff>
      <xdr:row>51</xdr:row>
      <xdr:rowOff>0</xdr:rowOff>
    </xdr:to>
    <xdr:sp macro="" textlink="">
      <xdr:nvSpPr>
        <xdr:cNvPr id="1033" name="Text Box 1">
          <a:extLst>
            <a:ext uri="{FF2B5EF4-FFF2-40B4-BE49-F238E27FC236}">
              <a16:creationId xmlns:a16="http://schemas.microsoft.com/office/drawing/2014/main" id="{00000000-0008-0000-0300-00000904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50</xdr:row>
      <xdr:rowOff>0</xdr:rowOff>
    </xdr:from>
    <xdr:to>
      <xdr:col>4</xdr:col>
      <xdr:colOff>76200</xdr:colOff>
      <xdr:row>51</xdr:row>
      <xdr:rowOff>0</xdr:rowOff>
    </xdr:to>
    <xdr:sp macro="" textlink="">
      <xdr:nvSpPr>
        <xdr:cNvPr id="1034" name="Text Box 2">
          <a:extLst>
            <a:ext uri="{FF2B5EF4-FFF2-40B4-BE49-F238E27FC236}">
              <a16:creationId xmlns:a16="http://schemas.microsoft.com/office/drawing/2014/main" id="{00000000-0008-0000-0300-00000A04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50</xdr:row>
      <xdr:rowOff>0</xdr:rowOff>
    </xdr:from>
    <xdr:to>
      <xdr:col>4</xdr:col>
      <xdr:colOff>76200</xdr:colOff>
      <xdr:row>51</xdr:row>
      <xdr:rowOff>0</xdr:rowOff>
    </xdr:to>
    <xdr:sp macro="" textlink="">
      <xdr:nvSpPr>
        <xdr:cNvPr id="1035" name="Text Box 1">
          <a:extLst>
            <a:ext uri="{FF2B5EF4-FFF2-40B4-BE49-F238E27FC236}">
              <a16:creationId xmlns:a16="http://schemas.microsoft.com/office/drawing/2014/main" id="{00000000-0008-0000-0300-00000B04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50</xdr:row>
      <xdr:rowOff>0</xdr:rowOff>
    </xdr:from>
    <xdr:to>
      <xdr:col>4</xdr:col>
      <xdr:colOff>76200</xdr:colOff>
      <xdr:row>51</xdr:row>
      <xdr:rowOff>0</xdr:rowOff>
    </xdr:to>
    <xdr:sp macro="" textlink="">
      <xdr:nvSpPr>
        <xdr:cNvPr id="1036" name="Text Box 1">
          <a:extLst>
            <a:ext uri="{FF2B5EF4-FFF2-40B4-BE49-F238E27FC236}">
              <a16:creationId xmlns:a16="http://schemas.microsoft.com/office/drawing/2014/main" id="{00000000-0008-0000-0300-00000C04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51</xdr:row>
      <xdr:rowOff>0</xdr:rowOff>
    </xdr:from>
    <xdr:to>
      <xdr:col>4</xdr:col>
      <xdr:colOff>76200</xdr:colOff>
      <xdr:row>52</xdr:row>
      <xdr:rowOff>0</xdr:rowOff>
    </xdr:to>
    <xdr:sp macro="" textlink="">
      <xdr:nvSpPr>
        <xdr:cNvPr id="1037" name="Text Box 1">
          <a:extLst>
            <a:ext uri="{FF2B5EF4-FFF2-40B4-BE49-F238E27FC236}">
              <a16:creationId xmlns:a16="http://schemas.microsoft.com/office/drawing/2014/main" id="{00000000-0008-0000-0300-00000D04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51</xdr:row>
      <xdr:rowOff>0</xdr:rowOff>
    </xdr:from>
    <xdr:to>
      <xdr:col>4</xdr:col>
      <xdr:colOff>76200</xdr:colOff>
      <xdr:row>52</xdr:row>
      <xdr:rowOff>0</xdr:rowOff>
    </xdr:to>
    <xdr:sp macro="" textlink="">
      <xdr:nvSpPr>
        <xdr:cNvPr id="1038" name="Text Box 2">
          <a:extLst>
            <a:ext uri="{FF2B5EF4-FFF2-40B4-BE49-F238E27FC236}">
              <a16:creationId xmlns:a16="http://schemas.microsoft.com/office/drawing/2014/main" id="{00000000-0008-0000-0300-00000E04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51</xdr:row>
      <xdr:rowOff>0</xdr:rowOff>
    </xdr:from>
    <xdr:to>
      <xdr:col>4</xdr:col>
      <xdr:colOff>76200</xdr:colOff>
      <xdr:row>52</xdr:row>
      <xdr:rowOff>0</xdr:rowOff>
    </xdr:to>
    <xdr:sp macro="" textlink="">
      <xdr:nvSpPr>
        <xdr:cNvPr id="1039" name="Text Box 1">
          <a:extLst>
            <a:ext uri="{FF2B5EF4-FFF2-40B4-BE49-F238E27FC236}">
              <a16:creationId xmlns:a16="http://schemas.microsoft.com/office/drawing/2014/main" id="{00000000-0008-0000-0300-00000F04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51</xdr:row>
      <xdr:rowOff>0</xdr:rowOff>
    </xdr:from>
    <xdr:to>
      <xdr:col>4</xdr:col>
      <xdr:colOff>76200</xdr:colOff>
      <xdr:row>52</xdr:row>
      <xdr:rowOff>0</xdr:rowOff>
    </xdr:to>
    <xdr:sp macro="" textlink="">
      <xdr:nvSpPr>
        <xdr:cNvPr id="1040" name="Text Box 1">
          <a:extLst>
            <a:ext uri="{FF2B5EF4-FFF2-40B4-BE49-F238E27FC236}">
              <a16:creationId xmlns:a16="http://schemas.microsoft.com/office/drawing/2014/main" id="{00000000-0008-0000-0300-00001004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51</xdr:row>
      <xdr:rowOff>0</xdr:rowOff>
    </xdr:from>
    <xdr:to>
      <xdr:col>4</xdr:col>
      <xdr:colOff>76200</xdr:colOff>
      <xdr:row>52</xdr:row>
      <xdr:rowOff>0</xdr:rowOff>
    </xdr:to>
    <xdr:sp macro="" textlink="">
      <xdr:nvSpPr>
        <xdr:cNvPr id="1041" name="Text Box 1">
          <a:extLst>
            <a:ext uri="{FF2B5EF4-FFF2-40B4-BE49-F238E27FC236}">
              <a16:creationId xmlns:a16="http://schemas.microsoft.com/office/drawing/2014/main" id="{00000000-0008-0000-0300-00001104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51</xdr:row>
      <xdr:rowOff>0</xdr:rowOff>
    </xdr:from>
    <xdr:to>
      <xdr:col>4</xdr:col>
      <xdr:colOff>76200</xdr:colOff>
      <xdr:row>52</xdr:row>
      <xdr:rowOff>0</xdr:rowOff>
    </xdr:to>
    <xdr:sp macro="" textlink="">
      <xdr:nvSpPr>
        <xdr:cNvPr id="1042" name="Text Box 2">
          <a:extLst>
            <a:ext uri="{FF2B5EF4-FFF2-40B4-BE49-F238E27FC236}">
              <a16:creationId xmlns:a16="http://schemas.microsoft.com/office/drawing/2014/main" id="{00000000-0008-0000-0300-00001204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51</xdr:row>
      <xdr:rowOff>0</xdr:rowOff>
    </xdr:from>
    <xdr:to>
      <xdr:col>4</xdr:col>
      <xdr:colOff>76200</xdr:colOff>
      <xdr:row>52</xdr:row>
      <xdr:rowOff>0</xdr:rowOff>
    </xdr:to>
    <xdr:sp macro="" textlink="">
      <xdr:nvSpPr>
        <xdr:cNvPr id="1043" name="Text Box 1">
          <a:extLst>
            <a:ext uri="{FF2B5EF4-FFF2-40B4-BE49-F238E27FC236}">
              <a16:creationId xmlns:a16="http://schemas.microsoft.com/office/drawing/2014/main" id="{00000000-0008-0000-0300-00001304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51</xdr:row>
      <xdr:rowOff>0</xdr:rowOff>
    </xdr:from>
    <xdr:to>
      <xdr:col>4</xdr:col>
      <xdr:colOff>76200</xdr:colOff>
      <xdr:row>52</xdr:row>
      <xdr:rowOff>0</xdr:rowOff>
    </xdr:to>
    <xdr:sp macro="" textlink="">
      <xdr:nvSpPr>
        <xdr:cNvPr id="1044" name="Text Box 1">
          <a:extLst>
            <a:ext uri="{FF2B5EF4-FFF2-40B4-BE49-F238E27FC236}">
              <a16:creationId xmlns:a16="http://schemas.microsoft.com/office/drawing/2014/main" id="{00000000-0008-0000-0300-00001404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51</xdr:row>
      <xdr:rowOff>0</xdr:rowOff>
    </xdr:from>
    <xdr:to>
      <xdr:col>4</xdr:col>
      <xdr:colOff>76200</xdr:colOff>
      <xdr:row>52</xdr:row>
      <xdr:rowOff>0</xdr:rowOff>
    </xdr:to>
    <xdr:sp macro="" textlink="">
      <xdr:nvSpPr>
        <xdr:cNvPr id="1045" name="Text Box 1">
          <a:extLst>
            <a:ext uri="{FF2B5EF4-FFF2-40B4-BE49-F238E27FC236}">
              <a16:creationId xmlns:a16="http://schemas.microsoft.com/office/drawing/2014/main" id="{00000000-0008-0000-0300-00001504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51</xdr:row>
      <xdr:rowOff>0</xdr:rowOff>
    </xdr:from>
    <xdr:to>
      <xdr:col>4</xdr:col>
      <xdr:colOff>76200</xdr:colOff>
      <xdr:row>52</xdr:row>
      <xdr:rowOff>0</xdr:rowOff>
    </xdr:to>
    <xdr:sp macro="" textlink="">
      <xdr:nvSpPr>
        <xdr:cNvPr id="1046" name="Text Box 2">
          <a:extLst>
            <a:ext uri="{FF2B5EF4-FFF2-40B4-BE49-F238E27FC236}">
              <a16:creationId xmlns:a16="http://schemas.microsoft.com/office/drawing/2014/main" id="{00000000-0008-0000-0300-00001604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51</xdr:row>
      <xdr:rowOff>0</xdr:rowOff>
    </xdr:from>
    <xdr:to>
      <xdr:col>4</xdr:col>
      <xdr:colOff>76200</xdr:colOff>
      <xdr:row>52</xdr:row>
      <xdr:rowOff>0</xdr:rowOff>
    </xdr:to>
    <xdr:sp macro="" textlink="">
      <xdr:nvSpPr>
        <xdr:cNvPr id="1047" name="Text Box 1">
          <a:extLst>
            <a:ext uri="{FF2B5EF4-FFF2-40B4-BE49-F238E27FC236}">
              <a16:creationId xmlns:a16="http://schemas.microsoft.com/office/drawing/2014/main" id="{00000000-0008-0000-0300-00001704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51</xdr:row>
      <xdr:rowOff>0</xdr:rowOff>
    </xdr:from>
    <xdr:to>
      <xdr:col>4</xdr:col>
      <xdr:colOff>76200</xdr:colOff>
      <xdr:row>52</xdr:row>
      <xdr:rowOff>0</xdr:rowOff>
    </xdr:to>
    <xdr:sp macro="" textlink="">
      <xdr:nvSpPr>
        <xdr:cNvPr id="1048" name="Text Box 1">
          <a:extLst>
            <a:ext uri="{FF2B5EF4-FFF2-40B4-BE49-F238E27FC236}">
              <a16:creationId xmlns:a16="http://schemas.microsoft.com/office/drawing/2014/main" id="{00000000-0008-0000-0300-00001804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51</xdr:row>
      <xdr:rowOff>0</xdr:rowOff>
    </xdr:from>
    <xdr:to>
      <xdr:col>4</xdr:col>
      <xdr:colOff>76200</xdr:colOff>
      <xdr:row>52</xdr:row>
      <xdr:rowOff>0</xdr:rowOff>
    </xdr:to>
    <xdr:sp macro="" textlink="">
      <xdr:nvSpPr>
        <xdr:cNvPr id="1049" name="Text Box 1">
          <a:extLst>
            <a:ext uri="{FF2B5EF4-FFF2-40B4-BE49-F238E27FC236}">
              <a16:creationId xmlns:a16="http://schemas.microsoft.com/office/drawing/2014/main" id="{00000000-0008-0000-0300-00001904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51</xdr:row>
      <xdr:rowOff>0</xdr:rowOff>
    </xdr:from>
    <xdr:to>
      <xdr:col>4</xdr:col>
      <xdr:colOff>76200</xdr:colOff>
      <xdr:row>52</xdr:row>
      <xdr:rowOff>0</xdr:rowOff>
    </xdr:to>
    <xdr:sp macro="" textlink="">
      <xdr:nvSpPr>
        <xdr:cNvPr id="1050" name="Text Box 2">
          <a:extLst>
            <a:ext uri="{FF2B5EF4-FFF2-40B4-BE49-F238E27FC236}">
              <a16:creationId xmlns:a16="http://schemas.microsoft.com/office/drawing/2014/main" id="{00000000-0008-0000-0300-00001A04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51</xdr:row>
      <xdr:rowOff>0</xdr:rowOff>
    </xdr:from>
    <xdr:to>
      <xdr:col>4</xdr:col>
      <xdr:colOff>76200</xdr:colOff>
      <xdr:row>52</xdr:row>
      <xdr:rowOff>0</xdr:rowOff>
    </xdr:to>
    <xdr:sp macro="" textlink="">
      <xdr:nvSpPr>
        <xdr:cNvPr id="1051" name="Text Box 1">
          <a:extLst>
            <a:ext uri="{FF2B5EF4-FFF2-40B4-BE49-F238E27FC236}">
              <a16:creationId xmlns:a16="http://schemas.microsoft.com/office/drawing/2014/main" id="{00000000-0008-0000-0300-00001B04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51</xdr:row>
      <xdr:rowOff>0</xdr:rowOff>
    </xdr:from>
    <xdr:to>
      <xdr:col>4</xdr:col>
      <xdr:colOff>76200</xdr:colOff>
      <xdr:row>52</xdr:row>
      <xdr:rowOff>0</xdr:rowOff>
    </xdr:to>
    <xdr:sp macro="" textlink="">
      <xdr:nvSpPr>
        <xdr:cNvPr id="1052" name="Text Box 1">
          <a:extLst>
            <a:ext uri="{FF2B5EF4-FFF2-40B4-BE49-F238E27FC236}">
              <a16:creationId xmlns:a16="http://schemas.microsoft.com/office/drawing/2014/main" id="{00000000-0008-0000-0300-00001C04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51</xdr:row>
      <xdr:rowOff>0</xdr:rowOff>
    </xdr:from>
    <xdr:to>
      <xdr:col>4</xdr:col>
      <xdr:colOff>76200</xdr:colOff>
      <xdr:row>52</xdr:row>
      <xdr:rowOff>0</xdr:rowOff>
    </xdr:to>
    <xdr:sp macro="" textlink="">
      <xdr:nvSpPr>
        <xdr:cNvPr id="1053" name="Text Box 2">
          <a:extLst>
            <a:ext uri="{FF2B5EF4-FFF2-40B4-BE49-F238E27FC236}">
              <a16:creationId xmlns:a16="http://schemas.microsoft.com/office/drawing/2014/main" id="{00000000-0008-0000-0300-00001D04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51</xdr:row>
      <xdr:rowOff>0</xdr:rowOff>
    </xdr:from>
    <xdr:to>
      <xdr:col>4</xdr:col>
      <xdr:colOff>76200</xdr:colOff>
      <xdr:row>52</xdr:row>
      <xdr:rowOff>0</xdr:rowOff>
    </xdr:to>
    <xdr:sp macro="" textlink="">
      <xdr:nvSpPr>
        <xdr:cNvPr id="1054" name="Text Box 1">
          <a:extLst>
            <a:ext uri="{FF2B5EF4-FFF2-40B4-BE49-F238E27FC236}">
              <a16:creationId xmlns:a16="http://schemas.microsoft.com/office/drawing/2014/main" id="{00000000-0008-0000-0300-00001E04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51</xdr:row>
      <xdr:rowOff>0</xdr:rowOff>
    </xdr:from>
    <xdr:to>
      <xdr:col>4</xdr:col>
      <xdr:colOff>76200</xdr:colOff>
      <xdr:row>52</xdr:row>
      <xdr:rowOff>0</xdr:rowOff>
    </xdr:to>
    <xdr:sp macro="" textlink="">
      <xdr:nvSpPr>
        <xdr:cNvPr id="1055" name="Text Box 1">
          <a:extLst>
            <a:ext uri="{FF2B5EF4-FFF2-40B4-BE49-F238E27FC236}">
              <a16:creationId xmlns:a16="http://schemas.microsoft.com/office/drawing/2014/main" id="{00000000-0008-0000-0300-00001F04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51</xdr:row>
      <xdr:rowOff>0</xdr:rowOff>
    </xdr:from>
    <xdr:to>
      <xdr:col>4</xdr:col>
      <xdr:colOff>76200</xdr:colOff>
      <xdr:row>52</xdr:row>
      <xdr:rowOff>0</xdr:rowOff>
    </xdr:to>
    <xdr:sp macro="" textlink="">
      <xdr:nvSpPr>
        <xdr:cNvPr id="1056" name="Text Box 1">
          <a:extLst>
            <a:ext uri="{FF2B5EF4-FFF2-40B4-BE49-F238E27FC236}">
              <a16:creationId xmlns:a16="http://schemas.microsoft.com/office/drawing/2014/main" id="{00000000-0008-0000-0300-00002004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51</xdr:row>
      <xdr:rowOff>0</xdr:rowOff>
    </xdr:from>
    <xdr:to>
      <xdr:col>4</xdr:col>
      <xdr:colOff>76200</xdr:colOff>
      <xdr:row>52</xdr:row>
      <xdr:rowOff>0</xdr:rowOff>
    </xdr:to>
    <xdr:sp macro="" textlink="">
      <xdr:nvSpPr>
        <xdr:cNvPr id="1057" name="Text Box 2">
          <a:extLst>
            <a:ext uri="{FF2B5EF4-FFF2-40B4-BE49-F238E27FC236}">
              <a16:creationId xmlns:a16="http://schemas.microsoft.com/office/drawing/2014/main" id="{00000000-0008-0000-0300-00002104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51</xdr:row>
      <xdr:rowOff>0</xdr:rowOff>
    </xdr:from>
    <xdr:to>
      <xdr:col>4</xdr:col>
      <xdr:colOff>76200</xdr:colOff>
      <xdr:row>52</xdr:row>
      <xdr:rowOff>0</xdr:rowOff>
    </xdr:to>
    <xdr:sp macro="" textlink="">
      <xdr:nvSpPr>
        <xdr:cNvPr id="1058" name="Text Box 1">
          <a:extLst>
            <a:ext uri="{FF2B5EF4-FFF2-40B4-BE49-F238E27FC236}">
              <a16:creationId xmlns:a16="http://schemas.microsoft.com/office/drawing/2014/main" id="{00000000-0008-0000-0300-00002204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51</xdr:row>
      <xdr:rowOff>0</xdr:rowOff>
    </xdr:from>
    <xdr:to>
      <xdr:col>4</xdr:col>
      <xdr:colOff>76200</xdr:colOff>
      <xdr:row>52</xdr:row>
      <xdr:rowOff>0</xdr:rowOff>
    </xdr:to>
    <xdr:sp macro="" textlink="">
      <xdr:nvSpPr>
        <xdr:cNvPr id="1059" name="Text Box 1">
          <a:extLst>
            <a:ext uri="{FF2B5EF4-FFF2-40B4-BE49-F238E27FC236}">
              <a16:creationId xmlns:a16="http://schemas.microsoft.com/office/drawing/2014/main" id="{00000000-0008-0000-0300-00002304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52</xdr:row>
      <xdr:rowOff>0</xdr:rowOff>
    </xdr:from>
    <xdr:to>
      <xdr:col>4</xdr:col>
      <xdr:colOff>76200</xdr:colOff>
      <xdr:row>53</xdr:row>
      <xdr:rowOff>0</xdr:rowOff>
    </xdr:to>
    <xdr:sp macro="" textlink="">
      <xdr:nvSpPr>
        <xdr:cNvPr id="1060" name="Text Box 1">
          <a:extLst>
            <a:ext uri="{FF2B5EF4-FFF2-40B4-BE49-F238E27FC236}">
              <a16:creationId xmlns:a16="http://schemas.microsoft.com/office/drawing/2014/main" id="{00000000-0008-0000-0300-00002404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52</xdr:row>
      <xdr:rowOff>0</xdr:rowOff>
    </xdr:from>
    <xdr:to>
      <xdr:col>4</xdr:col>
      <xdr:colOff>76200</xdr:colOff>
      <xdr:row>53</xdr:row>
      <xdr:rowOff>0</xdr:rowOff>
    </xdr:to>
    <xdr:sp macro="" textlink="">
      <xdr:nvSpPr>
        <xdr:cNvPr id="1061" name="Text Box 2">
          <a:extLst>
            <a:ext uri="{FF2B5EF4-FFF2-40B4-BE49-F238E27FC236}">
              <a16:creationId xmlns:a16="http://schemas.microsoft.com/office/drawing/2014/main" id="{00000000-0008-0000-0300-00002504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52</xdr:row>
      <xdr:rowOff>0</xdr:rowOff>
    </xdr:from>
    <xdr:to>
      <xdr:col>4</xdr:col>
      <xdr:colOff>76200</xdr:colOff>
      <xdr:row>53</xdr:row>
      <xdr:rowOff>0</xdr:rowOff>
    </xdr:to>
    <xdr:sp macro="" textlink="">
      <xdr:nvSpPr>
        <xdr:cNvPr id="1062" name="Text Box 1">
          <a:extLst>
            <a:ext uri="{FF2B5EF4-FFF2-40B4-BE49-F238E27FC236}">
              <a16:creationId xmlns:a16="http://schemas.microsoft.com/office/drawing/2014/main" id="{00000000-0008-0000-0300-00002604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52</xdr:row>
      <xdr:rowOff>0</xdr:rowOff>
    </xdr:from>
    <xdr:to>
      <xdr:col>4</xdr:col>
      <xdr:colOff>76200</xdr:colOff>
      <xdr:row>53</xdr:row>
      <xdr:rowOff>0</xdr:rowOff>
    </xdr:to>
    <xdr:sp macro="" textlink="">
      <xdr:nvSpPr>
        <xdr:cNvPr id="1063" name="Text Box 1">
          <a:extLst>
            <a:ext uri="{FF2B5EF4-FFF2-40B4-BE49-F238E27FC236}">
              <a16:creationId xmlns:a16="http://schemas.microsoft.com/office/drawing/2014/main" id="{00000000-0008-0000-0300-00002704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52</xdr:row>
      <xdr:rowOff>0</xdr:rowOff>
    </xdr:from>
    <xdr:to>
      <xdr:col>4</xdr:col>
      <xdr:colOff>76200</xdr:colOff>
      <xdr:row>53</xdr:row>
      <xdr:rowOff>0</xdr:rowOff>
    </xdr:to>
    <xdr:sp macro="" textlink="">
      <xdr:nvSpPr>
        <xdr:cNvPr id="1064" name="Text Box 1">
          <a:extLst>
            <a:ext uri="{FF2B5EF4-FFF2-40B4-BE49-F238E27FC236}">
              <a16:creationId xmlns:a16="http://schemas.microsoft.com/office/drawing/2014/main" id="{00000000-0008-0000-0300-00002804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52</xdr:row>
      <xdr:rowOff>0</xdr:rowOff>
    </xdr:from>
    <xdr:to>
      <xdr:col>4</xdr:col>
      <xdr:colOff>76200</xdr:colOff>
      <xdr:row>53</xdr:row>
      <xdr:rowOff>0</xdr:rowOff>
    </xdr:to>
    <xdr:sp macro="" textlink="">
      <xdr:nvSpPr>
        <xdr:cNvPr id="1065" name="Text Box 2">
          <a:extLst>
            <a:ext uri="{FF2B5EF4-FFF2-40B4-BE49-F238E27FC236}">
              <a16:creationId xmlns:a16="http://schemas.microsoft.com/office/drawing/2014/main" id="{00000000-0008-0000-0300-00002904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52</xdr:row>
      <xdr:rowOff>0</xdr:rowOff>
    </xdr:from>
    <xdr:to>
      <xdr:col>4</xdr:col>
      <xdr:colOff>76200</xdr:colOff>
      <xdr:row>53</xdr:row>
      <xdr:rowOff>0</xdr:rowOff>
    </xdr:to>
    <xdr:sp macro="" textlink="">
      <xdr:nvSpPr>
        <xdr:cNvPr id="1066" name="Text Box 1">
          <a:extLst>
            <a:ext uri="{FF2B5EF4-FFF2-40B4-BE49-F238E27FC236}">
              <a16:creationId xmlns:a16="http://schemas.microsoft.com/office/drawing/2014/main" id="{00000000-0008-0000-0300-00002A04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52</xdr:row>
      <xdr:rowOff>0</xdr:rowOff>
    </xdr:from>
    <xdr:to>
      <xdr:col>4</xdr:col>
      <xdr:colOff>76200</xdr:colOff>
      <xdr:row>53</xdr:row>
      <xdr:rowOff>0</xdr:rowOff>
    </xdr:to>
    <xdr:sp macro="" textlink="">
      <xdr:nvSpPr>
        <xdr:cNvPr id="1067" name="Text Box 1">
          <a:extLst>
            <a:ext uri="{FF2B5EF4-FFF2-40B4-BE49-F238E27FC236}">
              <a16:creationId xmlns:a16="http://schemas.microsoft.com/office/drawing/2014/main" id="{00000000-0008-0000-0300-00002B04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52</xdr:row>
      <xdr:rowOff>0</xdr:rowOff>
    </xdr:from>
    <xdr:to>
      <xdr:col>4</xdr:col>
      <xdr:colOff>76200</xdr:colOff>
      <xdr:row>53</xdr:row>
      <xdr:rowOff>0</xdr:rowOff>
    </xdr:to>
    <xdr:sp macro="" textlink="">
      <xdr:nvSpPr>
        <xdr:cNvPr id="1068" name="Text Box 1">
          <a:extLst>
            <a:ext uri="{FF2B5EF4-FFF2-40B4-BE49-F238E27FC236}">
              <a16:creationId xmlns:a16="http://schemas.microsoft.com/office/drawing/2014/main" id="{00000000-0008-0000-0300-00002C04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52</xdr:row>
      <xdr:rowOff>0</xdr:rowOff>
    </xdr:from>
    <xdr:to>
      <xdr:col>4</xdr:col>
      <xdr:colOff>76200</xdr:colOff>
      <xdr:row>53</xdr:row>
      <xdr:rowOff>0</xdr:rowOff>
    </xdr:to>
    <xdr:sp macro="" textlink="">
      <xdr:nvSpPr>
        <xdr:cNvPr id="1069" name="Text Box 2">
          <a:extLst>
            <a:ext uri="{FF2B5EF4-FFF2-40B4-BE49-F238E27FC236}">
              <a16:creationId xmlns:a16="http://schemas.microsoft.com/office/drawing/2014/main" id="{00000000-0008-0000-0300-00002D04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52</xdr:row>
      <xdr:rowOff>0</xdr:rowOff>
    </xdr:from>
    <xdr:to>
      <xdr:col>4</xdr:col>
      <xdr:colOff>76200</xdr:colOff>
      <xdr:row>53</xdr:row>
      <xdr:rowOff>0</xdr:rowOff>
    </xdr:to>
    <xdr:sp macro="" textlink="">
      <xdr:nvSpPr>
        <xdr:cNvPr id="1070" name="Text Box 1">
          <a:extLst>
            <a:ext uri="{FF2B5EF4-FFF2-40B4-BE49-F238E27FC236}">
              <a16:creationId xmlns:a16="http://schemas.microsoft.com/office/drawing/2014/main" id="{00000000-0008-0000-0300-00002E04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52</xdr:row>
      <xdr:rowOff>0</xdr:rowOff>
    </xdr:from>
    <xdr:to>
      <xdr:col>4</xdr:col>
      <xdr:colOff>76200</xdr:colOff>
      <xdr:row>53</xdr:row>
      <xdr:rowOff>0</xdr:rowOff>
    </xdr:to>
    <xdr:sp macro="" textlink="">
      <xdr:nvSpPr>
        <xdr:cNvPr id="1071" name="Text Box 1">
          <a:extLst>
            <a:ext uri="{FF2B5EF4-FFF2-40B4-BE49-F238E27FC236}">
              <a16:creationId xmlns:a16="http://schemas.microsoft.com/office/drawing/2014/main" id="{00000000-0008-0000-0300-00002F04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52</xdr:row>
      <xdr:rowOff>0</xdr:rowOff>
    </xdr:from>
    <xdr:to>
      <xdr:col>4</xdr:col>
      <xdr:colOff>76200</xdr:colOff>
      <xdr:row>53</xdr:row>
      <xdr:rowOff>0</xdr:rowOff>
    </xdr:to>
    <xdr:sp macro="" textlink="">
      <xdr:nvSpPr>
        <xdr:cNvPr id="1072" name="Text Box 1">
          <a:extLst>
            <a:ext uri="{FF2B5EF4-FFF2-40B4-BE49-F238E27FC236}">
              <a16:creationId xmlns:a16="http://schemas.microsoft.com/office/drawing/2014/main" id="{00000000-0008-0000-0300-00003004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52</xdr:row>
      <xdr:rowOff>0</xdr:rowOff>
    </xdr:from>
    <xdr:to>
      <xdr:col>4</xdr:col>
      <xdr:colOff>76200</xdr:colOff>
      <xdr:row>53</xdr:row>
      <xdr:rowOff>0</xdr:rowOff>
    </xdr:to>
    <xdr:sp macro="" textlink="">
      <xdr:nvSpPr>
        <xdr:cNvPr id="1073" name="Text Box 2">
          <a:extLst>
            <a:ext uri="{FF2B5EF4-FFF2-40B4-BE49-F238E27FC236}">
              <a16:creationId xmlns:a16="http://schemas.microsoft.com/office/drawing/2014/main" id="{00000000-0008-0000-0300-00003104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52</xdr:row>
      <xdr:rowOff>0</xdr:rowOff>
    </xdr:from>
    <xdr:to>
      <xdr:col>4</xdr:col>
      <xdr:colOff>76200</xdr:colOff>
      <xdr:row>53</xdr:row>
      <xdr:rowOff>0</xdr:rowOff>
    </xdr:to>
    <xdr:sp macro="" textlink="">
      <xdr:nvSpPr>
        <xdr:cNvPr id="1074" name="Text Box 1">
          <a:extLst>
            <a:ext uri="{FF2B5EF4-FFF2-40B4-BE49-F238E27FC236}">
              <a16:creationId xmlns:a16="http://schemas.microsoft.com/office/drawing/2014/main" id="{00000000-0008-0000-0300-00003204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52</xdr:row>
      <xdr:rowOff>0</xdr:rowOff>
    </xdr:from>
    <xdr:to>
      <xdr:col>4</xdr:col>
      <xdr:colOff>76200</xdr:colOff>
      <xdr:row>53</xdr:row>
      <xdr:rowOff>0</xdr:rowOff>
    </xdr:to>
    <xdr:sp macro="" textlink="">
      <xdr:nvSpPr>
        <xdr:cNvPr id="1075" name="Text Box 1">
          <a:extLst>
            <a:ext uri="{FF2B5EF4-FFF2-40B4-BE49-F238E27FC236}">
              <a16:creationId xmlns:a16="http://schemas.microsoft.com/office/drawing/2014/main" id="{00000000-0008-0000-0300-00003304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52</xdr:row>
      <xdr:rowOff>0</xdr:rowOff>
    </xdr:from>
    <xdr:to>
      <xdr:col>4</xdr:col>
      <xdr:colOff>76200</xdr:colOff>
      <xdr:row>53</xdr:row>
      <xdr:rowOff>0</xdr:rowOff>
    </xdr:to>
    <xdr:sp macro="" textlink="">
      <xdr:nvSpPr>
        <xdr:cNvPr id="1076" name="Text Box 2">
          <a:extLst>
            <a:ext uri="{FF2B5EF4-FFF2-40B4-BE49-F238E27FC236}">
              <a16:creationId xmlns:a16="http://schemas.microsoft.com/office/drawing/2014/main" id="{00000000-0008-0000-0300-00003404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52</xdr:row>
      <xdr:rowOff>0</xdr:rowOff>
    </xdr:from>
    <xdr:to>
      <xdr:col>4</xdr:col>
      <xdr:colOff>76200</xdr:colOff>
      <xdr:row>53</xdr:row>
      <xdr:rowOff>0</xdr:rowOff>
    </xdr:to>
    <xdr:sp macro="" textlink="">
      <xdr:nvSpPr>
        <xdr:cNvPr id="1077" name="Text Box 1">
          <a:extLst>
            <a:ext uri="{FF2B5EF4-FFF2-40B4-BE49-F238E27FC236}">
              <a16:creationId xmlns:a16="http://schemas.microsoft.com/office/drawing/2014/main" id="{00000000-0008-0000-0300-00003504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52</xdr:row>
      <xdr:rowOff>0</xdr:rowOff>
    </xdr:from>
    <xdr:to>
      <xdr:col>4</xdr:col>
      <xdr:colOff>76200</xdr:colOff>
      <xdr:row>53</xdr:row>
      <xdr:rowOff>0</xdr:rowOff>
    </xdr:to>
    <xdr:sp macro="" textlink="">
      <xdr:nvSpPr>
        <xdr:cNvPr id="1078" name="Text Box 1">
          <a:extLst>
            <a:ext uri="{FF2B5EF4-FFF2-40B4-BE49-F238E27FC236}">
              <a16:creationId xmlns:a16="http://schemas.microsoft.com/office/drawing/2014/main" id="{00000000-0008-0000-0300-00003604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52</xdr:row>
      <xdr:rowOff>0</xdr:rowOff>
    </xdr:from>
    <xdr:to>
      <xdr:col>4</xdr:col>
      <xdr:colOff>76200</xdr:colOff>
      <xdr:row>53</xdr:row>
      <xdr:rowOff>0</xdr:rowOff>
    </xdr:to>
    <xdr:sp macro="" textlink="">
      <xdr:nvSpPr>
        <xdr:cNvPr id="1079" name="Text Box 1">
          <a:extLst>
            <a:ext uri="{FF2B5EF4-FFF2-40B4-BE49-F238E27FC236}">
              <a16:creationId xmlns:a16="http://schemas.microsoft.com/office/drawing/2014/main" id="{00000000-0008-0000-0300-00003704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52</xdr:row>
      <xdr:rowOff>0</xdr:rowOff>
    </xdr:from>
    <xdr:to>
      <xdr:col>4</xdr:col>
      <xdr:colOff>76200</xdr:colOff>
      <xdr:row>53</xdr:row>
      <xdr:rowOff>0</xdr:rowOff>
    </xdr:to>
    <xdr:sp macro="" textlink="">
      <xdr:nvSpPr>
        <xdr:cNvPr id="1080" name="Text Box 2">
          <a:extLst>
            <a:ext uri="{FF2B5EF4-FFF2-40B4-BE49-F238E27FC236}">
              <a16:creationId xmlns:a16="http://schemas.microsoft.com/office/drawing/2014/main" id="{00000000-0008-0000-0300-00003804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52</xdr:row>
      <xdr:rowOff>0</xdr:rowOff>
    </xdr:from>
    <xdr:to>
      <xdr:col>4</xdr:col>
      <xdr:colOff>76200</xdr:colOff>
      <xdr:row>53</xdr:row>
      <xdr:rowOff>0</xdr:rowOff>
    </xdr:to>
    <xdr:sp macro="" textlink="">
      <xdr:nvSpPr>
        <xdr:cNvPr id="1081" name="Text Box 1">
          <a:extLst>
            <a:ext uri="{FF2B5EF4-FFF2-40B4-BE49-F238E27FC236}">
              <a16:creationId xmlns:a16="http://schemas.microsoft.com/office/drawing/2014/main" id="{00000000-0008-0000-0300-00003904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52</xdr:row>
      <xdr:rowOff>0</xdr:rowOff>
    </xdr:from>
    <xdr:to>
      <xdr:col>4</xdr:col>
      <xdr:colOff>76200</xdr:colOff>
      <xdr:row>53</xdr:row>
      <xdr:rowOff>0</xdr:rowOff>
    </xdr:to>
    <xdr:sp macro="" textlink="">
      <xdr:nvSpPr>
        <xdr:cNvPr id="1082" name="Text Box 1">
          <a:extLst>
            <a:ext uri="{FF2B5EF4-FFF2-40B4-BE49-F238E27FC236}">
              <a16:creationId xmlns:a16="http://schemas.microsoft.com/office/drawing/2014/main" id="{00000000-0008-0000-0300-00003A04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53</xdr:row>
      <xdr:rowOff>0</xdr:rowOff>
    </xdr:from>
    <xdr:to>
      <xdr:col>4</xdr:col>
      <xdr:colOff>76200</xdr:colOff>
      <xdr:row>54</xdr:row>
      <xdr:rowOff>0</xdr:rowOff>
    </xdr:to>
    <xdr:sp macro="" textlink="">
      <xdr:nvSpPr>
        <xdr:cNvPr id="1083" name="Text Box 1">
          <a:extLst>
            <a:ext uri="{FF2B5EF4-FFF2-40B4-BE49-F238E27FC236}">
              <a16:creationId xmlns:a16="http://schemas.microsoft.com/office/drawing/2014/main" id="{00000000-0008-0000-0300-00003B04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53</xdr:row>
      <xdr:rowOff>0</xdr:rowOff>
    </xdr:from>
    <xdr:to>
      <xdr:col>4</xdr:col>
      <xdr:colOff>76200</xdr:colOff>
      <xdr:row>54</xdr:row>
      <xdr:rowOff>0</xdr:rowOff>
    </xdr:to>
    <xdr:sp macro="" textlink="">
      <xdr:nvSpPr>
        <xdr:cNvPr id="1084" name="Text Box 2">
          <a:extLst>
            <a:ext uri="{FF2B5EF4-FFF2-40B4-BE49-F238E27FC236}">
              <a16:creationId xmlns:a16="http://schemas.microsoft.com/office/drawing/2014/main" id="{00000000-0008-0000-0300-00003C04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53</xdr:row>
      <xdr:rowOff>0</xdr:rowOff>
    </xdr:from>
    <xdr:to>
      <xdr:col>4</xdr:col>
      <xdr:colOff>76200</xdr:colOff>
      <xdr:row>54</xdr:row>
      <xdr:rowOff>0</xdr:rowOff>
    </xdr:to>
    <xdr:sp macro="" textlink="">
      <xdr:nvSpPr>
        <xdr:cNvPr id="1085" name="Text Box 1">
          <a:extLst>
            <a:ext uri="{FF2B5EF4-FFF2-40B4-BE49-F238E27FC236}">
              <a16:creationId xmlns:a16="http://schemas.microsoft.com/office/drawing/2014/main" id="{00000000-0008-0000-0300-00003D04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53</xdr:row>
      <xdr:rowOff>0</xdr:rowOff>
    </xdr:from>
    <xdr:to>
      <xdr:col>4</xdr:col>
      <xdr:colOff>76200</xdr:colOff>
      <xdr:row>54</xdr:row>
      <xdr:rowOff>0</xdr:rowOff>
    </xdr:to>
    <xdr:sp macro="" textlink="">
      <xdr:nvSpPr>
        <xdr:cNvPr id="1086" name="Text Box 1">
          <a:extLst>
            <a:ext uri="{FF2B5EF4-FFF2-40B4-BE49-F238E27FC236}">
              <a16:creationId xmlns:a16="http://schemas.microsoft.com/office/drawing/2014/main" id="{00000000-0008-0000-0300-00003E04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53</xdr:row>
      <xdr:rowOff>0</xdr:rowOff>
    </xdr:from>
    <xdr:to>
      <xdr:col>4</xdr:col>
      <xdr:colOff>76200</xdr:colOff>
      <xdr:row>54</xdr:row>
      <xdr:rowOff>0</xdr:rowOff>
    </xdr:to>
    <xdr:sp macro="" textlink="">
      <xdr:nvSpPr>
        <xdr:cNvPr id="1087" name="Text Box 1">
          <a:extLst>
            <a:ext uri="{FF2B5EF4-FFF2-40B4-BE49-F238E27FC236}">
              <a16:creationId xmlns:a16="http://schemas.microsoft.com/office/drawing/2014/main" id="{00000000-0008-0000-0300-00003F04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53</xdr:row>
      <xdr:rowOff>0</xdr:rowOff>
    </xdr:from>
    <xdr:to>
      <xdr:col>4</xdr:col>
      <xdr:colOff>76200</xdr:colOff>
      <xdr:row>54</xdr:row>
      <xdr:rowOff>0</xdr:rowOff>
    </xdr:to>
    <xdr:sp macro="" textlink="">
      <xdr:nvSpPr>
        <xdr:cNvPr id="1088" name="Text Box 2">
          <a:extLst>
            <a:ext uri="{FF2B5EF4-FFF2-40B4-BE49-F238E27FC236}">
              <a16:creationId xmlns:a16="http://schemas.microsoft.com/office/drawing/2014/main" id="{00000000-0008-0000-0300-00004004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53</xdr:row>
      <xdr:rowOff>0</xdr:rowOff>
    </xdr:from>
    <xdr:to>
      <xdr:col>4</xdr:col>
      <xdr:colOff>76200</xdr:colOff>
      <xdr:row>54</xdr:row>
      <xdr:rowOff>0</xdr:rowOff>
    </xdr:to>
    <xdr:sp macro="" textlink="">
      <xdr:nvSpPr>
        <xdr:cNvPr id="1089" name="Text Box 1">
          <a:extLst>
            <a:ext uri="{FF2B5EF4-FFF2-40B4-BE49-F238E27FC236}">
              <a16:creationId xmlns:a16="http://schemas.microsoft.com/office/drawing/2014/main" id="{00000000-0008-0000-0300-00004104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53</xdr:row>
      <xdr:rowOff>0</xdr:rowOff>
    </xdr:from>
    <xdr:to>
      <xdr:col>4</xdr:col>
      <xdr:colOff>76200</xdr:colOff>
      <xdr:row>54</xdr:row>
      <xdr:rowOff>0</xdr:rowOff>
    </xdr:to>
    <xdr:sp macro="" textlink="">
      <xdr:nvSpPr>
        <xdr:cNvPr id="1090" name="Text Box 1">
          <a:extLst>
            <a:ext uri="{FF2B5EF4-FFF2-40B4-BE49-F238E27FC236}">
              <a16:creationId xmlns:a16="http://schemas.microsoft.com/office/drawing/2014/main" id="{00000000-0008-0000-0300-00004204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53</xdr:row>
      <xdr:rowOff>0</xdr:rowOff>
    </xdr:from>
    <xdr:to>
      <xdr:col>4</xdr:col>
      <xdr:colOff>76200</xdr:colOff>
      <xdr:row>54</xdr:row>
      <xdr:rowOff>0</xdr:rowOff>
    </xdr:to>
    <xdr:sp macro="" textlink="">
      <xdr:nvSpPr>
        <xdr:cNvPr id="1091" name="Text Box 1">
          <a:extLst>
            <a:ext uri="{FF2B5EF4-FFF2-40B4-BE49-F238E27FC236}">
              <a16:creationId xmlns:a16="http://schemas.microsoft.com/office/drawing/2014/main" id="{00000000-0008-0000-0300-00004304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53</xdr:row>
      <xdr:rowOff>0</xdr:rowOff>
    </xdr:from>
    <xdr:to>
      <xdr:col>4</xdr:col>
      <xdr:colOff>76200</xdr:colOff>
      <xdr:row>54</xdr:row>
      <xdr:rowOff>0</xdr:rowOff>
    </xdr:to>
    <xdr:sp macro="" textlink="">
      <xdr:nvSpPr>
        <xdr:cNvPr id="1092" name="Text Box 2">
          <a:extLst>
            <a:ext uri="{FF2B5EF4-FFF2-40B4-BE49-F238E27FC236}">
              <a16:creationId xmlns:a16="http://schemas.microsoft.com/office/drawing/2014/main" id="{00000000-0008-0000-0300-00004404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53</xdr:row>
      <xdr:rowOff>0</xdr:rowOff>
    </xdr:from>
    <xdr:to>
      <xdr:col>4</xdr:col>
      <xdr:colOff>76200</xdr:colOff>
      <xdr:row>54</xdr:row>
      <xdr:rowOff>0</xdr:rowOff>
    </xdr:to>
    <xdr:sp macro="" textlink="">
      <xdr:nvSpPr>
        <xdr:cNvPr id="1093" name="Text Box 1">
          <a:extLst>
            <a:ext uri="{FF2B5EF4-FFF2-40B4-BE49-F238E27FC236}">
              <a16:creationId xmlns:a16="http://schemas.microsoft.com/office/drawing/2014/main" id="{00000000-0008-0000-0300-00004504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53</xdr:row>
      <xdr:rowOff>0</xdr:rowOff>
    </xdr:from>
    <xdr:to>
      <xdr:col>4</xdr:col>
      <xdr:colOff>76200</xdr:colOff>
      <xdr:row>54</xdr:row>
      <xdr:rowOff>0</xdr:rowOff>
    </xdr:to>
    <xdr:sp macro="" textlink="">
      <xdr:nvSpPr>
        <xdr:cNvPr id="1094" name="Text Box 1">
          <a:extLst>
            <a:ext uri="{FF2B5EF4-FFF2-40B4-BE49-F238E27FC236}">
              <a16:creationId xmlns:a16="http://schemas.microsoft.com/office/drawing/2014/main" id="{00000000-0008-0000-0300-00004604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53</xdr:row>
      <xdr:rowOff>0</xdr:rowOff>
    </xdr:from>
    <xdr:to>
      <xdr:col>4</xdr:col>
      <xdr:colOff>76200</xdr:colOff>
      <xdr:row>54</xdr:row>
      <xdr:rowOff>0</xdr:rowOff>
    </xdr:to>
    <xdr:sp macro="" textlink="">
      <xdr:nvSpPr>
        <xdr:cNvPr id="1095" name="Text Box 1">
          <a:extLst>
            <a:ext uri="{FF2B5EF4-FFF2-40B4-BE49-F238E27FC236}">
              <a16:creationId xmlns:a16="http://schemas.microsoft.com/office/drawing/2014/main" id="{00000000-0008-0000-0300-00004704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53</xdr:row>
      <xdr:rowOff>0</xdr:rowOff>
    </xdr:from>
    <xdr:to>
      <xdr:col>4</xdr:col>
      <xdr:colOff>76200</xdr:colOff>
      <xdr:row>54</xdr:row>
      <xdr:rowOff>0</xdr:rowOff>
    </xdr:to>
    <xdr:sp macro="" textlink="">
      <xdr:nvSpPr>
        <xdr:cNvPr id="1096" name="Text Box 2">
          <a:extLst>
            <a:ext uri="{FF2B5EF4-FFF2-40B4-BE49-F238E27FC236}">
              <a16:creationId xmlns:a16="http://schemas.microsoft.com/office/drawing/2014/main" id="{00000000-0008-0000-0300-00004804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53</xdr:row>
      <xdr:rowOff>0</xdr:rowOff>
    </xdr:from>
    <xdr:to>
      <xdr:col>4</xdr:col>
      <xdr:colOff>76200</xdr:colOff>
      <xdr:row>54</xdr:row>
      <xdr:rowOff>0</xdr:rowOff>
    </xdr:to>
    <xdr:sp macro="" textlink="">
      <xdr:nvSpPr>
        <xdr:cNvPr id="1097" name="Text Box 1">
          <a:extLst>
            <a:ext uri="{FF2B5EF4-FFF2-40B4-BE49-F238E27FC236}">
              <a16:creationId xmlns:a16="http://schemas.microsoft.com/office/drawing/2014/main" id="{00000000-0008-0000-0300-00004904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53</xdr:row>
      <xdr:rowOff>0</xdr:rowOff>
    </xdr:from>
    <xdr:to>
      <xdr:col>4</xdr:col>
      <xdr:colOff>76200</xdr:colOff>
      <xdr:row>54</xdr:row>
      <xdr:rowOff>0</xdr:rowOff>
    </xdr:to>
    <xdr:sp macro="" textlink="">
      <xdr:nvSpPr>
        <xdr:cNvPr id="1098" name="Text Box 1">
          <a:extLst>
            <a:ext uri="{FF2B5EF4-FFF2-40B4-BE49-F238E27FC236}">
              <a16:creationId xmlns:a16="http://schemas.microsoft.com/office/drawing/2014/main" id="{00000000-0008-0000-0300-00004A04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53</xdr:row>
      <xdr:rowOff>0</xdr:rowOff>
    </xdr:from>
    <xdr:to>
      <xdr:col>4</xdr:col>
      <xdr:colOff>76200</xdr:colOff>
      <xdr:row>54</xdr:row>
      <xdr:rowOff>0</xdr:rowOff>
    </xdr:to>
    <xdr:sp macro="" textlink="">
      <xdr:nvSpPr>
        <xdr:cNvPr id="1099" name="Text Box 2">
          <a:extLst>
            <a:ext uri="{FF2B5EF4-FFF2-40B4-BE49-F238E27FC236}">
              <a16:creationId xmlns:a16="http://schemas.microsoft.com/office/drawing/2014/main" id="{00000000-0008-0000-0300-00004B04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53</xdr:row>
      <xdr:rowOff>0</xdr:rowOff>
    </xdr:from>
    <xdr:to>
      <xdr:col>4</xdr:col>
      <xdr:colOff>76200</xdr:colOff>
      <xdr:row>54</xdr:row>
      <xdr:rowOff>0</xdr:rowOff>
    </xdr:to>
    <xdr:sp macro="" textlink="">
      <xdr:nvSpPr>
        <xdr:cNvPr id="1100" name="Text Box 1">
          <a:extLst>
            <a:ext uri="{FF2B5EF4-FFF2-40B4-BE49-F238E27FC236}">
              <a16:creationId xmlns:a16="http://schemas.microsoft.com/office/drawing/2014/main" id="{00000000-0008-0000-0300-00004C04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53</xdr:row>
      <xdr:rowOff>0</xdr:rowOff>
    </xdr:from>
    <xdr:to>
      <xdr:col>4</xdr:col>
      <xdr:colOff>76200</xdr:colOff>
      <xdr:row>54</xdr:row>
      <xdr:rowOff>0</xdr:rowOff>
    </xdr:to>
    <xdr:sp macro="" textlink="">
      <xdr:nvSpPr>
        <xdr:cNvPr id="1101" name="Text Box 1">
          <a:extLst>
            <a:ext uri="{FF2B5EF4-FFF2-40B4-BE49-F238E27FC236}">
              <a16:creationId xmlns:a16="http://schemas.microsoft.com/office/drawing/2014/main" id="{00000000-0008-0000-0300-00004D04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53</xdr:row>
      <xdr:rowOff>0</xdr:rowOff>
    </xdr:from>
    <xdr:to>
      <xdr:col>4</xdr:col>
      <xdr:colOff>76200</xdr:colOff>
      <xdr:row>54</xdr:row>
      <xdr:rowOff>0</xdr:rowOff>
    </xdr:to>
    <xdr:sp macro="" textlink="">
      <xdr:nvSpPr>
        <xdr:cNvPr id="1102" name="Text Box 1">
          <a:extLst>
            <a:ext uri="{FF2B5EF4-FFF2-40B4-BE49-F238E27FC236}">
              <a16:creationId xmlns:a16="http://schemas.microsoft.com/office/drawing/2014/main" id="{00000000-0008-0000-0300-00004E04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53</xdr:row>
      <xdr:rowOff>0</xdr:rowOff>
    </xdr:from>
    <xdr:to>
      <xdr:col>4</xdr:col>
      <xdr:colOff>76200</xdr:colOff>
      <xdr:row>54</xdr:row>
      <xdr:rowOff>0</xdr:rowOff>
    </xdr:to>
    <xdr:sp macro="" textlink="">
      <xdr:nvSpPr>
        <xdr:cNvPr id="1103" name="Text Box 2">
          <a:extLst>
            <a:ext uri="{FF2B5EF4-FFF2-40B4-BE49-F238E27FC236}">
              <a16:creationId xmlns:a16="http://schemas.microsoft.com/office/drawing/2014/main" id="{00000000-0008-0000-0300-00004F04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53</xdr:row>
      <xdr:rowOff>0</xdr:rowOff>
    </xdr:from>
    <xdr:to>
      <xdr:col>4</xdr:col>
      <xdr:colOff>76200</xdr:colOff>
      <xdr:row>54</xdr:row>
      <xdr:rowOff>0</xdr:rowOff>
    </xdr:to>
    <xdr:sp macro="" textlink="">
      <xdr:nvSpPr>
        <xdr:cNvPr id="1104" name="Text Box 1">
          <a:extLst>
            <a:ext uri="{FF2B5EF4-FFF2-40B4-BE49-F238E27FC236}">
              <a16:creationId xmlns:a16="http://schemas.microsoft.com/office/drawing/2014/main" id="{00000000-0008-0000-0300-00005004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53</xdr:row>
      <xdr:rowOff>0</xdr:rowOff>
    </xdr:from>
    <xdr:to>
      <xdr:col>4</xdr:col>
      <xdr:colOff>76200</xdr:colOff>
      <xdr:row>54</xdr:row>
      <xdr:rowOff>0</xdr:rowOff>
    </xdr:to>
    <xdr:sp macro="" textlink="">
      <xdr:nvSpPr>
        <xdr:cNvPr id="1105" name="Text Box 1">
          <a:extLst>
            <a:ext uri="{FF2B5EF4-FFF2-40B4-BE49-F238E27FC236}">
              <a16:creationId xmlns:a16="http://schemas.microsoft.com/office/drawing/2014/main" id="{00000000-0008-0000-0300-00005104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54</xdr:row>
      <xdr:rowOff>0</xdr:rowOff>
    </xdr:from>
    <xdr:to>
      <xdr:col>4</xdr:col>
      <xdr:colOff>76200</xdr:colOff>
      <xdr:row>55</xdr:row>
      <xdr:rowOff>0</xdr:rowOff>
    </xdr:to>
    <xdr:sp macro="" textlink="">
      <xdr:nvSpPr>
        <xdr:cNvPr id="1106" name="Text Box 1">
          <a:extLst>
            <a:ext uri="{FF2B5EF4-FFF2-40B4-BE49-F238E27FC236}">
              <a16:creationId xmlns:a16="http://schemas.microsoft.com/office/drawing/2014/main" id="{00000000-0008-0000-0300-00005204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54</xdr:row>
      <xdr:rowOff>0</xdr:rowOff>
    </xdr:from>
    <xdr:to>
      <xdr:col>4</xdr:col>
      <xdr:colOff>76200</xdr:colOff>
      <xdr:row>55</xdr:row>
      <xdr:rowOff>0</xdr:rowOff>
    </xdr:to>
    <xdr:sp macro="" textlink="">
      <xdr:nvSpPr>
        <xdr:cNvPr id="1107" name="Text Box 2">
          <a:extLst>
            <a:ext uri="{FF2B5EF4-FFF2-40B4-BE49-F238E27FC236}">
              <a16:creationId xmlns:a16="http://schemas.microsoft.com/office/drawing/2014/main" id="{00000000-0008-0000-0300-00005304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54</xdr:row>
      <xdr:rowOff>0</xdr:rowOff>
    </xdr:from>
    <xdr:to>
      <xdr:col>4</xdr:col>
      <xdr:colOff>76200</xdr:colOff>
      <xdr:row>55</xdr:row>
      <xdr:rowOff>0</xdr:rowOff>
    </xdr:to>
    <xdr:sp macro="" textlink="">
      <xdr:nvSpPr>
        <xdr:cNvPr id="1108" name="Text Box 1">
          <a:extLst>
            <a:ext uri="{FF2B5EF4-FFF2-40B4-BE49-F238E27FC236}">
              <a16:creationId xmlns:a16="http://schemas.microsoft.com/office/drawing/2014/main" id="{00000000-0008-0000-0300-00005404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54</xdr:row>
      <xdr:rowOff>0</xdr:rowOff>
    </xdr:from>
    <xdr:to>
      <xdr:col>4</xdr:col>
      <xdr:colOff>76200</xdr:colOff>
      <xdr:row>55</xdr:row>
      <xdr:rowOff>0</xdr:rowOff>
    </xdr:to>
    <xdr:sp macro="" textlink="">
      <xdr:nvSpPr>
        <xdr:cNvPr id="1109" name="Text Box 1">
          <a:extLst>
            <a:ext uri="{FF2B5EF4-FFF2-40B4-BE49-F238E27FC236}">
              <a16:creationId xmlns:a16="http://schemas.microsoft.com/office/drawing/2014/main" id="{00000000-0008-0000-0300-00005504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54</xdr:row>
      <xdr:rowOff>0</xdr:rowOff>
    </xdr:from>
    <xdr:to>
      <xdr:col>4</xdr:col>
      <xdr:colOff>76200</xdr:colOff>
      <xdr:row>55</xdr:row>
      <xdr:rowOff>0</xdr:rowOff>
    </xdr:to>
    <xdr:sp macro="" textlink="">
      <xdr:nvSpPr>
        <xdr:cNvPr id="1110" name="Text Box 1">
          <a:extLst>
            <a:ext uri="{FF2B5EF4-FFF2-40B4-BE49-F238E27FC236}">
              <a16:creationId xmlns:a16="http://schemas.microsoft.com/office/drawing/2014/main" id="{00000000-0008-0000-0300-00005604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54</xdr:row>
      <xdr:rowOff>0</xdr:rowOff>
    </xdr:from>
    <xdr:to>
      <xdr:col>4</xdr:col>
      <xdr:colOff>76200</xdr:colOff>
      <xdr:row>55</xdr:row>
      <xdr:rowOff>0</xdr:rowOff>
    </xdr:to>
    <xdr:sp macro="" textlink="">
      <xdr:nvSpPr>
        <xdr:cNvPr id="1111" name="Text Box 2">
          <a:extLst>
            <a:ext uri="{FF2B5EF4-FFF2-40B4-BE49-F238E27FC236}">
              <a16:creationId xmlns:a16="http://schemas.microsoft.com/office/drawing/2014/main" id="{00000000-0008-0000-0300-00005704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54</xdr:row>
      <xdr:rowOff>0</xdr:rowOff>
    </xdr:from>
    <xdr:to>
      <xdr:col>4</xdr:col>
      <xdr:colOff>76200</xdr:colOff>
      <xdr:row>55</xdr:row>
      <xdr:rowOff>0</xdr:rowOff>
    </xdr:to>
    <xdr:sp macro="" textlink="">
      <xdr:nvSpPr>
        <xdr:cNvPr id="1112" name="Text Box 1">
          <a:extLst>
            <a:ext uri="{FF2B5EF4-FFF2-40B4-BE49-F238E27FC236}">
              <a16:creationId xmlns:a16="http://schemas.microsoft.com/office/drawing/2014/main" id="{00000000-0008-0000-0300-00005804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54</xdr:row>
      <xdr:rowOff>0</xdr:rowOff>
    </xdr:from>
    <xdr:to>
      <xdr:col>4</xdr:col>
      <xdr:colOff>76200</xdr:colOff>
      <xdr:row>55</xdr:row>
      <xdr:rowOff>0</xdr:rowOff>
    </xdr:to>
    <xdr:sp macro="" textlink="">
      <xdr:nvSpPr>
        <xdr:cNvPr id="1113" name="Text Box 1">
          <a:extLst>
            <a:ext uri="{FF2B5EF4-FFF2-40B4-BE49-F238E27FC236}">
              <a16:creationId xmlns:a16="http://schemas.microsoft.com/office/drawing/2014/main" id="{00000000-0008-0000-0300-00005904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54</xdr:row>
      <xdr:rowOff>0</xdr:rowOff>
    </xdr:from>
    <xdr:to>
      <xdr:col>4</xdr:col>
      <xdr:colOff>76200</xdr:colOff>
      <xdr:row>55</xdr:row>
      <xdr:rowOff>0</xdr:rowOff>
    </xdr:to>
    <xdr:sp macro="" textlink="">
      <xdr:nvSpPr>
        <xdr:cNvPr id="1114" name="Text Box 1">
          <a:extLst>
            <a:ext uri="{FF2B5EF4-FFF2-40B4-BE49-F238E27FC236}">
              <a16:creationId xmlns:a16="http://schemas.microsoft.com/office/drawing/2014/main" id="{00000000-0008-0000-0300-00005A04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54</xdr:row>
      <xdr:rowOff>0</xdr:rowOff>
    </xdr:from>
    <xdr:to>
      <xdr:col>4</xdr:col>
      <xdr:colOff>76200</xdr:colOff>
      <xdr:row>55</xdr:row>
      <xdr:rowOff>0</xdr:rowOff>
    </xdr:to>
    <xdr:sp macro="" textlink="">
      <xdr:nvSpPr>
        <xdr:cNvPr id="1115" name="Text Box 2">
          <a:extLst>
            <a:ext uri="{FF2B5EF4-FFF2-40B4-BE49-F238E27FC236}">
              <a16:creationId xmlns:a16="http://schemas.microsoft.com/office/drawing/2014/main" id="{00000000-0008-0000-0300-00005B04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54</xdr:row>
      <xdr:rowOff>0</xdr:rowOff>
    </xdr:from>
    <xdr:to>
      <xdr:col>4</xdr:col>
      <xdr:colOff>76200</xdr:colOff>
      <xdr:row>55</xdr:row>
      <xdr:rowOff>0</xdr:rowOff>
    </xdr:to>
    <xdr:sp macro="" textlink="">
      <xdr:nvSpPr>
        <xdr:cNvPr id="1116" name="Text Box 1">
          <a:extLst>
            <a:ext uri="{FF2B5EF4-FFF2-40B4-BE49-F238E27FC236}">
              <a16:creationId xmlns:a16="http://schemas.microsoft.com/office/drawing/2014/main" id="{00000000-0008-0000-0300-00005C04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54</xdr:row>
      <xdr:rowOff>0</xdr:rowOff>
    </xdr:from>
    <xdr:to>
      <xdr:col>4</xdr:col>
      <xdr:colOff>76200</xdr:colOff>
      <xdr:row>55</xdr:row>
      <xdr:rowOff>0</xdr:rowOff>
    </xdr:to>
    <xdr:sp macro="" textlink="">
      <xdr:nvSpPr>
        <xdr:cNvPr id="1117" name="Text Box 1">
          <a:extLst>
            <a:ext uri="{FF2B5EF4-FFF2-40B4-BE49-F238E27FC236}">
              <a16:creationId xmlns:a16="http://schemas.microsoft.com/office/drawing/2014/main" id="{00000000-0008-0000-0300-00005D04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54</xdr:row>
      <xdr:rowOff>0</xdr:rowOff>
    </xdr:from>
    <xdr:to>
      <xdr:col>4</xdr:col>
      <xdr:colOff>76200</xdr:colOff>
      <xdr:row>55</xdr:row>
      <xdr:rowOff>0</xdr:rowOff>
    </xdr:to>
    <xdr:sp macro="" textlink="">
      <xdr:nvSpPr>
        <xdr:cNvPr id="1118" name="Text Box 1">
          <a:extLst>
            <a:ext uri="{FF2B5EF4-FFF2-40B4-BE49-F238E27FC236}">
              <a16:creationId xmlns:a16="http://schemas.microsoft.com/office/drawing/2014/main" id="{00000000-0008-0000-0300-00005E04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54</xdr:row>
      <xdr:rowOff>0</xdr:rowOff>
    </xdr:from>
    <xdr:to>
      <xdr:col>4</xdr:col>
      <xdr:colOff>76200</xdr:colOff>
      <xdr:row>55</xdr:row>
      <xdr:rowOff>0</xdr:rowOff>
    </xdr:to>
    <xdr:sp macro="" textlink="">
      <xdr:nvSpPr>
        <xdr:cNvPr id="1119" name="Text Box 2">
          <a:extLst>
            <a:ext uri="{FF2B5EF4-FFF2-40B4-BE49-F238E27FC236}">
              <a16:creationId xmlns:a16="http://schemas.microsoft.com/office/drawing/2014/main" id="{00000000-0008-0000-0300-00005F04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54</xdr:row>
      <xdr:rowOff>0</xdr:rowOff>
    </xdr:from>
    <xdr:to>
      <xdr:col>4</xdr:col>
      <xdr:colOff>76200</xdr:colOff>
      <xdr:row>55</xdr:row>
      <xdr:rowOff>0</xdr:rowOff>
    </xdr:to>
    <xdr:sp macro="" textlink="">
      <xdr:nvSpPr>
        <xdr:cNvPr id="1120" name="Text Box 1">
          <a:extLst>
            <a:ext uri="{FF2B5EF4-FFF2-40B4-BE49-F238E27FC236}">
              <a16:creationId xmlns:a16="http://schemas.microsoft.com/office/drawing/2014/main" id="{00000000-0008-0000-0300-00006004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54</xdr:row>
      <xdr:rowOff>0</xdr:rowOff>
    </xdr:from>
    <xdr:to>
      <xdr:col>4</xdr:col>
      <xdr:colOff>76200</xdr:colOff>
      <xdr:row>55</xdr:row>
      <xdr:rowOff>0</xdr:rowOff>
    </xdr:to>
    <xdr:sp macro="" textlink="">
      <xdr:nvSpPr>
        <xdr:cNvPr id="1121" name="Text Box 1">
          <a:extLst>
            <a:ext uri="{FF2B5EF4-FFF2-40B4-BE49-F238E27FC236}">
              <a16:creationId xmlns:a16="http://schemas.microsoft.com/office/drawing/2014/main" id="{00000000-0008-0000-0300-00006104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54</xdr:row>
      <xdr:rowOff>0</xdr:rowOff>
    </xdr:from>
    <xdr:to>
      <xdr:col>4</xdr:col>
      <xdr:colOff>76200</xdr:colOff>
      <xdr:row>55</xdr:row>
      <xdr:rowOff>0</xdr:rowOff>
    </xdr:to>
    <xdr:sp macro="" textlink="">
      <xdr:nvSpPr>
        <xdr:cNvPr id="1122" name="Text Box 2">
          <a:extLst>
            <a:ext uri="{FF2B5EF4-FFF2-40B4-BE49-F238E27FC236}">
              <a16:creationId xmlns:a16="http://schemas.microsoft.com/office/drawing/2014/main" id="{00000000-0008-0000-0300-00006204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54</xdr:row>
      <xdr:rowOff>0</xdr:rowOff>
    </xdr:from>
    <xdr:to>
      <xdr:col>4</xdr:col>
      <xdr:colOff>76200</xdr:colOff>
      <xdr:row>55</xdr:row>
      <xdr:rowOff>0</xdr:rowOff>
    </xdr:to>
    <xdr:sp macro="" textlink="">
      <xdr:nvSpPr>
        <xdr:cNvPr id="1123" name="Text Box 1">
          <a:extLst>
            <a:ext uri="{FF2B5EF4-FFF2-40B4-BE49-F238E27FC236}">
              <a16:creationId xmlns:a16="http://schemas.microsoft.com/office/drawing/2014/main" id="{00000000-0008-0000-0300-00006304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54</xdr:row>
      <xdr:rowOff>0</xdr:rowOff>
    </xdr:from>
    <xdr:to>
      <xdr:col>4</xdr:col>
      <xdr:colOff>76200</xdr:colOff>
      <xdr:row>55</xdr:row>
      <xdr:rowOff>0</xdr:rowOff>
    </xdr:to>
    <xdr:sp macro="" textlink="">
      <xdr:nvSpPr>
        <xdr:cNvPr id="1124" name="Text Box 1">
          <a:extLst>
            <a:ext uri="{FF2B5EF4-FFF2-40B4-BE49-F238E27FC236}">
              <a16:creationId xmlns:a16="http://schemas.microsoft.com/office/drawing/2014/main" id="{00000000-0008-0000-0300-00006404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54</xdr:row>
      <xdr:rowOff>0</xdr:rowOff>
    </xdr:from>
    <xdr:to>
      <xdr:col>4</xdr:col>
      <xdr:colOff>76200</xdr:colOff>
      <xdr:row>55</xdr:row>
      <xdr:rowOff>0</xdr:rowOff>
    </xdr:to>
    <xdr:sp macro="" textlink="">
      <xdr:nvSpPr>
        <xdr:cNvPr id="1125" name="Text Box 1">
          <a:extLst>
            <a:ext uri="{FF2B5EF4-FFF2-40B4-BE49-F238E27FC236}">
              <a16:creationId xmlns:a16="http://schemas.microsoft.com/office/drawing/2014/main" id="{00000000-0008-0000-0300-00006504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54</xdr:row>
      <xdr:rowOff>0</xdr:rowOff>
    </xdr:from>
    <xdr:to>
      <xdr:col>4</xdr:col>
      <xdr:colOff>76200</xdr:colOff>
      <xdr:row>55</xdr:row>
      <xdr:rowOff>0</xdr:rowOff>
    </xdr:to>
    <xdr:sp macro="" textlink="">
      <xdr:nvSpPr>
        <xdr:cNvPr id="1126" name="Text Box 2">
          <a:extLst>
            <a:ext uri="{FF2B5EF4-FFF2-40B4-BE49-F238E27FC236}">
              <a16:creationId xmlns:a16="http://schemas.microsoft.com/office/drawing/2014/main" id="{00000000-0008-0000-0300-00006604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54</xdr:row>
      <xdr:rowOff>0</xdr:rowOff>
    </xdr:from>
    <xdr:to>
      <xdr:col>4</xdr:col>
      <xdr:colOff>76200</xdr:colOff>
      <xdr:row>55</xdr:row>
      <xdr:rowOff>0</xdr:rowOff>
    </xdr:to>
    <xdr:sp macro="" textlink="">
      <xdr:nvSpPr>
        <xdr:cNvPr id="1127" name="Text Box 1">
          <a:extLst>
            <a:ext uri="{FF2B5EF4-FFF2-40B4-BE49-F238E27FC236}">
              <a16:creationId xmlns:a16="http://schemas.microsoft.com/office/drawing/2014/main" id="{00000000-0008-0000-0300-00006704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54</xdr:row>
      <xdr:rowOff>0</xdr:rowOff>
    </xdr:from>
    <xdr:to>
      <xdr:col>4</xdr:col>
      <xdr:colOff>76200</xdr:colOff>
      <xdr:row>55</xdr:row>
      <xdr:rowOff>0</xdr:rowOff>
    </xdr:to>
    <xdr:sp macro="" textlink="">
      <xdr:nvSpPr>
        <xdr:cNvPr id="1128" name="Text Box 1">
          <a:extLst>
            <a:ext uri="{FF2B5EF4-FFF2-40B4-BE49-F238E27FC236}">
              <a16:creationId xmlns:a16="http://schemas.microsoft.com/office/drawing/2014/main" id="{00000000-0008-0000-0300-00006804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55</xdr:row>
      <xdr:rowOff>0</xdr:rowOff>
    </xdr:from>
    <xdr:to>
      <xdr:col>4</xdr:col>
      <xdr:colOff>76200</xdr:colOff>
      <xdr:row>56</xdr:row>
      <xdr:rowOff>0</xdr:rowOff>
    </xdr:to>
    <xdr:sp macro="" textlink="">
      <xdr:nvSpPr>
        <xdr:cNvPr id="1129" name="Text Box 1">
          <a:extLst>
            <a:ext uri="{FF2B5EF4-FFF2-40B4-BE49-F238E27FC236}">
              <a16:creationId xmlns:a16="http://schemas.microsoft.com/office/drawing/2014/main" id="{00000000-0008-0000-0300-00006904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55</xdr:row>
      <xdr:rowOff>0</xdr:rowOff>
    </xdr:from>
    <xdr:to>
      <xdr:col>4</xdr:col>
      <xdr:colOff>76200</xdr:colOff>
      <xdr:row>56</xdr:row>
      <xdr:rowOff>0</xdr:rowOff>
    </xdr:to>
    <xdr:sp macro="" textlink="">
      <xdr:nvSpPr>
        <xdr:cNvPr id="1130" name="Text Box 2">
          <a:extLst>
            <a:ext uri="{FF2B5EF4-FFF2-40B4-BE49-F238E27FC236}">
              <a16:creationId xmlns:a16="http://schemas.microsoft.com/office/drawing/2014/main" id="{00000000-0008-0000-0300-00006A04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55</xdr:row>
      <xdr:rowOff>0</xdr:rowOff>
    </xdr:from>
    <xdr:to>
      <xdr:col>4</xdr:col>
      <xdr:colOff>76200</xdr:colOff>
      <xdr:row>56</xdr:row>
      <xdr:rowOff>0</xdr:rowOff>
    </xdr:to>
    <xdr:sp macro="" textlink="">
      <xdr:nvSpPr>
        <xdr:cNvPr id="1131" name="Text Box 1">
          <a:extLst>
            <a:ext uri="{FF2B5EF4-FFF2-40B4-BE49-F238E27FC236}">
              <a16:creationId xmlns:a16="http://schemas.microsoft.com/office/drawing/2014/main" id="{00000000-0008-0000-0300-00006B04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55</xdr:row>
      <xdr:rowOff>0</xdr:rowOff>
    </xdr:from>
    <xdr:to>
      <xdr:col>4</xdr:col>
      <xdr:colOff>76200</xdr:colOff>
      <xdr:row>56</xdr:row>
      <xdr:rowOff>0</xdr:rowOff>
    </xdr:to>
    <xdr:sp macro="" textlink="">
      <xdr:nvSpPr>
        <xdr:cNvPr id="1132" name="Text Box 1">
          <a:extLst>
            <a:ext uri="{FF2B5EF4-FFF2-40B4-BE49-F238E27FC236}">
              <a16:creationId xmlns:a16="http://schemas.microsoft.com/office/drawing/2014/main" id="{00000000-0008-0000-0300-00006C04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55</xdr:row>
      <xdr:rowOff>0</xdr:rowOff>
    </xdr:from>
    <xdr:to>
      <xdr:col>4</xdr:col>
      <xdr:colOff>76200</xdr:colOff>
      <xdr:row>56</xdr:row>
      <xdr:rowOff>0</xdr:rowOff>
    </xdr:to>
    <xdr:sp macro="" textlink="">
      <xdr:nvSpPr>
        <xdr:cNvPr id="1133" name="Text Box 1">
          <a:extLst>
            <a:ext uri="{FF2B5EF4-FFF2-40B4-BE49-F238E27FC236}">
              <a16:creationId xmlns:a16="http://schemas.microsoft.com/office/drawing/2014/main" id="{00000000-0008-0000-0300-00006D04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55</xdr:row>
      <xdr:rowOff>0</xdr:rowOff>
    </xdr:from>
    <xdr:to>
      <xdr:col>4</xdr:col>
      <xdr:colOff>76200</xdr:colOff>
      <xdr:row>56</xdr:row>
      <xdr:rowOff>0</xdr:rowOff>
    </xdr:to>
    <xdr:sp macro="" textlink="">
      <xdr:nvSpPr>
        <xdr:cNvPr id="1134" name="Text Box 2">
          <a:extLst>
            <a:ext uri="{FF2B5EF4-FFF2-40B4-BE49-F238E27FC236}">
              <a16:creationId xmlns:a16="http://schemas.microsoft.com/office/drawing/2014/main" id="{00000000-0008-0000-0300-00006E04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55</xdr:row>
      <xdr:rowOff>0</xdr:rowOff>
    </xdr:from>
    <xdr:to>
      <xdr:col>4</xdr:col>
      <xdr:colOff>76200</xdr:colOff>
      <xdr:row>56</xdr:row>
      <xdr:rowOff>0</xdr:rowOff>
    </xdr:to>
    <xdr:sp macro="" textlink="">
      <xdr:nvSpPr>
        <xdr:cNvPr id="1135" name="Text Box 1">
          <a:extLst>
            <a:ext uri="{FF2B5EF4-FFF2-40B4-BE49-F238E27FC236}">
              <a16:creationId xmlns:a16="http://schemas.microsoft.com/office/drawing/2014/main" id="{00000000-0008-0000-0300-00006F04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55</xdr:row>
      <xdr:rowOff>0</xdr:rowOff>
    </xdr:from>
    <xdr:to>
      <xdr:col>4</xdr:col>
      <xdr:colOff>76200</xdr:colOff>
      <xdr:row>56</xdr:row>
      <xdr:rowOff>0</xdr:rowOff>
    </xdr:to>
    <xdr:sp macro="" textlink="">
      <xdr:nvSpPr>
        <xdr:cNvPr id="1136" name="Text Box 1">
          <a:extLst>
            <a:ext uri="{FF2B5EF4-FFF2-40B4-BE49-F238E27FC236}">
              <a16:creationId xmlns:a16="http://schemas.microsoft.com/office/drawing/2014/main" id="{00000000-0008-0000-0300-00007004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55</xdr:row>
      <xdr:rowOff>0</xdr:rowOff>
    </xdr:from>
    <xdr:to>
      <xdr:col>4</xdr:col>
      <xdr:colOff>76200</xdr:colOff>
      <xdr:row>56</xdr:row>
      <xdr:rowOff>0</xdr:rowOff>
    </xdr:to>
    <xdr:sp macro="" textlink="">
      <xdr:nvSpPr>
        <xdr:cNvPr id="1137" name="Text Box 1">
          <a:extLst>
            <a:ext uri="{FF2B5EF4-FFF2-40B4-BE49-F238E27FC236}">
              <a16:creationId xmlns:a16="http://schemas.microsoft.com/office/drawing/2014/main" id="{00000000-0008-0000-0300-00007104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55</xdr:row>
      <xdr:rowOff>0</xdr:rowOff>
    </xdr:from>
    <xdr:to>
      <xdr:col>4</xdr:col>
      <xdr:colOff>76200</xdr:colOff>
      <xdr:row>56</xdr:row>
      <xdr:rowOff>0</xdr:rowOff>
    </xdr:to>
    <xdr:sp macro="" textlink="">
      <xdr:nvSpPr>
        <xdr:cNvPr id="1138" name="Text Box 2">
          <a:extLst>
            <a:ext uri="{FF2B5EF4-FFF2-40B4-BE49-F238E27FC236}">
              <a16:creationId xmlns:a16="http://schemas.microsoft.com/office/drawing/2014/main" id="{00000000-0008-0000-0300-00007204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55</xdr:row>
      <xdr:rowOff>0</xdr:rowOff>
    </xdr:from>
    <xdr:to>
      <xdr:col>4</xdr:col>
      <xdr:colOff>76200</xdr:colOff>
      <xdr:row>56</xdr:row>
      <xdr:rowOff>0</xdr:rowOff>
    </xdr:to>
    <xdr:sp macro="" textlink="">
      <xdr:nvSpPr>
        <xdr:cNvPr id="1139" name="Text Box 1">
          <a:extLst>
            <a:ext uri="{FF2B5EF4-FFF2-40B4-BE49-F238E27FC236}">
              <a16:creationId xmlns:a16="http://schemas.microsoft.com/office/drawing/2014/main" id="{00000000-0008-0000-0300-00007304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55</xdr:row>
      <xdr:rowOff>0</xdr:rowOff>
    </xdr:from>
    <xdr:to>
      <xdr:col>4</xdr:col>
      <xdr:colOff>76200</xdr:colOff>
      <xdr:row>56</xdr:row>
      <xdr:rowOff>0</xdr:rowOff>
    </xdr:to>
    <xdr:sp macro="" textlink="">
      <xdr:nvSpPr>
        <xdr:cNvPr id="1140" name="Text Box 1">
          <a:extLst>
            <a:ext uri="{FF2B5EF4-FFF2-40B4-BE49-F238E27FC236}">
              <a16:creationId xmlns:a16="http://schemas.microsoft.com/office/drawing/2014/main" id="{00000000-0008-0000-0300-00007404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55</xdr:row>
      <xdr:rowOff>0</xdr:rowOff>
    </xdr:from>
    <xdr:to>
      <xdr:col>4</xdr:col>
      <xdr:colOff>76200</xdr:colOff>
      <xdr:row>56</xdr:row>
      <xdr:rowOff>0</xdr:rowOff>
    </xdr:to>
    <xdr:sp macro="" textlink="">
      <xdr:nvSpPr>
        <xdr:cNvPr id="1141" name="Text Box 1">
          <a:extLst>
            <a:ext uri="{FF2B5EF4-FFF2-40B4-BE49-F238E27FC236}">
              <a16:creationId xmlns:a16="http://schemas.microsoft.com/office/drawing/2014/main" id="{00000000-0008-0000-0300-00007504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55</xdr:row>
      <xdr:rowOff>0</xdr:rowOff>
    </xdr:from>
    <xdr:to>
      <xdr:col>4</xdr:col>
      <xdr:colOff>76200</xdr:colOff>
      <xdr:row>56</xdr:row>
      <xdr:rowOff>0</xdr:rowOff>
    </xdr:to>
    <xdr:sp macro="" textlink="">
      <xdr:nvSpPr>
        <xdr:cNvPr id="1142" name="Text Box 2">
          <a:extLst>
            <a:ext uri="{FF2B5EF4-FFF2-40B4-BE49-F238E27FC236}">
              <a16:creationId xmlns:a16="http://schemas.microsoft.com/office/drawing/2014/main" id="{00000000-0008-0000-0300-00007604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55</xdr:row>
      <xdr:rowOff>0</xdr:rowOff>
    </xdr:from>
    <xdr:to>
      <xdr:col>4</xdr:col>
      <xdr:colOff>76200</xdr:colOff>
      <xdr:row>56</xdr:row>
      <xdr:rowOff>0</xdr:rowOff>
    </xdr:to>
    <xdr:sp macro="" textlink="">
      <xdr:nvSpPr>
        <xdr:cNvPr id="1143" name="Text Box 1">
          <a:extLst>
            <a:ext uri="{FF2B5EF4-FFF2-40B4-BE49-F238E27FC236}">
              <a16:creationId xmlns:a16="http://schemas.microsoft.com/office/drawing/2014/main" id="{00000000-0008-0000-0300-00007704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55</xdr:row>
      <xdr:rowOff>0</xdr:rowOff>
    </xdr:from>
    <xdr:to>
      <xdr:col>4</xdr:col>
      <xdr:colOff>76200</xdr:colOff>
      <xdr:row>56</xdr:row>
      <xdr:rowOff>0</xdr:rowOff>
    </xdr:to>
    <xdr:sp macro="" textlink="">
      <xdr:nvSpPr>
        <xdr:cNvPr id="1144" name="Text Box 1">
          <a:extLst>
            <a:ext uri="{FF2B5EF4-FFF2-40B4-BE49-F238E27FC236}">
              <a16:creationId xmlns:a16="http://schemas.microsoft.com/office/drawing/2014/main" id="{00000000-0008-0000-0300-00007804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55</xdr:row>
      <xdr:rowOff>0</xdr:rowOff>
    </xdr:from>
    <xdr:to>
      <xdr:col>4</xdr:col>
      <xdr:colOff>76200</xdr:colOff>
      <xdr:row>56</xdr:row>
      <xdr:rowOff>0</xdr:rowOff>
    </xdr:to>
    <xdr:sp macro="" textlink="">
      <xdr:nvSpPr>
        <xdr:cNvPr id="1145" name="Text Box 2">
          <a:extLst>
            <a:ext uri="{FF2B5EF4-FFF2-40B4-BE49-F238E27FC236}">
              <a16:creationId xmlns:a16="http://schemas.microsoft.com/office/drawing/2014/main" id="{00000000-0008-0000-0300-00007904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55</xdr:row>
      <xdr:rowOff>0</xdr:rowOff>
    </xdr:from>
    <xdr:to>
      <xdr:col>4</xdr:col>
      <xdr:colOff>76200</xdr:colOff>
      <xdr:row>56</xdr:row>
      <xdr:rowOff>0</xdr:rowOff>
    </xdr:to>
    <xdr:sp macro="" textlink="">
      <xdr:nvSpPr>
        <xdr:cNvPr id="1146" name="Text Box 1">
          <a:extLst>
            <a:ext uri="{FF2B5EF4-FFF2-40B4-BE49-F238E27FC236}">
              <a16:creationId xmlns:a16="http://schemas.microsoft.com/office/drawing/2014/main" id="{00000000-0008-0000-0300-00007A04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55</xdr:row>
      <xdr:rowOff>0</xdr:rowOff>
    </xdr:from>
    <xdr:to>
      <xdr:col>4</xdr:col>
      <xdr:colOff>76200</xdr:colOff>
      <xdr:row>56</xdr:row>
      <xdr:rowOff>0</xdr:rowOff>
    </xdr:to>
    <xdr:sp macro="" textlink="">
      <xdr:nvSpPr>
        <xdr:cNvPr id="1147" name="Text Box 1">
          <a:extLst>
            <a:ext uri="{FF2B5EF4-FFF2-40B4-BE49-F238E27FC236}">
              <a16:creationId xmlns:a16="http://schemas.microsoft.com/office/drawing/2014/main" id="{00000000-0008-0000-0300-00007B04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55</xdr:row>
      <xdr:rowOff>0</xdr:rowOff>
    </xdr:from>
    <xdr:to>
      <xdr:col>4</xdr:col>
      <xdr:colOff>76200</xdr:colOff>
      <xdr:row>56</xdr:row>
      <xdr:rowOff>0</xdr:rowOff>
    </xdr:to>
    <xdr:sp macro="" textlink="">
      <xdr:nvSpPr>
        <xdr:cNvPr id="1148" name="Text Box 1">
          <a:extLst>
            <a:ext uri="{FF2B5EF4-FFF2-40B4-BE49-F238E27FC236}">
              <a16:creationId xmlns:a16="http://schemas.microsoft.com/office/drawing/2014/main" id="{00000000-0008-0000-0300-00007C04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55</xdr:row>
      <xdr:rowOff>0</xdr:rowOff>
    </xdr:from>
    <xdr:to>
      <xdr:col>4</xdr:col>
      <xdr:colOff>76200</xdr:colOff>
      <xdr:row>56</xdr:row>
      <xdr:rowOff>0</xdr:rowOff>
    </xdr:to>
    <xdr:sp macro="" textlink="">
      <xdr:nvSpPr>
        <xdr:cNvPr id="1149" name="Text Box 2">
          <a:extLst>
            <a:ext uri="{FF2B5EF4-FFF2-40B4-BE49-F238E27FC236}">
              <a16:creationId xmlns:a16="http://schemas.microsoft.com/office/drawing/2014/main" id="{00000000-0008-0000-0300-00007D04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55</xdr:row>
      <xdr:rowOff>0</xdr:rowOff>
    </xdr:from>
    <xdr:to>
      <xdr:col>4</xdr:col>
      <xdr:colOff>76200</xdr:colOff>
      <xdr:row>56</xdr:row>
      <xdr:rowOff>0</xdr:rowOff>
    </xdr:to>
    <xdr:sp macro="" textlink="">
      <xdr:nvSpPr>
        <xdr:cNvPr id="1150" name="Text Box 1">
          <a:extLst>
            <a:ext uri="{FF2B5EF4-FFF2-40B4-BE49-F238E27FC236}">
              <a16:creationId xmlns:a16="http://schemas.microsoft.com/office/drawing/2014/main" id="{00000000-0008-0000-0300-00007E04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55</xdr:row>
      <xdr:rowOff>0</xdr:rowOff>
    </xdr:from>
    <xdr:to>
      <xdr:col>4</xdr:col>
      <xdr:colOff>76200</xdr:colOff>
      <xdr:row>56</xdr:row>
      <xdr:rowOff>0</xdr:rowOff>
    </xdr:to>
    <xdr:sp macro="" textlink="">
      <xdr:nvSpPr>
        <xdr:cNvPr id="1151" name="Text Box 1">
          <a:extLst>
            <a:ext uri="{FF2B5EF4-FFF2-40B4-BE49-F238E27FC236}">
              <a16:creationId xmlns:a16="http://schemas.microsoft.com/office/drawing/2014/main" id="{00000000-0008-0000-0300-00007F04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56</xdr:row>
      <xdr:rowOff>0</xdr:rowOff>
    </xdr:from>
    <xdr:to>
      <xdr:col>4</xdr:col>
      <xdr:colOff>76200</xdr:colOff>
      <xdr:row>57</xdr:row>
      <xdr:rowOff>0</xdr:rowOff>
    </xdr:to>
    <xdr:sp macro="" textlink="">
      <xdr:nvSpPr>
        <xdr:cNvPr id="1152" name="Text Box 1">
          <a:extLst>
            <a:ext uri="{FF2B5EF4-FFF2-40B4-BE49-F238E27FC236}">
              <a16:creationId xmlns:a16="http://schemas.microsoft.com/office/drawing/2014/main" id="{00000000-0008-0000-0300-00008004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56</xdr:row>
      <xdr:rowOff>0</xdr:rowOff>
    </xdr:from>
    <xdr:to>
      <xdr:col>4</xdr:col>
      <xdr:colOff>76200</xdr:colOff>
      <xdr:row>57</xdr:row>
      <xdr:rowOff>0</xdr:rowOff>
    </xdr:to>
    <xdr:sp macro="" textlink="">
      <xdr:nvSpPr>
        <xdr:cNvPr id="1153" name="Text Box 2">
          <a:extLst>
            <a:ext uri="{FF2B5EF4-FFF2-40B4-BE49-F238E27FC236}">
              <a16:creationId xmlns:a16="http://schemas.microsoft.com/office/drawing/2014/main" id="{00000000-0008-0000-0300-00008104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56</xdr:row>
      <xdr:rowOff>0</xdr:rowOff>
    </xdr:from>
    <xdr:to>
      <xdr:col>4</xdr:col>
      <xdr:colOff>76200</xdr:colOff>
      <xdr:row>57</xdr:row>
      <xdr:rowOff>0</xdr:rowOff>
    </xdr:to>
    <xdr:sp macro="" textlink="">
      <xdr:nvSpPr>
        <xdr:cNvPr id="1154" name="Text Box 1">
          <a:extLst>
            <a:ext uri="{FF2B5EF4-FFF2-40B4-BE49-F238E27FC236}">
              <a16:creationId xmlns:a16="http://schemas.microsoft.com/office/drawing/2014/main" id="{00000000-0008-0000-0300-00008204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56</xdr:row>
      <xdr:rowOff>0</xdr:rowOff>
    </xdr:from>
    <xdr:to>
      <xdr:col>4</xdr:col>
      <xdr:colOff>76200</xdr:colOff>
      <xdr:row>57</xdr:row>
      <xdr:rowOff>0</xdr:rowOff>
    </xdr:to>
    <xdr:sp macro="" textlink="">
      <xdr:nvSpPr>
        <xdr:cNvPr id="1155" name="Text Box 1">
          <a:extLst>
            <a:ext uri="{FF2B5EF4-FFF2-40B4-BE49-F238E27FC236}">
              <a16:creationId xmlns:a16="http://schemas.microsoft.com/office/drawing/2014/main" id="{00000000-0008-0000-0300-00008304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56</xdr:row>
      <xdr:rowOff>0</xdr:rowOff>
    </xdr:from>
    <xdr:to>
      <xdr:col>4</xdr:col>
      <xdr:colOff>76200</xdr:colOff>
      <xdr:row>57</xdr:row>
      <xdr:rowOff>0</xdr:rowOff>
    </xdr:to>
    <xdr:sp macro="" textlink="">
      <xdr:nvSpPr>
        <xdr:cNvPr id="1156" name="Text Box 1">
          <a:extLst>
            <a:ext uri="{FF2B5EF4-FFF2-40B4-BE49-F238E27FC236}">
              <a16:creationId xmlns:a16="http://schemas.microsoft.com/office/drawing/2014/main" id="{00000000-0008-0000-0300-00008404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56</xdr:row>
      <xdr:rowOff>0</xdr:rowOff>
    </xdr:from>
    <xdr:to>
      <xdr:col>4</xdr:col>
      <xdr:colOff>76200</xdr:colOff>
      <xdr:row>57</xdr:row>
      <xdr:rowOff>0</xdr:rowOff>
    </xdr:to>
    <xdr:sp macro="" textlink="">
      <xdr:nvSpPr>
        <xdr:cNvPr id="1157" name="Text Box 2">
          <a:extLst>
            <a:ext uri="{FF2B5EF4-FFF2-40B4-BE49-F238E27FC236}">
              <a16:creationId xmlns:a16="http://schemas.microsoft.com/office/drawing/2014/main" id="{00000000-0008-0000-0300-00008504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56</xdr:row>
      <xdr:rowOff>0</xdr:rowOff>
    </xdr:from>
    <xdr:to>
      <xdr:col>4</xdr:col>
      <xdr:colOff>76200</xdr:colOff>
      <xdr:row>57</xdr:row>
      <xdr:rowOff>0</xdr:rowOff>
    </xdr:to>
    <xdr:sp macro="" textlink="">
      <xdr:nvSpPr>
        <xdr:cNvPr id="1158" name="Text Box 1">
          <a:extLst>
            <a:ext uri="{FF2B5EF4-FFF2-40B4-BE49-F238E27FC236}">
              <a16:creationId xmlns:a16="http://schemas.microsoft.com/office/drawing/2014/main" id="{00000000-0008-0000-0300-00008604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56</xdr:row>
      <xdr:rowOff>0</xdr:rowOff>
    </xdr:from>
    <xdr:to>
      <xdr:col>4</xdr:col>
      <xdr:colOff>76200</xdr:colOff>
      <xdr:row>57</xdr:row>
      <xdr:rowOff>0</xdr:rowOff>
    </xdr:to>
    <xdr:sp macro="" textlink="">
      <xdr:nvSpPr>
        <xdr:cNvPr id="1159" name="Text Box 1">
          <a:extLst>
            <a:ext uri="{FF2B5EF4-FFF2-40B4-BE49-F238E27FC236}">
              <a16:creationId xmlns:a16="http://schemas.microsoft.com/office/drawing/2014/main" id="{00000000-0008-0000-0300-00008704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56</xdr:row>
      <xdr:rowOff>0</xdr:rowOff>
    </xdr:from>
    <xdr:to>
      <xdr:col>4</xdr:col>
      <xdr:colOff>76200</xdr:colOff>
      <xdr:row>57</xdr:row>
      <xdr:rowOff>0</xdr:rowOff>
    </xdr:to>
    <xdr:sp macro="" textlink="">
      <xdr:nvSpPr>
        <xdr:cNvPr id="1160" name="Text Box 1">
          <a:extLst>
            <a:ext uri="{FF2B5EF4-FFF2-40B4-BE49-F238E27FC236}">
              <a16:creationId xmlns:a16="http://schemas.microsoft.com/office/drawing/2014/main" id="{00000000-0008-0000-0300-00008804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56</xdr:row>
      <xdr:rowOff>0</xdr:rowOff>
    </xdr:from>
    <xdr:to>
      <xdr:col>4</xdr:col>
      <xdr:colOff>76200</xdr:colOff>
      <xdr:row>57</xdr:row>
      <xdr:rowOff>0</xdr:rowOff>
    </xdr:to>
    <xdr:sp macro="" textlink="">
      <xdr:nvSpPr>
        <xdr:cNvPr id="1161" name="Text Box 2">
          <a:extLst>
            <a:ext uri="{FF2B5EF4-FFF2-40B4-BE49-F238E27FC236}">
              <a16:creationId xmlns:a16="http://schemas.microsoft.com/office/drawing/2014/main" id="{00000000-0008-0000-0300-00008904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56</xdr:row>
      <xdr:rowOff>0</xdr:rowOff>
    </xdr:from>
    <xdr:to>
      <xdr:col>4</xdr:col>
      <xdr:colOff>76200</xdr:colOff>
      <xdr:row>57</xdr:row>
      <xdr:rowOff>0</xdr:rowOff>
    </xdr:to>
    <xdr:sp macro="" textlink="">
      <xdr:nvSpPr>
        <xdr:cNvPr id="1162" name="Text Box 1">
          <a:extLst>
            <a:ext uri="{FF2B5EF4-FFF2-40B4-BE49-F238E27FC236}">
              <a16:creationId xmlns:a16="http://schemas.microsoft.com/office/drawing/2014/main" id="{00000000-0008-0000-0300-00008A04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56</xdr:row>
      <xdr:rowOff>0</xdr:rowOff>
    </xdr:from>
    <xdr:to>
      <xdr:col>4</xdr:col>
      <xdr:colOff>76200</xdr:colOff>
      <xdr:row>57</xdr:row>
      <xdr:rowOff>0</xdr:rowOff>
    </xdr:to>
    <xdr:sp macro="" textlink="">
      <xdr:nvSpPr>
        <xdr:cNvPr id="1163" name="Text Box 1">
          <a:extLst>
            <a:ext uri="{FF2B5EF4-FFF2-40B4-BE49-F238E27FC236}">
              <a16:creationId xmlns:a16="http://schemas.microsoft.com/office/drawing/2014/main" id="{00000000-0008-0000-0300-00008B04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56</xdr:row>
      <xdr:rowOff>0</xdr:rowOff>
    </xdr:from>
    <xdr:to>
      <xdr:col>4</xdr:col>
      <xdr:colOff>76200</xdr:colOff>
      <xdr:row>57</xdr:row>
      <xdr:rowOff>0</xdr:rowOff>
    </xdr:to>
    <xdr:sp macro="" textlink="">
      <xdr:nvSpPr>
        <xdr:cNvPr id="1164" name="Text Box 1">
          <a:extLst>
            <a:ext uri="{FF2B5EF4-FFF2-40B4-BE49-F238E27FC236}">
              <a16:creationId xmlns:a16="http://schemas.microsoft.com/office/drawing/2014/main" id="{00000000-0008-0000-0300-00008C04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56</xdr:row>
      <xdr:rowOff>0</xdr:rowOff>
    </xdr:from>
    <xdr:to>
      <xdr:col>4</xdr:col>
      <xdr:colOff>76200</xdr:colOff>
      <xdr:row>57</xdr:row>
      <xdr:rowOff>0</xdr:rowOff>
    </xdr:to>
    <xdr:sp macro="" textlink="">
      <xdr:nvSpPr>
        <xdr:cNvPr id="1165" name="Text Box 2">
          <a:extLst>
            <a:ext uri="{FF2B5EF4-FFF2-40B4-BE49-F238E27FC236}">
              <a16:creationId xmlns:a16="http://schemas.microsoft.com/office/drawing/2014/main" id="{00000000-0008-0000-0300-00008D04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56</xdr:row>
      <xdr:rowOff>0</xdr:rowOff>
    </xdr:from>
    <xdr:to>
      <xdr:col>4</xdr:col>
      <xdr:colOff>76200</xdr:colOff>
      <xdr:row>57</xdr:row>
      <xdr:rowOff>0</xdr:rowOff>
    </xdr:to>
    <xdr:sp macro="" textlink="">
      <xdr:nvSpPr>
        <xdr:cNvPr id="1166" name="Text Box 1">
          <a:extLst>
            <a:ext uri="{FF2B5EF4-FFF2-40B4-BE49-F238E27FC236}">
              <a16:creationId xmlns:a16="http://schemas.microsoft.com/office/drawing/2014/main" id="{00000000-0008-0000-0300-00008E04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56</xdr:row>
      <xdr:rowOff>0</xdr:rowOff>
    </xdr:from>
    <xdr:to>
      <xdr:col>4</xdr:col>
      <xdr:colOff>76200</xdr:colOff>
      <xdr:row>57</xdr:row>
      <xdr:rowOff>0</xdr:rowOff>
    </xdr:to>
    <xdr:sp macro="" textlink="">
      <xdr:nvSpPr>
        <xdr:cNvPr id="1167" name="Text Box 1">
          <a:extLst>
            <a:ext uri="{FF2B5EF4-FFF2-40B4-BE49-F238E27FC236}">
              <a16:creationId xmlns:a16="http://schemas.microsoft.com/office/drawing/2014/main" id="{00000000-0008-0000-0300-00008F04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56</xdr:row>
      <xdr:rowOff>0</xdr:rowOff>
    </xdr:from>
    <xdr:to>
      <xdr:col>4</xdr:col>
      <xdr:colOff>76200</xdr:colOff>
      <xdr:row>57</xdr:row>
      <xdr:rowOff>0</xdr:rowOff>
    </xdr:to>
    <xdr:sp macro="" textlink="">
      <xdr:nvSpPr>
        <xdr:cNvPr id="1168" name="Text Box 2">
          <a:extLst>
            <a:ext uri="{FF2B5EF4-FFF2-40B4-BE49-F238E27FC236}">
              <a16:creationId xmlns:a16="http://schemas.microsoft.com/office/drawing/2014/main" id="{00000000-0008-0000-0300-00009004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56</xdr:row>
      <xdr:rowOff>0</xdr:rowOff>
    </xdr:from>
    <xdr:to>
      <xdr:col>4</xdr:col>
      <xdr:colOff>76200</xdr:colOff>
      <xdr:row>57</xdr:row>
      <xdr:rowOff>0</xdr:rowOff>
    </xdr:to>
    <xdr:sp macro="" textlink="">
      <xdr:nvSpPr>
        <xdr:cNvPr id="1169" name="Text Box 1">
          <a:extLst>
            <a:ext uri="{FF2B5EF4-FFF2-40B4-BE49-F238E27FC236}">
              <a16:creationId xmlns:a16="http://schemas.microsoft.com/office/drawing/2014/main" id="{00000000-0008-0000-0300-00009104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56</xdr:row>
      <xdr:rowOff>0</xdr:rowOff>
    </xdr:from>
    <xdr:to>
      <xdr:col>4</xdr:col>
      <xdr:colOff>76200</xdr:colOff>
      <xdr:row>57</xdr:row>
      <xdr:rowOff>0</xdr:rowOff>
    </xdr:to>
    <xdr:sp macro="" textlink="">
      <xdr:nvSpPr>
        <xdr:cNvPr id="1170" name="Text Box 1">
          <a:extLst>
            <a:ext uri="{FF2B5EF4-FFF2-40B4-BE49-F238E27FC236}">
              <a16:creationId xmlns:a16="http://schemas.microsoft.com/office/drawing/2014/main" id="{00000000-0008-0000-0300-00009204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56</xdr:row>
      <xdr:rowOff>0</xdr:rowOff>
    </xdr:from>
    <xdr:to>
      <xdr:col>4</xdr:col>
      <xdr:colOff>76200</xdr:colOff>
      <xdr:row>57</xdr:row>
      <xdr:rowOff>0</xdr:rowOff>
    </xdr:to>
    <xdr:sp macro="" textlink="">
      <xdr:nvSpPr>
        <xdr:cNvPr id="1171" name="Text Box 1">
          <a:extLst>
            <a:ext uri="{FF2B5EF4-FFF2-40B4-BE49-F238E27FC236}">
              <a16:creationId xmlns:a16="http://schemas.microsoft.com/office/drawing/2014/main" id="{00000000-0008-0000-0300-00009304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56</xdr:row>
      <xdr:rowOff>0</xdr:rowOff>
    </xdr:from>
    <xdr:to>
      <xdr:col>4</xdr:col>
      <xdr:colOff>76200</xdr:colOff>
      <xdr:row>57</xdr:row>
      <xdr:rowOff>0</xdr:rowOff>
    </xdr:to>
    <xdr:sp macro="" textlink="">
      <xdr:nvSpPr>
        <xdr:cNvPr id="1172" name="Text Box 2">
          <a:extLst>
            <a:ext uri="{FF2B5EF4-FFF2-40B4-BE49-F238E27FC236}">
              <a16:creationId xmlns:a16="http://schemas.microsoft.com/office/drawing/2014/main" id="{00000000-0008-0000-0300-00009404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56</xdr:row>
      <xdr:rowOff>0</xdr:rowOff>
    </xdr:from>
    <xdr:to>
      <xdr:col>4</xdr:col>
      <xdr:colOff>76200</xdr:colOff>
      <xdr:row>57</xdr:row>
      <xdr:rowOff>0</xdr:rowOff>
    </xdr:to>
    <xdr:sp macro="" textlink="">
      <xdr:nvSpPr>
        <xdr:cNvPr id="1173" name="Text Box 1">
          <a:extLst>
            <a:ext uri="{FF2B5EF4-FFF2-40B4-BE49-F238E27FC236}">
              <a16:creationId xmlns:a16="http://schemas.microsoft.com/office/drawing/2014/main" id="{00000000-0008-0000-0300-00009504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56</xdr:row>
      <xdr:rowOff>0</xdr:rowOff>
    </xdr:from>
    <xdr:to>
      <xdr:col>4</xdr:col>
      <xdr:colOff>76200</xdr:colOff>
      <xdr:row>57</xdr:row>
      <xdr:rowOff>0</xdr:rowOff>
    </xdr:to>
    <xdr:sp macro="" textlink="">
      <xdr:nvSpPr>
        <xdr:cNvPr id="1174" name="Text Box 1">
          <a:extLst>
            <a:ext uri="{FF2B5EF4-FFF2-40B4-BE49-F238E27FC236}">
              <a16:creationId xmlns:a16="http://schemas.microsoft.com/office/drawing/2014/main" id="{00000000-0008-0000-0300-00009604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76200</xdr:colOff>
      <xdr:row>58</xdr:row>
      <xdr:rowOff>0</xdr:rowOff>
    </xdr:to>
    <xdr:sp macro="" textlink="">
      <xdr:nvSpPr>
        <xdr:cNvPr id="1175" name="Text Box 1">
          <a:extLst>
            <a:ext uri="{FF2B5EF4-FFF2-40B4-BE49-F238E27FC236}">
              <a16:creationId xmlns:a16="http://schemas.microsoft.com/office/drawing/2014/main" id="{00000000-0008-0000-0300-00009704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76200</xdr:colOff>
      <xdr:row>58</xdr:row>
      <xdr:rowOff>0</xdr:rowOff>
    </xdr:to>
    <xdr:sp macro="" textlink="">
      <xdr:nvSpPr>
        <xdr:cNvPr id="1176" name="Text Box 2">
          <a:extLst>
            <a:ext uri="{FF2B5EF4-FFF2-40B4-BE49-F238E27FC236}">
              <a16:creationId xmlns:a16="http://schemas.microsoft.com/office/drawing/2014/main" id="{00000000-0008-0000-0300-00009804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76200</xdr:colOff>
      <xdr:row>58</xdr:row>
      <xdr:rowOff>0</xdr:rowOff>
    </xdr:to>
    <xdr:sp macro="" textlink="">
      <xdr:nvSpPr>
        <xdr:cNvPr id="1177" name="Text Box 1">
          <a:extLst>
            <a:ext uri="{FF2B5EF4-FFF2-40B4-BE49-F238E27FC236}">
              <a16:creationId xmlns:a16="http://schemas.microsoft.com/office/drawing/2014/main" id="{00000000-0008-0000-0300-00009904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76200</xdr:colOff>
      <xdr:row>58</xdr:row>
      <xdr:rowOff>0</xdr:rowOff>
    </xdr:to>
    <xdr:sp macro="" textlink="">
      <xdr:nvSpPr>
        <xdr:cNvPr id="1178" name="Text Box 1">
          <a:extLst>
            <a:ext uri="{FF2B5EF4-FFF2-40B4-BE49-F238E27FC236}">
              <a16:creationId xmlns:a16="http://schemas.microsoft.com/office/drawing/2014/main" id="{00000000-0008-0000-0300-00009A04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76200</xdr:colOff>
      <xdr:row>58</xdr:row>
      <xdr:rowOff>0</xdr:rowOff>
    </xdr:to>
    <xdr:sp macro="" textlink="">
      <xdr:nvSpPr>
        <xdr:cNvPr id="1179" name="Text Box 1">
          <a:extLst>
            <a:ext uri="{FF2B5EF4-FFF2-40B4-BE49-F238E27FC236}">
              <a16:creationId xmlns:a16="http://schemas.microsoft.com/office/drawing/2014/main" id="{00000000-0008-0000-0300-00009B04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76200</xdr:colOff>
      <xdr:row>58</xdr:row>
      <xdr:rowOff>0</xdr:rowOff>
    </xdr:to>
    <xdr:sp macro="" textlink="">
      <xdr:nvSpPr>
        <xdr:cNvPr id="1180" name="Text Box 2">
          <a:extLst>
            <a:ext uri="{FF2B5EF4-FFF2-40B4-BE49-F238E27FC236}">
              <a16:creationId xmlns:a16="http://schemas.microsoft.com/office/drawing/2014/main" id="{00000000-0008-0000-0300-00009C04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76200</xdr:colOff>
      <xdr:row>58</xdr:row>
      <xdr:rowOff>0</xdr:rowOff>
    </xdr:to>
    <xdr:sp macro="" textlink="">
      <xdr:nvSpPr>
        <xdr:cNvPr id="1181" name="Text Box 1">
          <a:extLst>
            <a:ext uri="{FF2B5EF4-FFF2-40B4-BE49-F238E27FC236}">
              <a16:creationId xmlns:a16="http://schemas.microsoft.com/office/drawing/2014/main" id="{00000000-0008-0000-0300-00009D04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76200</xdr:colOff>
      <xdr:row>58</xdr:row>
      <xdr:rowOff>0</xdr:rowOff>
    </xdr:to>
    <xdr:sp macro="" textlink="">
      <xdr:nvSpPr>
        <xdr:cNvPr id="1182" name="Text Box 1">
          <a:extLst>
            <a:ext uri="{FF2B5EF4-FFF2-40B4-BE49-F238E27FC236}">
              <a16:creationId xmlns:a16="http://schemas.microsoft.com/office/drawing/2014/main" id="{00000000-0008-0000-0300-00009E04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76200</xdr:colOff>
      <xdr:row>58</xdr:row>
      <xdr:rowOff>0</xdr:rowOff>
    </xdr:to>
    <xdr:sp macro="" textlink="">
      <xdr:nvSpPr>
        <xdr:cNvPr id="1183" name="Text Box 1">
          <a:extLst>
            <a:ext uri="{FF2B5EF4-FFF2-40B4-BE49-F238E27FC236}">
              <a16:creationId xmlns:a16="http://schemas.microsoft.com/office/drawing/2014/main" id="{00000000-0008-0000-0300-00009F04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76200</xdr:colOff>
      <xdr:row>58</xdr:row>
      <xdr:rowOff>0</xdr:rowOff>
    </xdr:to>
    <xdr:sp macro="" textlink="">
      <xdr:nvSpPr>
        <xdr:cNvPr id="1184" name="Text Box 2">
          <a:extLst>
            <a:ext uri="{FF2B5EF4-FFF2-40B4-BE49-F238E27FC236}">
              <a16:creationId xmlns:a16="http://schemas.microsoft.com/office/drawing/2014/main" id="{00000000-0008-0000-0300-0000A004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76200</xdr:colOff>
      <xdr:row>58</xdr:row>
      <xdr:rowOff>0</xdr:rowOff>
    </xdr:to>
    <xdr:sp macro="" textlink="">
      <xdr:nvSpPr>
        <xdr:cNvPr id="1185" name="Text Box 1">
          <a:extLst>
            <a:ext uri="{FF2B5EF4-FFF2-40B4-BE49-F238E27FC236}">
              <a16:creationId xmlns:a16="http://schemas.microsoft.com/office/drawing/2014/main" id="{00000000-0008-0000-0300-0000A104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76200</xdr:colOff>
      <xdr:row>58</xdr:row>
      <xdr:rowOff>0</xdr:rowOff>
    </xdr:to>
    <xdr:sp macro="" textlink="">
      <xdr:nvSpPr>
        <xdr:cNvPr id="1186" name="Text Box 1">
          <a:extLst>
            <a:ext uri="{FF2B5EF4-FFF2-40B4-BE49-F238E27FC236}">
              <a16:creationId xmlns:a16="http://schemas.microsoft.com/office/drawing/2014/main" id="{00000000-0008-0000-0300-0000A204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76200</xdr:colOff>
      <xdr:row>58</xdr:row>
      <xdr:rowOff>0</xdr:rowOff>
    </xdr:to>
    <xdr:sp macro="" textlink="">
      <xdr:nvSpPr>
        <xdr:cNvPr id="1187" name="Text Box 1">
          <a:extLst>
            <a:ext uri="{FF2B5EF4-FFF2-40B4-BE49-F238E27FC236}">
              <a16:creationId xmlns:a16="http://schemas.microsoft.com/office/drawing/2014/main" id="{00000000-0008-0000-0300-0000A304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76200</xdr:colOff>
      <xdr:row>58</xdr:row>
      <xdr:rowOff>0</xdr:rowOff>
    </xdr:to>
    <xdr:sp macro="" textlink="">
      <xdr:nvSpPr>
        <xdr:cNvPr id="1188" name="Text Box 2">
          <a:extLst>
            <a:ext uri="{FF2B5EF4-FFF2-40B4-BE49-F238E27FC236}">
              <a16:creationId xmlns:a16="http://schemas.microsoft.com/office/drawing/2014/main" id="{00000000-0008-0000-0300-0000A404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76200</xdr:colOff>
      <xdr:row>58</xdr:row>
      <xdr:rowOff>0</xdr:rowOff>
    </xdr:to>
    <xdr:sp macro="" textlink="">
      <xdr:nvSpPr>
        <xdr:cNvPr id="1189" name="Text Box 1">
          <a:extLst>
            <a:ext uri="{FF2B5EF4-FFF2-40B4-BE49-F238E27FC236}">
              <a16:creationId xmlns:a16="http://schemas.microsoft.com/office/drawing/2014/main" id="{00000000-0008-0000-0300-0000A504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76200</xdr:colOff>
      <xdr:row>58</xdr:row>
      <xdr:rowOff>0</xdr:rowOff>
    </xdr:to>
    <xdr:sp macro="" textlink="">
      <xdr:nvSpPr>
        <xdr:cNvPr id="1190" name="Text Box 1">
          <a:extLst>
            <a:ext uri="{FF2B5EF4-FFF2-40B4-BE49-F238E27FC236}">
              <a16:creationId xmlns:a16="http://schemas.microsoft.com/office/drawing/2014/main" id="{00000000-0008-0000-0300-0000A604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76200</xdr:colOff>
      <xdr:row>58</xdr:row>
      <xdr:rowOff>0</xdr:rowOff>
    </xdr:to>
    <xdr:sp macro="" textlink="">
      <xdr:nvSpPr>
        <xdr:cNvPr id="1191" name="Text Box 2">
          <a:extLst>
            <a:ext uri="{FF2B5EF4-FFF2-40B4-BE49-F238E27FC236}">
              <a16:creationId xmlns:a16="http://schemas.microsoft.com/office/drawing/2014/main" id="{00000000-0008-0000-0300-0000A704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76200</xdr:colOff>
      <xdr:row>58</xdr:row>
      <xdr:rowOff>0</xdr:rowOff>
    </xdr:to>
    <xdr:sp macro="" textlink="">
      <xdr:nvSpPr>
        <xdr:cNvPr id="1192" name="Text Box 1">
          <a:extLst>
            <a:ext uri="{FF2B5EF4-FFF2-40B4-BE49-F238E27FC236}">
              <a16:creationId xmlns:a16="http://schemas.microsoft.com/office/drawing/2014/main" id="{00000000-0008-0000-0300-0000A804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76200</xdr:colOff>
      <xdr:row>58</xdr:row>
      <xdr:rowOff>0</xdr:rowOff>
    </xdr:to>
    <xdr:sp macro="" textlink="">
      <xdr:nvSpPr>
        <xdr:cNvPr id="1193" name="Text Box 1">
          <a:extLst>
            <a:ext uri="{FF2B5EF4-FFF2-40B4-BE49-F238E27FC236}">
              <a16:creationId xmlns:a16="http://schemas.microsoft.com/office/drawing/2014/main" id="{00000000-0008-0000-0300-0000A904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76200</xdr:colOff>
      <xdr:row>58</xdr:row>
      <xdr:rowOff>0</xdr:rowOff>
    </xdr:to>
    <xdr:sp macro="" textlink="">
      <xdr:nvSpPr>
        <xdr:cNvPr id="1194" name="Text Box 1">
          <a:extLst>
            <a:ext uri="{FF2B5EF4-FFF2-40B4-BE49-F238E27FC236}">
              <a16:creationId xmlns:a16="http://schemas.microsoft.com/office/drawing/2014/main" id="{00000000-0008-0000-0300-0000AA04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76200</xdr:colOff>
      <xdr:row>58</xdr:row>
      <xdr:rowOff>0</xdr:rowOff>
    </xdr:to>
    <xdr:sp macro="" textlink="">
      <xdr:nvSpPr>
        <xdr:cNvPr id="1195" name="Text Box 2">
          <a:extLst>
            <a:ext uri="{FF2B5EF4-FFF2-40B4-BE49-F238E27FC236}">
              <a16:creationId xmlns:a16="http://schemas.microsoft.com/office/drawing/2014/main" id="{00000000-0008-0000-0300-0000AB04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76200</xdr:colOff>
      <xdr:row>58</xdr:row>
      <xdr:rowOff>0</xdr:rowOff>
    </xdr:to>
    <xdr:sp macro="" textlink="">
      <xdr:nvSpPr>
        <xdr:cNvPr id="1196" name="Text Box 1">
          <a:extLst>
            <a:ext uri="{FF2B5EF4-FFF2-40B4-BE49-F238E27FC236}">
              <a16:creationId xmlns:a16="http://schemas.microsoft.com/office/drawing/2014/main" id="{00000000-0008-0000-0300-0000AC04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76200</xdr:colOff>
      <xdr:row>58</xdr:row>
      <xdr:rowOff>0</xdr:rowOff>
    </xdr:to>
    <xdr:sp macro="" textlink="">
      <xdr:nvSpPr>
        <xdr:cNvPr id="1197" name="Text Box 1">
          <a:extLst>
            <a:ext uri="{FF2B5EF4-FFF2-40B4-BE49-F238E27FC236}">
              <a16:creationId xmlns:a16="http://schemas.microsoft.com/office/drawing/2014/main" id="{00000000-0008-0000-0300-0000AD04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58</xdr:row>
      <xdr:rowOff>0</xdr:rowOff>
    </xdr:from>
    <xdr:to>
      <xdr:col>4</xdr:col>
      <xdr:colOff>76200</xdr:colOff>
      <xdr:row>59</xdr:row>
      <xdr:rowOff>0</xdr:rowOff>
    </xdr:to>
    <xdr:sp macro="" textlink="">
      <xdr:nvSpPr>
        <xdr:cNvPr id="1198" name="Text Box 1">
          <a:extLst>
            <a:ext uri="{FF2B5EF4-FFF2-40B4-BE49-F238E27FC236}">
              <a16:creationId xmlns:a16="http://schemas.microsoft.com/office/drawing/2014/main" id="{00000000-0008-0000-0300-0000AE04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58</xdr:row>
      <xdr:rowOff>0</xdr:rowOff>
    </xdr:from>
    <xdr:to>
      <xdr:col>4</xdr:col>
      <xdr:colOff>76200</xdr:colOff>
      <xdr:row>59</xdr:row>
      <xdr:rowOff>0</xdr:rowOff>
    </xdr:to>
    <xdr:sp macro="" textlink="">
      <xdr:nvSpPr>
        <xdr:cNvPr id="1199" name="Text Box 2">
          <a:extLst>
            <a:ext uri="{FF2B5EF4-FFF2-40B4-BE49-F238E27FC236}">
              <a16:creationId xmlns:a16="http://schemas.microsoft.com/office/drawing/2014/main" id="{00000000-0008-0000-0300-0000AF04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58</xdr:row>
      <xdr:rowOff>0</xdr:rowOff>
    </xdr:from>
    <xdr:to>
      <xdr:col>4</xdr:col>
      <xdr:colOff>76200</xdr:colOff>
      <xdr:row>59</xdr:row>
      <xdr:rowOff>0</xdr:rowOff>
    </xdr:to>
    <xdr:sp macro="" textlink="">
      <xdr:nvSpPr>
        <xdr:cNvPr id="1200" name="Text Box 1">
          <a:extLst>
            <a:ext uri="{FF2B5EF4-FFF2-40B4-BE49-F238E27FC236}">
              <a16:creationId xmlns:a16="http://schemas.microsoft.com/office/drawing/2014/main" id="{00000000-0008-0000-0300-0000B004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58</xdr:row>
      <xdr:rowOff>0</xdr:rowOff>
    </xdr:from>
    <xdr:to>
      <xdr:col>4</xdr:col>
      <xdr:colOff>76200</xdr:colOff>
      <xdr:row>59</xdr:row>
      <xdr:rowOff>0</xdr:rowOff>
    </xdr:to>
    <xdr:sp macro="" textlink="">
      <xdr:nvSpPr>
        <xdr:cNvPr id="1201" name="Text Box 1">
          <a:extLst>
            <a:ext uri="{FF2B5EF4-FFF2-40B4-BE49-F238E27FC236}">
              <a16:creationId xmlns:a16="http://schemas.microsoft.com/office/drawing/2014/main" id="{00000000-0008-0000-0300-0000B104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58</xdr:row>
      <xdr:rowOff>0</xdr:rowOff>
    </xdr:from>
    <xdr:to>
      <xdr:col>4</xdr:col>
      <xdr:colOff>76200</xdr:colOff>
      <xdr:row>59</xdr:row>
      <xdr:rowOff>0</xdr:rowOff>
    </xdr:to>
    <xdr:sp macro="" textlink="">
      <xdr:nvSpPr>
        <xdr:cNvPr id="1202" name="Text Box 1">
          <a:extLst>
            <a:ext uri="{FF2B5EF4-FFF2-40B4-BE49-F238E27FC236}">
              <a16:creationId xmlns:a16="http://schemas.microsoft.com/office/drawing/2014/main" id="{00000000-0008-0000-0300-0000B204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58</xdr:row>
      <xdr:rowOff>0</xdr:rowOff>
    </xdr:from>
    <xdr:to>
      <xdr:col>4</xdr:col>
      <xdr:colOff>76200</xdr:colOff>
      <xdr:row>59</xdr:row>
      <xdr:rowOff>0</xdr:rowOff>
    </xdr:to>
    <xdr:sp macro="" textlink="">
      <xdr:nvSpPr>
        <xdr:cNvPr id="1203" name="Text Box 2">
          <a:extLst>
            <a:ext uri="{FF2B5EF4-FFF2-40B4-BE49-F238E27FC236}">
              <a16:creationId xmlns:a16="http://schemas.microsoft.com/office/drawing/2014/main" id="{00000000-0008-0000-0300-0000B304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58</xdr:row>
      <xdr:rowOff>0</xdr:rowOff>
    </xdr:from>
    <xdr:to>
      <xdr:col>4</xdr:col>
      <xdr:colOff>76200</xdr:colOff>
      <xdr:row>59</xdr:row>
      <xdr:rowOff>0</xdr:rowOff>
    </xdr:to>
    <xdr:sp macro="" textlink="">
      <xdr:nvSpPr>
        <xdr:cNvPr id="1204" name="Text Box 1">
          <a:extLst>
            <a:ext uri="{FF2B5EF4-FFF2-40B4-BE49-F238E27FC236}">
              <a16:creationId xmlns:a16="http://schemas.microsoft.com/office/drawing/2014/main" id="{00000000-0008-0000-0300-0000B404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58</xdr:row>
      <xdr:rowOff>0</xdr:rowOff>
    </xdr:from>
    <xdr:to>
      <xdr:col>4</xdr:col>
      <xdr:colOff>76200</xdr:colOff>
      <xdr:row>59</xdr:row>
      <xdr:rowOff>0</xdr:rowOff>
    </xdr:to>
    <xdr:sp macro="" textlink="">
      <xdr:nvSpPr>
        <xdr:cNvPr id="1205" name="Text Box 1">
          <a:extLst>
            <a:ext uri="{FF2B5EF4-FFF2-40B4-BE49-F238E27FC236}">
              <a16:creationId xmlns:a16="http://schemas.microsoft.com/office/drawing/2014/main" id="{00000000-0008-0000-0300-0000B504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58</xdr:row>
      <xdr:rowOff>0</xdr:rowOff>
    </xdr:from>
    <xdr:to>
      <xdr:col>4</xdr:col>
      <xdr:colOff>76200</xdr:colOff>
      <xdr:row>59</xdr:row>
      <xdr:rowOff>0</xdr:rowOff>
    </xdr:to>
    <xdr:sp macro="" textlink="">
      <xdr:nvSpPr>
        <xdr:cNvPr id="1206" name="Text Box 1">
          <a:extLst>
            <a:ext uri="{FF2B5EF4-FFF2-40B4-BE49-F238E27FC236}">
              <a16:creationId xmlns:a16="http://schemas.microsoft.com/office/drawing/2014/main" id="{00000000-0008-0000-0300-0000B604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58</xdr:row>
      <xdr:rowOff>0</xdr:rowOff>
    </xdr:from>
    <xdr:to>
      <xdr:col>4</xdr:col>
      <xdr:colOff>76200</xdr:colOff>
      <xdr:row>59</xdr:row>
      <xdr:rowOff>0</xdr:rowOff>
    </xdr:to>
    <xdr:sp macro="" textlink="">
      <xdr:nvSpPr>
        <xdr:cNvPr id="1207" name="Text Box 2">
          <a:extLst>
            <a:ext uri="{FF2B5EF4-FFF2-40B4-BE49-F238E27FC236}">
              <a16:creationId xmlns:a16="http://schemas.microsoft.com/office/drawing/2014/main" id="{00000000-0008-0000-0300-0000B704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58</xdr:row>
      <xdr:rowOff>0</xdr:rowOff>
    </xdr:from>
    <xdr:to>
      <xdr:col>4</xdr:col>
      <xdr:colOff>76200</xdr:colOff>
      <xdr:row>59</xdr:row>
      <xdr:rowOff>0</xdr:rowOff>
    </xdr:to>
    <xdr:sp macro="" textlink="">
      <xdr:nvSpPr>
        <xdr:cNvPr id="1208" name="Text Box 1">
          <a:extLst>
            <a:ext uri="{FF2B5EF4-FFF2-40B4-BE49-F238E27FC236}">
              <a16:creationId xmlns:a16="http://schemas.microsoft.com/office/drawing/2014/main" id="{00000000-0008-0000-0300-0000B804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58</xdr:row>
      <xdr:rowOff>0</xdr:rowOff>
    </xdr:from>
    <xdr:to>
      <xdr:col>4</xdr:col>
      <xdr:colOff>76200</xdr:colOff>
      <xdr:row>59</xdr:row>
      <xdr:rowOff>0</xdr:rowOff>
    </xdr:to>
    <xdr:sp macro="" textlink="">
      <xdr:nvSpPr>
        <xdr:cNvPr id="1209" name="Text Box 1">
          <a:extLst>
            <a:ext uri="{FF2B5EF4-FFF2-40B4-BE49-F238E27FC236}">
              <a16:creationId xmlns:a16="http://schemas.microsoft.com/office/drawing/2014/main" id="{00000000-0008-0000-0300-0000B904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58</xdr:row>
      <xdr:rowOff>0</xdr:rowOff>
    </xdr:from>
    <xdr:to>
      <xdr:col>4</xdr:col>
      <xdr:colOff>76200</xdr:colOff>
      <xdr:row>59</xdr:row>
      <xdr:rowOff>0</xdr:rowOff>
    </xdr:to>
    <xdr:sp macro="" textlink="">
      <xdr:nvSpPr>
        <xdr:cNvPr id="1210" name="Text Box 1">
          <a:extLst>
            <a:ext uri="{FF2B5EF4-FFF2-40B4-BE49-F238E27FC236}">
              <a16:creationId xmlns:a16="http://schemas.microsoft.com/office/drawing/2014/main" id="{00000000-0008-0000-0300-0000BA04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58</xdr:row>
      <xdr:rowOff>0</xdr:rowOff>
    </xdr:from>
    <xdr:to>
      <xdr:col>4</xdr:col>
      <xdr:colOff>76200</xdr:colOff>
      <xdr:row>59</xdr:row>
      <xdr:rowOff>0</xdr:rowOff>
    </xdr:to>
    <xdr:sp macro="" textlink="">
      <xdr:nvSpPr>
        <xdr:cNvPr id="1211" name="Text Box 2">
          <a:extLst>
            <a:ext uri="{FF2B5EF4-FFF2-40B4-BE49-F238E27FC236}">
              <a16:creationId xmlns:a16="http://schemas.microsoft.com/office/drawing/2014/main" id="{00000000-0008-0000-0300-0000BB04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58</xdr:row>
      <xdr:rowOff>0</xdr:rowOff>
    </xdr:from>
    <xdr:to>
      <xdr:col>4</xdr:col>
      <xdr:colOff>76200</xdr:colOff>
      <xdr:row>59</xdr:row>
      <xdr:rowOff>0</xdr:rowOff>
    </xdr:to>
    <xdr:sp macro="" textlink="">
      <xdr:nvSpPr>
        <xdr:cNvPr id="1212" name="Text Box 1">
          <a:extLst>
            <a:ext uri="{FF2B5EF4-FFF2-40B4-BE49-F238E27FC236}">
              <a16:creationId xmlns:a16="http://schemas.microsoft.com/office/drawing/2014/main" id="{00000000-0008-0000-0300-0000BC04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58</xdr:row>
      <xdr:rowOff>0</xdr:rowOff>
    </xdr:from>
    <xdr:to>
      <xdr:col>4</xdr:col>
      <xdr:colOff>76200</xdr:colOff>
      <xdr:row>59</xdr:row>
      <xdr:rowOff>0</xdr:rowOff>
    </xdr:to>
    <xdr:sp macro="" textlink="">
      <xdr:nvSpPr>
        <xdr:cNvPr id="1213" name="Text Box 1">
          <a:extLst>
            <a:ext uri="{FF2B5EF4-FFF2-40B4-BE49-F238E27FC236}">
              <a16:creationId xmlns:a16="http://schemas.microsoft.com/office/drawing/2014/main" id="{00000000-0008-0000-0300-0000BD04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58</xdr:row>
      <xdr:rowOff>0</xdr:rowOff>
    </xdr:from>
    <xdr:to>
      <xdr:col>4</xdr:col>
      <xdr:colOff>76200</xdr:colOff>
      <xdr:row>59</xdr:row>
      <xdr:rowOff>0</xdr:rowOff>
    </xdr:to>
    <xdr:sp macro="" textlink="">
      <xdr:nvSpPr>
        <xdr:cNvPr id="1214" name="Text Box 2">
          <a:extLst>
            <a:ext uri="{FF2B5EF4-FFF2-40B4-BE49-F238E27FC236}">
              <a16:creationId xmlns:a16="http://schemas.microsoft.com/office/drawing/2014/main" id="{00000000-0008-0000-0300-0000BE04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58</xdr:row>
      <xdr:rowOff>0</xdr:rowOff>
    </xdr:from>
    <xdr:to>
      <xdr:col>4</xdr:col>
      <xdr:colOff>76200</xdr:colOff>
      <xdr:row>59</xdr:row>
      <xdr:rowOff>0</xdr:rowOff>
    </xdr:to>
    <xdr:sp macro="" textlink="">
      <xdr:nvSpPr>
        <xdr:cNvPr id="1215" name="Text Box 1">
          <a:extLst>
            <a:ext uri="{FF2B5EF4-FFF2-40B4-BE49-F238E27FC236}">
              <a16:creationId xmlns:a16="http://schemas.microsoft.com/office/drawing/2014/main" id="{00000000-0008-0000-0300-0000BF04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58</xdr:row>
      <xdr:rowOff>0</xdr:rowOff>
    </xdr:from>
    <xdr:to>
      <xdr:col>4</xdr:col>
      <xdr:colOff>76200</xdr:colOff>
      <xdr:row>59</xdr:row>
      <xdr:rowOff>0</xdr:rowOff>
    </xdr:to>
    <xdr:sp macro="" textlink="">
      <xdr:nvSpPr>
        <xdr:cNvPr id="1216" name="Text Box 1">
          <a:extLst>
            <a:ext uri="{FF2B5EF4-FFF2-40B4-BE49-F238E27FC236}">
              <a16:creationId xmlns:a16="http://schemas.microsoft.com/office/drawing/2014/main" id="{00000000-0008-0000-0300-0000C004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58</xdr:row>
      <xdr:rowOff>0</xdr:rowOff>
    </xdr:from>
    <xdr:to>
      <xdr:col>4</xdr:col>
      <xdr:colOff>76200</xdr:colOff>
      <xdr:row>59</xdr:row>
      <xdr:rowOff>0</xdr:rowOff>
    </xdr:to>
    <xdr:sp macro="" textlink="">
      <xdr:nvSpPr>
        <xdr:cNvPr id="1217" name="Text Box 1">
          <a:extLst>
            <a:ext uri="{FF2B5EF4-FFF2-40B4-BE49-F238E27FC236}">
              <a16:creationId xmlns:a16="http://schemas.microsoft.com/office/drawing/2014/main" id="{00000000-0008-0000-0300-0000C104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58</xdr:row>
      <xdr:rowOff>0</xdr:rowOff>
    </xdr:from>
    <xdr:to>
      <xdr:col>4</xdr:col>
      <xdr:colOff>76200</xdr:colOff>
      <xdr:row>59</xdr:row>
      <xdr:rowOff>0</xdr:rowOff>
    </xdr:to>
    <xdr:sp macro="" textlink="">
      <xdr:nvSpPr>
        <xdr:cNvPr id="1218" name="Text Box 2">
          <a:extLst>
            <a:ext uri="{FF2B5EF4-FFF2-40B4-BE49-F238E27FC236}">
              <a16:creationId xmlns:a16="http://schemas.microsoft.com/office/drawing/2014/main" id="{00000000-0008-0000-0300-0000C204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58</xdr:row>
      <xdr:rowOff>0</xdr:rowOff>
    </xdr:from>
    <xdr:to>
      <xdr:col>4</xdr:col>
      <xdr:colOff>76200</xdr:colOff>
      <xdr:row>59</xdr:row>
      <xdr:rowOff>0</xdr:rowOff>
    </xdr:to>
    <xdr:sp macro="" textlink="">
      <xdr:nvSpPr>
        <xdr:cNvPr id="1219" name="Text Box 1">
          <a:extLst>
            <a:ext uri="{FF2B5EF4-FFF2-40B4-BE49-F238E27FC236}">
              <a16:creationId xmlns:a16="http://schemas.microsoft.com/office/drawing/2014/main" id="{00000000-0008-0000-0300-0000C304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58</xdr:row>
      <xdr:rowOff>0</xdr:rowOff>
    </xdr:from>
    <xdr:to>
      <xdr:col>4</xdr:col>
      <xdr:colOff>76200</xdr:colOff>
      <xdr:row>59</xdr:row>
      <xdr:rowOff>0</xdr:rowOff>
    </xdr:to>
    <xdr:sp macro="" textlink="">
      <xdr:nvSpPr>
        <xdr:cNvPr id="1220" name="Text Box 1">
          <a:extLst>
            <a:ext uri="{FF2B5EF4-FFF2-40B4-BE49-F238E27FC236}">
              <a16:creationId xmlns:a16="http://schemas.microsoft.com/office/drawing/2014/main" id="{00000000-0008-0000-0300-0000C404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59</xdr:row>
      <xdr:rowOff>0</xdr:rowOff>
    </xdr:from>
    <xdr:to>
      <xdr:col>4</xdr:col>
      <xdr:colOff>76200</xdr:colOff>
      <xdr:row>60</xdr:row>
      <xdr:rowOff>0</xdr:rowOff>
    </xdr:to>
    <xdr:sp macro="" textlink="">
      <xdr:nvSpPr>
        <xdr:cNvPr id="1221" name="Text Box 1">
          <a:extLst>
            <a:ext uri="{FF2B5EF4-FFF2-40B4-BE49-F238E27FC236}">
              <a16:creationId xmlns:a16="http://schemas.microsoft.com/office/drawing/2014/main" id="{00000000-0008-0000-0300-0000C504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59</xdr:row>
      <xdr:rowOff>0</xdr:rowOff>
    </xdr:from>
    <xdr:to>
      <xdr:col>4</xdr:col>
      <xdr:colOff>76200</xdr:colOff>
      <xdr:row>60</xdr:row>
      <xdr:rowOff>0</xdr:rowOff>
    </xdr:to>
    <xdr:sp macro="" textlink="">
      <xdr:nvSpPr>
        <xdr:cNvPr id="1222" name="Text Box 2">
          <a:extLst>
            <a:ext uri="{FF2B5EF4-FFF2-40B4-BE49-F238E27FC236}">
              <a16:creationId xmlns:a16="http://schemas.microsoft.com/office/drawing/2014/main" id="{00000000-0008-0000-0300-0000C604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59</xdr:row>
      <xdr:rowOff>0</xdr:rowOff>
    </xdr:from>
    <xdr:to>
      <xdr:col>4</xdr:col>
      <xdr:colOff>76200</xdr:colOff>
      <xdr:row>60</xdr:row>
      <xdr:rowOff>0</xdr:rowOff>
    </xdr:to>
    <xdr:sp macro="" textlink="">
      <xdr:nvSpPr>
        <xdr:cNvPr id="1223" name="Text Box 1">
          <a:extLst>
            <a:ext uri="{FF2B5EF4-FFF2-40B4-BE49-F238E27FC236}">
              <a16:creationId xmlns:a16="http://schemas.microsoft.com/office/drawing/2014/main" id="{00000000-0008-0000-0300-0000C704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59</xdr:row>
      <xdr:rowOff>0</xdr:rowOff>
    </xdr:from>
    <xdr:to>
      <xdr:col>4</xdr:col>
      <xdr:colOff>76200</xdr:colOff>
      <xdr:row>60</xdr:row>
      <xdr:rowOff>0</xdr:rowOff>
    </xdr:to>
    <xdr:sp macro="" textlink="">
      <xdr:nvSpPr>
        <xdr:cNvPr id="1224" name="Text Box 1">
          <a:extLst>
            <a:ext uri="{FF2B5EF4-FFF2-40B4-BE49-F238E27FC236}">
              <a16:creationId xmlns:a16="http://schemas.microsoft.com/office/drawing/2014/main" id="{00000000-0008-0000-0300-0000C804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59</xdr:row>
      <xdr:rowOff>0</xdr:rowOff>
    </xdr:from>
    <xdr:to>
      <xdr:col>4</xdr:col>
      <xdr:colOff>76200</xdr:colOff>
      <xdr:row>60</xdr:row>
      <xdr:rowOff>0</xdr:rowOff>
    </xdr:to>
    <xdr:sp macro="" textlink="">
      <xdr:nvSpPr>
        <xdr:cNvPr id="1225" name="Text Box 1">
          <a:extLst>
            <a:ext uri="{FF2B5EF4-FFF2-40B4-BE49-F238E27FC236}">
              <a16:creationId xmlns:a16="http://schemas.microsoft.com/office/drawing/2014/main" id="{00000000-0008-0000-0300-0000C904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59</xdr:row>
      <xdr:rowOff>0</xdr:rowOff>
    </xdr:from>
    <xdr:to>
      <xdr:col>4</xdr:col>
      <xdr:colOff>76200</xdr:colOff>
      <xdr:row>60</xdr:row>
      <xdr:rowOff>0</xdr:rowOff>
    </xdr:to>
    <xdr:sp macro="" textlink="">
      <xdr:nvSpPr>
        <xdr:cNvPr id="1226" name="Text Box 2">
          <a:extLst>
            <a:ext uri="{FF2B5EF4-FFF2-40B4-BE49-F238E27FC236}">
              <a16:creationId xmlns:a16="http://schemas.microsoft.com/office/drawing/2014/main" id="{00000000-0008-0000-0300-0000CA04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59</xdr:row>
      <xdr:rowOff>0</xdr:rowOff>
    </xdr:from>
    <xdr:to>
      <xdr:col>4</xdr:col>
      <xdr:colOff>76200</xdr:colOff>
      <xdr:row>60</xdr:row>
      <xdr:rowOff>0</xdr:rowOff>
    </xdr:to>
    <xdr:sp macro="" textlink="">
      <xdr:nvSpPr>
        <xdr:cNvPr id="1227" name="Text Box 1">
          <a:extLst>
            <a:ext uri="{FF2B5EF4-FFF2-40B4-BE49-F238E27FC236}">
              <a16:creationId xmlns:a16="http://schemas.microsoft.com/office/drawing/2014/main" id="{00000000-0008-0000-0300-0000CB04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59</xdr:row>
      <xdr:rowOff>0</xdr:rowOff>
    </xdr:from>
    <xdr:to>
      <xdr:col>4</xdr:col>
      <xdr:colOff>76200</xdr:colOff>
      <xdr:row>60</xdr:row>
      <xdr:rowOff>0</xdr:rowOff>
    </xdr:to>
    <xdr:sp macro="" textlink="">
      <xdr:nvSpPr>
        <xdr:cNvPr id="1228" name="Text Box 1">
          <a:extLst>
            <a:ext uri="{FF2B5EF4-FFF2-40B4-BE49-F238E27FC236}">
              <a16:creationId xmlns:a16="http://schemas.microsoft.com/office/drawing/2014/main" id="{00000000-0008-0000-0300-0000CC04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59</xdr:row>
      <xdr:rowOff>0</xdr:rowOff>
    </xdr:from>
    <xdr:to>
      <xdr:col>4</xdr:col>
      <xdr:colOff>76200</xdr:colOff>
      <xdr:row>60</xdr:row>
      <xdr:rowOff>0</xdr:rowOff>
    </xdr:to>
    <xdr:sp macro="" textlink="">
      <xdr:nvSpPr>
        <xdr:cNvPr id="1229" name="Text Box 1">
          <a:extLst>
            <a:ext uri="{FF2B5EF4-FFF2-40B4-BE49-F238E27FC236}">
              <a16:creationId xmlns:a16="http://schemas.microsoft.com/office/drawing/2014/main" id="{00000000-0008-0000-0300-0000CD04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59</xdr:row>
      <xdr:rowOff>0</xdr:rowOff>
    </xdr:from>
    <xdr:to>
      <xdr:col>4</xdr:col>
      <xdr:colOff>76200</xdr:colOff>
      <xdr:row>60</xdr:row>
      <xdr:rowOff>0</xdr:rowOff>
    </xdr:to>
    <xdr:sp macro="" textlink="">
      <xdr:nvSpPr>
        <xdr:cNvPr id="1230" name="Text Box 2">
          <a:extLst>
            <a:ext uri="{FF2B5EF4-FFF2-40B4-BE49-F238E27FC236}">
              <a16:creationId xmlns:a16="http://schemas.microsoft.com/office/drawing/2014/main" id="{00000000-0008-0000-0300-0000CE04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59</xdr:row>
      <xdr:rowOff>0</xdr:rowOff>
    </xdr:from>
    <xdr:to>
      <xdr:col>4</xdr:col>
      <xdr:colOff>76200</xdr:colOff>
      <xdr:row>60</xdr:row>
      <xdr:rowOff>0</xdr:rowOff>
    </xdr:to>
    <xdr:sp macro="" textlink="">
      <xdr:nvSpPr>
        <xdr:cNvPr id="1231" name="Text Box 1">
          <a:extLst>
            <a:ext uri="{FF2B5EF4-FFF2-40B4-BE49-F238E27FC236}">
              <a16:creationId xmlns:a16="http://schemas.microsoft.com/office/drawing/2014/main" id="{00000000-0008-0000-0300-0000CF04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59</xdr:row>
      <xdr:rowOff>0</xdr:rowOff>
    </xdr:from>
    <xdr:to>
      <xdr:col>4</xdr:col>
      <xdr:colOff>76200</xdr:colOff>
      <xdr:row>60</xdr:row>
      <xdr:rowOff>0</xdr:rowOff>
    </xdr:to>
    <xdr:sp macro="" textlink="">
      <xdr:nvSpPr>
        <xdr:cNvPr id="1232" name="Text Box 1">
          <a:extLst>
            <a:ext uri="{FF2B5EF4-FFF2-40B4-BE49-F238E27FC236}">
              <a16:creationId xmlns:a16="http://schemas.microsoft.com/office/drawing/2014/main" id="{00000000-0008-0000-0300-0000D004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59</xdr:row>
      <xdr:rowOff>0</xdr:rowOff>
    </xdr:from>
    <xdr:to>
      <xdr:col>4</xdr:col>
      <xdr:colOff>76200</xdr:colOff>
      <xdr:row>60</xdr:row>
      <xdr:rowOff>0</xdr:rowOff>
    </xdr:to>
    <xdr:sp macro="" textlink="">
      <xdr:nvSpPr>
        <xdr:cNvPr id="1233" name="Text Box 1">
          <a:extLst>
            <a:ext uri="{FF2B5EF4-FFF2-40B4-BE49-F238E27FC236}">
              <a16:creationId xmlns:a16="http://schemas.microsoft.com/office/drawing/2014/main" id="{00000000-0008-0000-0300-0000D104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59</xdr:row>
      <xdr:rowOff>0</xdr:rowOff>
    </xdr:from>
    <xdr:to>
      <xdr:col>4</xdr:col>
      <xdr:colOff>76200</xdr:colOff>
      <xdr:row>60</xdr:row>
      <xdr:rowOff>0</xdr:rowOff>
    </xdr:to>
    <xdr:sp macro="" textlink="">
      <xdr:nvSpPr>
        <xdr:cNvPr id="1234" name="Text Box 2">
          <a:extLst>
            <a:ext uri="{FF2B5EF4-FFF2-40B4-BE49-F238E27FC236}">
              <a16:creationId xmlns:a16="http://schemas.microsoft.com/office/drawing/2014/main" id="{00000000-0008-0000-0300-0000D204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59</xdr:row>
      <xdr:rowOff>0</xdr:rowOff>
    </xdr:from>
    <xdr:to>
      <xdr:col>4</xdr:col>
      <xdr:colOff>76200</xdr:colOff>
      <xdr:row>60</xdr:row>
      <xdr:rowOff>0</xdr:rowOff>
    </xdr:to>
    <xdr:sp macro="" textlink="">
      <xdr:nvSpPr>
        <xdr:cNvPr id="1235" name="Text Box 1">
          <a:extLst>
            <a:ext uri="{FF2B5EF4-FFF2-40B4-BE49-F238E27FC236}">
              <a16:creationId xmlns:a16="http://schemas.microsoft.com/office/drawing/2014/main" id="{00000000-0008-0000-0300-0000D304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59</xdr:row>
      <xdr:rowOff>0</xdr:rowOff>
    </xdr:from>
    <xdr:to>
      <xdr:col>4</xdr:col>
      <xdr:colOff>76200</xdr:colOff>
      <xdr:row>60</xdr:row>
      <xdr:rowOff>0</xdr:rowOff>
    </xdr:to>
    <xdr:sp macro="" textlink="">
      <xdr:nvSpPr>
        <xdr:cNvPr id="1236" name="Text Box 1">
          <a:extLst>
            <a:ext uri="{FF2B5EF4-FFF2-40B4-BE49-F238E27FC236}">
              <a16:creationId xmlns:a16="http://schemas.microsoft.com/office/drawing/2014/main" id="{00000000-0008-0000-0300-0000D404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59</xdr:row>
      <xdr:rowOff>0</xdr:rowOff>
    </xdr:from>
    <xdr:to>
      <xdr:col>4</xdr:col>
      <xdr:colOff>76200</xdr:colOff>
      <xdr:row>60</xdr:row>
      <xdr:rowOff>0</xdr:rowOff>
    </xdr:to>
    <xdr:sp macro="" textlink="">
      <xdr:nvSpPr>
        <xdr:cNvPr id="1237" name="Text Box 2">
          <a:extLst>
            <a:ext uri="{FF2B5EF4-FFF2-40B4-BE49-F238E27FC236}">
              <a16:creationId xmlns:a16="http://schemas.microsoft.com/office/drawing/2014/main" id="{00000000-0008-0000-0300-0000D504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59</xdr:row>
      <xdr:rowOff>0</xdr:rowOff>
    </xdr:from>
    <xdr:to>
      <xdr:col>4</xdr:col>
      <xdr:colOff>76200</xdr:colOff>
      <xdr:row>60</xdr:row>
      <xdr:rowOff>0</xdr:rowOff>
    </xdr:to>
    <xdr:sp macro="" textlink="">
      <xdr:nvSpPr>
        <xdr:cNvPr id="1238" name="Text Box 1">
          <a:extLst>
            <a:ext uri="{FF2B5EF4-FFF2-40B4-BE49-F238E27FC236}">
              <a16:creationId xmlns:a16="http://schemas.microsoft.com/office/drawing/2014/main" id="{00000000-0008-0000-0300-0000D604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59</xdr:row>
      <xdr:rowOff>0</xdr:rowOff>
    </xdr:from>
    <xdr:to>
      <xdr:col>4</xdr:col>
      <xdr:colOff>76200</xdr:colOff>
      <xdr:row>60</xdr:row>
      <xdr:rowOff>0</xdr:rowOff>
    </xdr:to>
    <xdr:sp macro="" textlink="">
      <xdr:nvSpPr>
        <xdr:cNvPr id="1239" name="Text Box 1">
          <a:extLst>
            <a:ext uri="{FF2B5EF4-FFF2-40B4-BE49-F238E27FC236}">
              <a16:creationId xmlns:a16="http://schemas.microsoft.com/office/drawing/2014/main" id="{00000000-0008-0000-0300-0000D704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59</xdr:row>
      <xdr:rowOff>0</xdr:rowOff>
    </xdr:from>
    <xdr:to>
      <xdr:col>4</xdr:col>
      <xdr:colOff>76200</xdr:colOff>
      <xdr:row>60</xdr:row>
      <xdr:rowOff>0</xdr:rowOff>
    </xdr:to>
    <xdr:sp macro="" textlink="">
      <xdr:nvSpPr>
        <xdr:cNvPr id="1240" name="Text Box 1">
          <a:extLst>
            <a:ext uri="{FF2B5EF4-FFF2-40B4-BE49-F238E27FC236}">
              <a16:creationId xmlns:a16="http://schemas.microsoft.com/office/drawing/2014/main" id="{00000000-0008-0000-0300-0000D804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59</xdr:row>
      <xdr:rowOff>0</xdr:rowOff>
    </xdr:from>
    <xdr:to>
      <xdr:col>4</xdr:col>
      <xdr:colOff>76200</xdr:colOff>
      <xdr:row>60</xdr:row>
      <xdr:rowOff>0</xdr:rowOff>
    </xdr:to>
    <xdr:sp macro="" textlink="">
      <xdr:nvSpPr>
        <xdr:cNvPr id="1241" name="Text Box 2">
          <a:extLst>
            <a:ext uri="{FF2B5EF4-FFF2-40B4-BE49-F238E27FC236}">
              <a16:creationId xmlns:a16="http://schemas.microsoft.com/office/drawing/2014/main" id="{00000000-0008-0000-0300-0000D904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59</xdr:row>
      <xdr:rowOff>0</xdr:rowOff>
    </xdr:from>
    <xdr:to>
      <xdr:col>4</xdr:col>
      <xdr:colOff>76200</xdr:colOff>
      <xdr:row>60</xdr:row>
      <xdr:rowOff>0</xdr:rowOff>
    </xdr:to>
    <xdr:sp macro="" textlink="">
      <xdr:nvSpPr>
        <xdr:cNvPr id="1242" name="Text Box 1">
          <a:extLst>
            <a:ext uri="{FF2B5EF4-FFF2-40B4-BE49-F238E27FC236}">
              <a16:creationId xmlns:a16="http://schemas.microsoft.com/office/drawing/2014/main" id="{00000000-0008-0000-0300-0000DA04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59</xdr:row>
      <xdr:rowOff>0</xdr:rowOff>
    </xdr:from>
    <xdr:to>
      <xdr:col>4</xdr:col>
      <xdr:colOff>76200</xdr:colOff>
      <xdr:row>60</xdr:row>
      <xdr:rowOff>0</xdr:rowOff>
    </xdr:to>
    <xdr:sp macro="" textlink="">
      <xdr:nvSpPr>
        <xdr:cNvPr id="1243" name="Text Box 1">
          <a:extLst>
            <a:ext uri="{FF2B5EF4-FFF2-40B4-BE49-F238E27FC236}">
              <a16:creationId xmlns:a16="http://schemas.microsoft.com/office/drawing/2014/main" id="{00000000-0008-0000-0300-0000DB04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60</xdr:row>
      <xdr:rowOff>0</xdr:rowOff>
    </xdr:from>
    <xdr:to>
      <xdr:col>4</xdr:col>
      <xdr:colOff>76200</xdr:colOff>
      <xdr:row>61</xdr:row>
      <xdr:rowOff>0</xdr:rowOff>
    </xdr:to>
    <xdr:sp macro="" textlink="">
      <xdr:nvSpPr>
        <xdr:cNvPr id="1244" name="Text Box 1">
          <a:extLst>
            <a:ext uri="{FF2B5EF4-FFF2-40B4-BE49-F238E27FC236}">
              <a16:creationId xmlns:a16="http://schemas.microsoft.com/office/drawing/2014/main" id="{00000000-0008-0000-0300-0000DC04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60</xdr:row>
      <xdr:rowOff>0</xdr:rowOff>
    </xdr:from>
    <xdr:to>
      <xdr:col>4</xdr:col>
      <xdr:colOff>76200</xdr:colOff>
      <xdr:row>61</xdr:row>
      <xdr:rowOff>0</xdr:rowOff>
    </xdr:to>
    <xdr:sp macro="" textlink="">
      <xdr:nvSpPr>
        <xdr:cNvPr id="1245" name="Text Box 2">
          <a:extLst>
            <a:ext uri="{FF2B5EF4-FFF2-40B4-BE49-F238E27FC236}">
              <a16:creationId xmlns:a16="http://schemas.microsoft.com/office/drawing/2014/main" id="{00000000-0008-0000-0300-0000DD04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60</xdr:row>
      <xdr:rowOff>0</xdr:rowOff>
    </xdr:from>
    <xdr:to>
      <xdr:col>4</xdr:col>
      <xdr:colOff>76200</xdr:colOff>
      <xdr:row>61</xdr:row>
      <xdr:rowOff>0</xdr:rowOff>
    </xdr:to>
    <xdr:sp macro="" textlink="">
      <xdr:nvSpPr>
        <xdr:cNvPr id="1246" name="Text Box 1">
          <a:extLst>
            <a:ext uri="{FF2B5EF4-FFF2-40B4-BE49-F238E27FC236}">
              <a16:creationId xmlns:a16="http://schemas.microsoft.com/office/drawing/2014/main" id="{00000000-0008-0000-0300-0000DE04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60</xdr:row>
      <xdr:rowOff>0</xdr:rowOff>
    </xdr:from>
    <xdr:to>
      <xdr:col>4</xdr:col>
      <xdr:colOff>76200</xdr:colOff>
      <xdr:row>61</xdr:row>
      <xdr:rowOff>0</xdr:rowOff>
    </xdr:to>
    <xdr:sp macro="" textlink="">
      <xdr:nvSpPr>
        <xdr:cNvPr id="1247" name="Text Box 1">
          <a:extLst>
            <a:ext uri="{FF2B5EF4-FFF2-40B4-BE49-F238E27FC236}">
              <a16:creationId xmlns:a16="http://schemas.microsoft.com/office/drawing/2014/main" id="{00000000-0008-0000-0300-0000DF04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60</xdr:row>
      <xdr:rowOff>0</xdr:rowOff>
    </xdr:from>
    <xdr:to>
      <xdr:col>4</xdr:col>
      <xdr:colOff>76200</xdr:colOff>
      <xdr:row>61</xdr:row>
      <xdr:rowOff>0</xdr:rowOff>
    </xdr:to>
    <xdr:sp macro="" textlink="">
      <xdr:nvSpPr>
        <xdr:cNvPr id="1248" name="Text Box 1">
          <a:extLst>
            <a:ext uri="{FF2B5EF4-FFF2-40B4-BE49-F238E27FC236}">
              <a16:creationId xmlns:a16="http://schemas.microsoft.com/office/drawing/2014/main" id="{00000000-0008-0000-0300-0000E004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60</xdr:row>
      <xdr:rowOff>0</xdr:rowOff>
    </xdr:from>
    <xdr:to>
      <xdr:col>4</xdr:col>
      <xdr:colOff>76200</xdr:colOff>
      <xdr:row>61</xdr:row>
      <xdr:rowOff>0</xdr:rowOff>
    </xdr:to>
    <xdr:sp macro="" textlink="">
      <xdr:nvSpPr>
        <xdr:cNvPr id="1249" name="Text Box 2">
          <a:extLst>
            <a:ext uri="{FF2B5EF4-FFF2-40B4-BE49-F238E27FC236}">
              <a16:creationId xmlns:a16="http://schemas.microsoft.com/office/drawing/2014/main" id="{00000000-0008-0000-0300-0000E104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60</xdr:row>
      <xdr:rowOff>0</xdr:rowOff>
    </xdr:from>
    <xdr:to>
      <xdr:col>4</xdr:col>
      <xdr:colOff>76200</xdr:colOff>
      <xdr:row>61</xdr:row>
      <xdr:rowOff>0</xdr:rowOff>
    </xdr:to>
    <xdr:sp macro="" textlink="">
      <xdr:nvSpPr>
        <xdr:cNvPr id="1250" name="Text Box 1">
          <a:extLst>
            <a:ext uri="{FF2B5EF4-FFF2-40B4-BE49-F238E27FC236}">
              <a16:creationId xmlns:a16="http://schemas.microsoft.com/office/drawing/2014/main" id="{00000000-0008-0000-0300-0000E204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60</xdr:row>
      <xdr:rowOff>0</xdr:rowOff>
    </xdr:from>
    <xdr:to>
      <xdr:col>4</xdr:col>
      <xdr:colOff>76200</xdr:colOff>
      <xdr:row>61</xdr:row>
      <xdr:rowOff>0</xdr:rowOff>
    </xdr:to>
    <xdr:sp macro="" textlink="">
      <xdr:nvSpPr>
        <xdr:cNvPr id="1251" name="Text Box 1">
          <a:extLst>
            <a:ext uri="{FF2B5EF4-FFF2-40B4-BE49-F238E27FC236}">
              <a16:creationId xmlns:a16="http://schemas.microsoft.com/office/drawing/2014/main" id="{00000000-0008-0000-0300-0000E304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60</xdr:row>
      <xdr:rowOff>0</xdr:rowOff>
    </xdr:from>
    <xdr:to>
      <xdr:col>4</xdr:col>
      <xdr:colOff>76200</xdr:colOff>
      <xdr:row>61</xdr:row>
      <xdr:rowOff>0</xdr:rowOff>
    </xdr:to>
    <xdr:sp macro="" textlink="">
      <xdr:nvSpPr>
        <xdr:cNvPr id="1252" name="Text Box 1">
          <a:extLst>
            <a:ext uri="{FF2B5EF4-FFF2-40B4-BE49-F238E27FC236}">
              <a16:creationId xmlns:a16="http://schemas.microsoft.com/office/drawing/2014/main" id="{00000000-0008-0000-0300-0000E404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60</xdr:row>
      <xdr:rowOff>0</xdr:rowOff>
    </xdr:from>
    <xdr:to>
      <xdr:col>4</xdr:col>
      <xdr:colOff>76200</xdr:colOff>
      <xdr:row>61</xdr:row>
      <xdr:rowOff>0</xdr:rowOff>
    </xdr:to>
    <xdr:sp macro="" textlink="">
      <xdr:nvSpPr>
        <xdr:cNvPr id="1253" name="Text Box 2">
          <a:extLst>
            <a:ext uri="{FF2B5EF4-FFF2-40B4-BE49-F238E27FC236}">
              <a16:creationId xmlns:a16="http://schemas.microsoft.com/office/drawing/2014/main" id="{00000000-0008-0000-0300-0000E504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60</xdr:row>
      <xdr:rowOff>0</xdr:rowOff>
    </xdr:from>
    <xdr:to>
      <xdr:col>4</xdr:col>
      <xdr:colOff>76200</xdr:colOff>
      <xdr:row>61</xdr:row>
      <xdr:rowOff>0</xdr:rowOff>
    </xdr:to>
    <xdr:sp macro="" textlink="">
      <xdr:nvSpPr>
        <xdr:cNvPr id="1254" name="Text Box 1">
          <a:extLst>
            <a:ext uri="{FF2B5EF4-FFF2-40B4-BE49-F238E27FC236}">
              <a16:creationId xmlns:a16="http://schemas.microsoft.com/office/drawing/2014/main" id="{00000000-0008-0000-0300-0000E604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60</xdr:row>
      <xdr:rowOff>0</xdr:rowOff>
    </xdr:from>
    <xdr:to>
      <xdr:col>4</xdr:col>
      <xdr:colOff>76200</xdr:colOff>
      <xdr:row>61</xdr:row>
      <xdr:rowOff>0</xdr:rowOff>
    </xdr:to>
    <xdr:sp macro="" textlink="">
      <xdr:nvSpPr>
        <xdr:cNvPr id="1255" name="Text Box 1">
          <a:extLst>
            <a:ext uri="{FF2B5EF4-FFF2-40B4-BE49-F238E27FC236}">
              <a16:creationId xmlns:a16="http://schemas.microsoft.com/office/drawing/2014/main" id="{00000000-0008-0000-0300-0000E704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60</xdr:row>
      <xdr:rowOff>0</xdr:rowOff>
    </xdr:from>
    <xdr:to>
      <xdr:col>4</xdr:col>
      <xdr:colOff>76200</xdr:colOff>
      <xdr:row>61</xdr:row>
      <xdr:rowOff>0</xdr:rowOff>
    </xdr:to>
    <xdr:sp macro="" textlink="">
      <xdr:nvSpPr>
        <xdr:cNvPr id="1256" name="Text Box 1">
          <a:extLst>
            <a:ext uri="{FF2B5EF4-FFF2-40B4-BE49-F238E27FC236}">
              <a16:creationId xmlns:a16="http://schemas.microsoft.com/office/drawing/2014/main" id="{00000000-0008-0000-0300-0000E804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60</xdr:row>
      <xdr:rowOff>0</xdr:rowOff>
    </xdr:from>
    <xdr:to>
      <xdr:col>4</xdr:col>
      <xdr:colOff>76200</xdr:colOff>
      <xdr:row>61</xdr:row>
      <xdr:rowOff>0</xdr:rowOff>
    </xdr:to>
    <xdr:sp macro="" textlink="">
      <xdr:nvSpPr>
        <xdr:cNvPr id="1257" name="Text Box 2">
          <a:extLst>
            <a:ext uri="{FF2B5EF4-FFF2-40B4-BE49-F238E27FC236}">
              <a16:creationId xmlns:a16="http://schemas.microsoft.com/office/drawing/2014/main" id="{00000000-0008-0000-0300-0000E904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60</xdr:row>
      <xdr:rowOff>0</xdr:rowOff>
    </xdr:from>
    <xdr:to>
      <xdr:col>4</xdr:col>
      <xdr:colOff>76200</xdr:colOff>
      <xdr:row>61</xdr:row>
      <xdr:rowOff>0</xdr:rowOff>
    </xdr:to>
    <xdr:sp macro="" textlink="">
      <xdr:nvSpPr>
        <xdr:cNvPr id="1258" name="Text Box 1">
          <a:extLst>
            <a:ext uri="{FF2B5EF4-FFF2-40B4-BE49-F238E27FC236}">
              <a16:creationId xmlns:a16="http://schemas.microsoft.com/office/drawing/2014/main" id="{00000000-0008-0000-0300-0000EA04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60</xdr:row>
      <xdr:rowOff>0</xdr:rowOff>
    </xdr:from>
    <xdr:to>
      <xdr:col>4</xdr:col>
      <xdr:colOff>76200</xdr:colOff>
      <xdr:row>61</xdr:row>
      <xdr:rowOff>0</xdr:rowOff>
    </xdr:to>
    <xdr:sp macro="" textlink="">
      <xdr:nvSpPr>
        <xdr:cNvPr id="1259" name="Text Box 1">
          <a:extLst>
            <a:ext uri="{FF2B5EF4-FFF2-40B4-BE49-F238E27FC236}">
              <a16:creationId xmlns:a16="http://schemas.microsoft.com/office/drawing/2014/main" id="{00000000-0008-0000-0300-0000EB04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60</xdr:row>
      <xdr:rowOff>0</xdr:rowOff>
    </xdr:from>
    <xdr:to>
      <xdr:col>4</xdr:col>
      <xdr:colOff>76200</xdr:colOff>
      <xdr:row>61</xdr:row>
      <xdr:rowOff>0</xdr:rowOff>
    </xdr:to>
    <xdr:sp macro="" textlink="">
      <xdr:nvSpPr>
        <xdr:cNvPr id="1260" name="Text Box 2">
          <a:extLst>
            <a:ext uri="{FF2B5EF4-FFF2-40B4-BE49-F238E27FC236}">
              <a16:creationId xmlns:a16="http://schemas.microsoft.com/office/drawing/2014/main" id="{00000000-0008-0000-0300-0000EC04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60</xdr:row>
      <xdr:rowOff>0</xdr:rowOff>
    </xdr:from>
    <xdr:to>
      <xdr:col>4</xdr:col>
      <xdr:colOff>76200</xdr:colOff>
      <xdr:row>61</xdr:row>
      <xdr:rowOff>0</xdr:rowOff>
    </xdr:to>
    <xdr:sp macro="" textlink="">
      <xdr:nvSpPr>
        <xdr:cNvPr id="1261" name="Text Box 1">
          <a:extLst>
            <a:ext uri="{FF2B5EF4-FFF2-40B4-BE49-F238E27FC236}">
              <a16:creationId xmlns:a16="http://schemas.microsoft.com/office/drawing/2014/main" id="{00000000-0008-0000-0300-0000ED04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60</xdr:row>
      <xdr:rowOff>0</xdr:rowOff>
    </xdr:from>
    <xdr:to>
      <xdr:col>4</xdr:col>
      <xdr:colOff>76200</xdr:colOff>
      <xdr:row>61</xdr:row>
      <xdr:rowOff>0</xdr:rowOff>
    </xdr:to>
    <xdr:sp macro="" textlink="">
      <xdr:nvSpPr>
        <xdr:cNvPr id="1262" name="Text Box 1">
          <a:extLst>
            <a:ext uri="{FF2B5EF4-FFF2-40B4-BE49-F238E27FC236}">
              <a16:creationId xmlns:a16="http://schemas.microsoft.com/office/drawing/2014/main" id="{00000000-0008-0000-0300-0000EE04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60</xdr:row>
      <xdr:rowOff>0</xdr:rowOff>
    </xdr:from>
    <xdr:to>
      <xdr:col>4</xdr:col>
      <xdr:colOff>76200</xdr:colOff>
      <xdr:row>61</xdr:row>
      <xdr:rowOff>0</xdr:rowOff>
    </xdr:to>
    <xdr:sp macro="" textlink="">
      <xdr:nvSpPr>
        <xdr:cNvPr id="1263" name="Text Box 1">
          <a:extLst>
            <a:ext uri="{FF2B5EF4-FFF2-40B4-BE49-F238E27FC236}">
              <a16:creationId xmlns:a16="http://schemas.microsoft.com/office/drawing/2014/main" id="{00000000-0008-0000-0300-0000EF04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60</xdr:row>
      <xdr:rowOff>0</xdr:rowOff>
    </xdr:from>
    <xdr:to>
      <xdr:col>4</xdr:col>
      <xdr:colOff>76200</xdr:colOff>
      <xdr:row>61</xdr:row>
      <xdr:rowOff>0</xdr:rowOff>
    </xdr:to>
    <xdr:sp macro="" textlink="">
      <xdr:nvSpPr>
        <xdr:cNvPr id="1264" name="Text Box 2">
          <a:extLst>
            <a:ext uri="{FF2B5EF4-FFF2-40B4-BE49-F238E27FC236}">
              <a16:creationId xmlns:a16="http://schemas.microsoft.com/office/drawing/2014/main" id="{00000000-0008-0000-0300-0000F004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60</xdr:row>
      <xdr:rowOff>0</xdr:rowOff>
    </xdr:from>
    <xdr:to>
      <xdr:col>4</xdr:col>
      <xdr:colOff>76200</xdr:colOff>
      <xdr:row>61</xdr:row>
      <xdr:rowOff>0</xdr:rowOff>
    </xdr:to>
    <xdr:sp macro="" textlink="">
      <xdr:nvSpPr>
        <xdr:cNvPr id="1265" name="Text Box 1">
          <a:extLst>
            <a:ext uri="{FF2B5EF4-FFF2-40B4-BE49-F238E27FC236}">
              <a16:creationId xmlns:a16="http://schemas.microsoft.com/office/drawing/2014/main" id="{00000000-0008-0000-0300-0000F104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60</xdr:row>
      <xdr:rowOff>0</xdr:rowOff>
    </xdr:from>
    <xdr:to>
      <xdr:col>4</xdr:col>
      <xdr:colOff>76200</xdr:colOff>
      <xdr:row>61</xdr:row>
      <xdr:rowOff>0</xdr:rowOff>
    </xdr:to>
    <xdr:sp macro="" textlink="">
      <xdr:nvSpPr>
        <xdr:cNvPr id="1266" name="Text Box 1">
          <a:extLst>
            <a:ext uri="{FF2B5EF4-FFF2-40B4-BE49-F238E27FC236}">
              <a16:creationId xmlns:a16="http://schemas.microsoft.com/office/drawing/2014/main" id="{00000000-0008-0000-0300-0000F204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61</xdr:row>
      <xdr:rowOff>0</xdr:rowOff>
    </xdr:from>
    <xdr:to>
      <xdr:col>4</xdr:col>
      <xdr:colOff>76200</xdr:colOff>
      <xdr:row>62</xdr:row>
      <xdr:rowOff>0</xdr:rowOff>
    </xdr:to>
    <xdr:sp macro="" textlink="">
      <xdr:nvSpPr>
        <xdr:cNvPr id="1267" name="Text Box 1">
          <a:extLst>
            <a:ext uri="{FF2B5EF4-FFF2-40B4-BE49-F238E27FC236}">
              <a16:creationId xmlns:a16="http://schemas.microsoft.com/office/drawing/2014/main" id="{00000000-0008-0000-0300-0000F304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61</xdr:row>
      <xdr:rowOff>0</xdr:rowOff>
    </xdr:from>
    <xdr:to>
      <xdr:col>4</xdr:col>
      <xdr:colOff>76200</xdr:colOff>
      <xdr:row>62</xdr:row>
      <xdr:rowOff>0</xdr:rowOff>
    </xdr:to>
    <xdr:sp macro="" textlink="">
      <xdr:nvSpPr>
        <xdr:cNvPr id="1268" name="Text Box 2">
          <a:extLst>
            <a:ext uri="{FF2B5EF4-FFF2-40B4-BE49-F238E27FC236}">
              <a16:creationId xmlns:a16="http://schemas.microsoft.com/office/drawing/2014/main" id="{00000000-0008-0000-0300-0000F404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61</xdr:row>
      <xdr:rowOff>0</xdr:rowOff>
    </xdr:from>
    <xdr:to>
      <xdr:col>4</xdr:col>
      <xdr:colOff>76200</xdr:colOff>
      <xdr:row>62</xdr:row>
      <xdr:rowOff>0</xdr:rowOff>
    </xdr:to>
    <xdr:sp macro="" textlink="">
      <xdr:nvSpPr>
        <xdr:cNvPr id="1269" name="Text Box 1">
          <a:extLst>
            <a:ext uri="{FF2B5EF4-FFF2-40B4-BE49-F238E27FC236}">
              <a16:creationId xmlns:a16="http://schemas.microsoft.com/office/drawing/2014/main" id="{00000000-0008-0000-0300-0000F504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61</xdr:row>
      <xdr:rowOff>0</xdr:rowOff>
    </xdr:from>
    <xdr:to>
      <xdr:col>4</xdr:col>
      <xdr:colOff>76200</xdr:colOff>
      <xdr:row>62</xdr:row>
      <xdr:rowOff>0</xdr:rowOff>
    </xdr:to>
    <xdr:sp macro="" textlink="">
      <xdr:nvSpPr>
        <xdr:cNvPr id="1270" name="Text Box 1">
          <a:extLst>
            <a:ext uri="{FF2B5EF4-FFF2-40B4-BE49-F238E27FC236}">
              <a16:creationId xmlns:a16="http://schemas.microsoft.com/office/drawing/2014/main" id="{00000000-0008-0000-0300-0000F604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61</xdr:row>
      <xdr:rowOff>0</xdr:rowOff>
    </xdr:from>
    <xdr:to>
      <xdr:col>4</xdr:col>
      <xdr:colOff>76200</xdr:colOff>
      <xdr:row>62</xdr:row>
      <xdr:rowOff>0</xdr:rowOff>
    </xdr:to>
    <xdr:sp macro="" textlink="">
      <xdr:nvSpPr>
        <xdr:cNvPr id="1271" name="Text Box 1">
          <a:extLst>
            <a:ext uri="{FF2B5EF4-FFF2-40B4-BE49-F238E27FC236}">
              <a16:creationId xmlns:a16="http://schemas.microsoft.com/office/drawing/2014/main" id="{00000000-0008-0000-0300-0000F704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61</xdr:row>
      <xdr:rowOff>0</xdr:rowOff>
    </xdr:from>
    <xdr:to>
      <xdr:col>4</xdr:col>
      <xdr:colOff>76200</xdr:colOff>
      <xdr:row>62</xdr:row>
      <xdr:rowOff>0</xdr:rowOff>
    </xdr:to>
    <xdr:sp macro="" textlink="">
      <xdr:nvSpPr>
        <xdr:cNvPr id="1272" name="Text Box 2">
          <a:extLst>
            <a:ext uri="{FF2B5EF4-FFF2-40B4-BE49-F238E27FC236}">
              <a16:creationId xmlns:a16="http://schemas.microsoft.com/office/drawing/2014/main" id="{00000000-0008-0000-0300-0000F804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61</xdr:row>
      <xdr:rowOff>0</xdr:rowOff>
    </xdr:from>
    <xdr:to>
      <xdr:col>4</xdr:col>
      <xdr:colOff>76200</xdr:colOff>
      <xdr:row>62</xdr:row>
      <xdr:rowOff>0</xdr:rowOff>
    </xdr:to>
    <xdr:sp macro="" textlink="">
      <xdr:nvSpPr>
        <xdr:cNvPr id="1273" name="Text Box 1">
          <a:extLst>
            <a:ext uri="{FF2B5EF4-FFF2-40B4-BE49-F238E27FC236}">
              <a16:creationId xmlns:a16="http://schemas.microsoft.com/office/drawing/2014/main" id="{00000000-0008-0000-0300-0000F904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61</xdr:row>
      <xdr:rowOff>0</xdr:rowOff>
    </xdr:from>
    <xdr:to>
      <xdr:col>4</xdr:col>
      <xdr:colOff>76200</xdr:colOff>
      <xdr:row>62</xdr:row>
      <xdr:rowOff>0</xdr:rowOff>
    </xdr:to>
    <xdr:sp macro="" textlink="">
      <xdr:nvSpPr>
        <xdr:cNvPr id="1274" name="Text Box 1">
          <a:extLst>
            <a:ext uri="{FF2B5EF4-FFF2-40B4-BE49-F238E27FC236}">
              <a16:creationId xmlns:a16="http://schemas.microsoft.com/office/drawing/2014/main" id="{00000000-0008-0000-0300-0000FA04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61</xdr:row>
      <xdr:rowOff>0</xdr:rowOff>
    </xdr:from>
    <xdr:to>
      <xdr:col>4</xdr:col>
      <xdr:colOff>76200</xdr:colOff>
      <xdr:row>62</xdr:row>
      <xdr:rowOff>0</xdr:rowOff>
    </xdr:to>
    <xdr:sp macro="" textlink="">
      <xdr:nvSpPr>
        <xdr:cNvPr id="1275" name="Text Box 1">
          <a:extLst>
            <a:ext uri="{FF2B5EF4-FFF2-40B4-BE49-F238E27FC236}">
              <a16:creationId xmlns:a16="http://schemas.microsoft.com/office/drawing/2014/main" id="{00000000-0008-0000-0300-0000FB04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61</xdr:row>
      <xdr:rowOff>0</xdr:rowOff>
    </xdr:from>
    <xdr:to>
      <xdr:col>4</xdr:col>
      <xdr:colOff>76200</xdr:colOff>
      <xdr:row>62</xdr:row>
      <xdr:rowOff>0</xdr:rowOff>
    </xdr:to>
    <xdr:sp macro="" textlink="">
      <xdr:nvSpPr>
        <xdr:cNvPr id="1276" name="Text Box 2">
          <a:extLst>
            <a:ext uri="{FF2B5EF4-FFF2-40B4-BE49-F238E27FC236}">
              <a16:creationId xmlns:a16="http://schemas.microsoft.com/office/drawing/2014/main" id="{00000000-0008-0000-0300-0000FC04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61</xdr:row>
      <xdr:rowOff>0</xdr:rowOff>
    </xdr:from>
    <xdr:to>
      <xdr:col>4</xdr:col>
      <xdr:colOff>76200</xdr:colOff>
      <xdr:row>62</xdr:row>
      <xdr:rowOff>0</xdr:rowOff>
    </xdr:to>
    <xdr:sp macro="" textlink="">
      <xdr:nvSpPr>
        <xdr:cNvPr id="1277" name="Text Box 1">
          <a:extLst>
            <a:ext uri="{FF2B5EF4-FFF2-40B4-BE49-F238E27FC236}">
              <a16:creationId xmlns:a16="http://schemas.microsoft.com/office/drawing/2014/main" id="{00000000-0008-0000-0300-0000FD04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61</xdr:row>
      <xdr:rowOff>0</xdr:rowOff>
    </xdr:from>
    <xdr:to>
      <xdr:col>4</xdr:col>
      <xdr:colOff>76200</xdr:colOff>
      <xdr:row>62</xdr:row>
      <xdr:rowOff>0</xdr:rowOff>
    </xdr:to>
    <xdr:sp macro="" textlink="">
      <xdr:nvSpPr>
        <xdr:cNvPr id="1278" name="Text Box 1">
          <a:extLst>
            <a:ext uri="{FF2B5EF4-FFF2-40B4-BE49-F238E27FC236}">
              <a16:creationId xmlns:a16="http://schemas.microsoft.com/office/drawing/2014/main" id="{00000000-0008-0000-0300-0000FE04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61</xdr:row>
      <xdr:rowOff>0</xdr:rowOff>
    </xdr:from>
    <xdr:to>
      <xdr:col>4</xdr:col>
      <xdr:colOff>76200</xdr:colOff>
      <xdr:row>62</xdr:row>
      <xdr:rowOff>0</xdr:rowOff>
    </xdr:to>
    <xdr:sp macro="" textlink="">
      <xdr:nvSpPr>
        <xdr:cNvPr id="1279" name="Text Box 1">
          <a:extLst>
            <a:ext uri="{FF2B5EF4-FFF2-40B4-BE49-F238E27FC236}">
              <a16:creationId xmlns:a16="http://schemas.microsoft.com/office/drawing/2014/main" id="{00000000-0008-0000-0300-0000FF04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61</xdr:row>
      <xdr:rowOff>0</xdr:rowOff>
    </xdr:from>
    <xdr:to>
      <xdr:col>4</xdr:col>
      <xdr:colOff>76200</xdr:colOff>
      <xdr:row>62</xdr:row>
      <xdr:rowOff>0</xdr:rowOff>
    </xdr:to>
    <xdr:sp macro="" textlink="">
      <xdr:nvSpPr>
        <xdr:cNvPr id="1280" name="Text Box 2">
          <a:extLst>
            <a:ext uri="{FF2B5EF4-FFF2-40B4-BE49-F238E27FC236}">
              <a16:creationId xmlns:a16="http://schemas.microsoft.com/office/drawing/2014/main" id="{00000000-0008-0000-0300-00000005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61</xdr:row>
      <xdr:rowOff>0</xdr:rowOff>
    </xdr:from>
    <xdr:to>
      <xdr:col>4</xdr:col>
      <xdr:colOff>76200</xdr:colOff>
      <xdr:row>62</xdr:row>
      <xdr:rowOff>0</xdr:rowOff>
    </xdr:to>
    <xdr:sp macro="" textlink="">
      <xdr:nvSpPr>
        <xdr:cNvPr id="1281" name="Text Box 1">
          <a:extLst>
            <a:ext uri="{FF2B5EF4-FFF2-40B4-BE49-F238E27FC236}">
              <a16:creationId xmlns:a16="http://schemas.microsoft.com/office/drawing/2014/main" id="{00000000-0008-0000-0300-00000105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61</xdr:row>
      <xdr:rowOff>0</xdr:rowOff>
    </xdr:from>
    <xdr:to>
      <xdr:col>4</xdr:col>
      <xdr:colOff>76200</xdr:colOff>
      <xdr:row>62</xdr:row>
      <xdr:rowOff>0</xdr:rowOff>
    </xdr:to>
    <xdr:sp macro="" textlink="">
      <xdr:nvSpPr>
        <xdr:cNvPr id="1282" name="Text Box 1">
          <a:extLst>
            <a:ext uri="{FF2B5EF4-FFF2-40B4-BE49-F238E27FC236}">
              <a16:creationId xmlns:a16="http://schemas.microsoft.com/office/drawing/2014/main" id="{00000000-0008-0000-0300-00000205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61</xdr:row>
      <xdr:rowOff>0</xdr:rowOff>
    </xdr:from>
    <xdr:to>
      <xdr:col>4</xdr:col>
      <xdr:colOff>76200</xdr:colOff>
      <xdr:row>62</xdr:row>
      <xdr:rowOff>0</xdr:rowOff>
    </xdr:to>
    <xdr:sp macro="" textlink="">
      <xdr:nvSpPr>
        <xdr:cNvPr id="1283" name="Text Box 2">
          <a:extLst>
            <a:ext uri="{FF2B5EF4-FFF2-40B4-BE49-F238E27FC236}">
              <a16:creationId xmlns:a16="http://schemas.microsoft.com/office/drawing/2014/main" id="{00000000-0008-0000-0300-00000305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61</xdr:row>
      <xdr:rowOff>0</xdr:rowOff>
    </xdr:from>
    <xdr:to>
      <xdr:col>4</xdr:col>
      <xdr:colOff>76200</xdr:colOff>
      <xdr:row>62</xdr:row>
      <xdr:rowOff>0</xdr:rowOff>
    </xdr:to>
    <xdr:sp macro="" textlink="">
      <xdr:nvSpPr>
        <xdr:cNvPr id="1284" name="Text Box 1">
          <a:extLst>
            <a:ext uri="{FF2B5EF4-FFF2-40B4-BE49-F238E27FC236}">
              <a16:creationId xmlns:a16="http://schemas.microsoft.com/office/drawing/2014/main" id="{00000000-0008-0000-0300-00000405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61</xdr:row>
      <xdr:rowOff>0</xdr:rowOff>
    </xdr:from>
    <xdr:to>
      <xdr:col>4</xdr:col>
      <xdr:colOff>76200</xdr:colOff>
      <xdr:row>62</xdr:row>
      <xdr:rowOff>0</xdr:rowOff>
    </xdr:to>
    <xdr:sp macro="" textlink="">
      <xdr:nvSpPr>
        <xdr:cNvPr id="1285" name="Text Box 1">
          <a:extLst>
            <a:ext uri="{FF2B5EF4-FFF2-40B4-BE49-F238E27FC236}">
              <a16:creationId xmlns:a16="http://schemas.microsoft.com/office/drawing/2014/main" id="{00000000-0008-0000-0300-00000505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61</xdr:row>
      <xdr:rowOff>0</xdr:rowOff>
    </xdr:from>
    <xdr:to>
      <xdr:col>4</xdr:col>
      <xdr:colOff>76200</xdr:colOff>
      <xdr:row>62</xdr:row>
      <xdr:rowOff>0</xdr:rowOff>
    </xdr:to>
    <xdr:sp macro="" textlink="">
      <xdr:nvSpPr>
        <xdr:cNvPr id="1286" name="Text Box 1">
          <a:extLst>
            <a:ext uri="{FF2B5EF4-FFF2-40B4-BE49-F238E27FC236}">
              <a16:creationId xmlns:a16="http://schemas.microsoft.com/office/drawing/2014/main" id="{00000000-0008-0000-0300-00000605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61</xdr:row>
      <xdr:rowOff>0</xdr:rowOff>
    </xdr:from>
    <xdr:to>
      <xdr:col>4</xdr:col>
      <xdr:colOff>76200</xdr:colOff>
      <xdr:row>62</xdr:row>
      <xdr:rowOff>0</xdr:rowOff>
    </xdr:to>
    <xdr:sp macro="" textlink="">
      <xdr:nvSpPr>
        <xdr:cNvPr id="1287" name="Text Box 2">
          <a:extLst>
            <a:ext uri="{FF2B5EF4-FFF2-40B4-BE49-F238E27FC236}">
              <a16:creationId xmlns:a16="http://schemas.microsoft.com/office/drawing/2014/main" id="{00000000-0008-0000-0300-00000705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61</xdr:row>
      <xdr:rowOff>0</xdr:rowOff>
    </xdr:from>
    <xdr:to>
      <xdr:col>4</xdr:col>
      <xdr:colOff>76200</xdr:colOff>
      <xdr:row>62</xdr:row>
      <xdr:rowOff>0</xdr:rowOff>
    </xdr:to>
    <xdr:sp macro="" textlink="">
      <xdr:nvSpPr>
        <xdr:cNvPr id="1288" name="Text Box 1">
          <a:extLst>
            <a:ext uri="{FF2B5EF4-FFF2-40B4-BE49-F238E27FC236}">
              <a16:creationId xmlns:a16="http://schemas.microsoft.com/office/drawing/2014/main" id="{00000000-0008-0000-0300-00000805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61</xdr:row>
      <xdr:rowOff>0</xdr:rowOff>
    </xdr:from>
    <xdr:to>
      <xdr:col>4</xdr:col>
      <xdr:colOff>76200</xdr:colOff>
      <xdr:row>62</xdr:row>
      <xdr:rowOff>0</xdr:rowOff>
    </xdr:to>
    <xdr:sp macro="" textlink="">
      <xdr:nvSpPr>
        <xdr:cNvPr id="1289" name="Text Box 1">
          <a:extLst>
            <a:ext uri="{FF2B5EF4-FFF2-40B4-BE49-F238E27FC236}">
              <a16:creationId xmlns:a16="http://schemas.microsoft.com/office/drawing/2014/main" id="{00000000-0008-0000-0300-00000905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62</xdr:row>
      <xdr:rowOff>0</xdr:rowOff>
    </xdr:from>
    <xdr:to>
      <xdr:col>4</xdr:col>
      <xdr:colOff>76200</xdr:colOff>
      <xdr:row>63</xdr:row>
      <xdr:rowOff>0</xdr:rowOff>
    </xdr:to>
    <xdr:sp macro="" textlink="">
      <xdr:nvSpPr>
        <xdr:cNvPr id="1290" name="Text Box 1">
          <a:extLst>
            <a:ext uri="{FF2B5EF4-FFF2-40B4-BE49-F238E27FC236}">
              <a16:creationId xmlns:a16="http://schemas.microsoft.com/office/drawing/2014/main" id="{00000000-0008-0000-0300-00000A05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62</xdr:row>
      <xdr:rowOff>0</xdr:rowOff>
    </xdr:from>
    <xdr:to>
      <xdr:col>4</xdr:col>
      <xdr:colOff>76200</xdr:colOff>
      <xdr:row>63</xdr:row>
      <xdr:rowOff>0</xdr:rowOff>
    </xdr:to>
    <xdr:sp macro="" textlink="">
      <xdr:nvSpPr>
        <xdr:cNvPr id="1291" name="Text Box 2">
          <a:extLst>
            <a:ext uri="{FF2B5EF4-FFF2-40B4-BE49-F238E27FC236}">
              <a16:creationId xmlns:a16="http://schemas.microsoft.com/office/drawing/2014/main" id="{00000000-0008-0000-0300-00000B05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62</xdr:row>
      <xdr:rowOff>0</xdr:rowOff>
    </xdr:from>
    <xdr:to>
      <xdr:col>4</xdr:col>
      <xdr:colOff>76200</xdr:colOff>
      <xdr:row>63</xdr:row>
      <xdr:rowOff>0</xdr:rowOff>
    </xdr:to>
    <xdr:sp macro="" textlink="">
      <xdr:nvSpPr>
        <xdr:cNvPr id="1292" name="Text Box 1">
          <a:extLst>
            <a:ext uri="{FF2B5EF4-FFF2-40B4-BE49-F238E27FC236}">
              <a16:creationId xmlns:a16="http://schemas.microsoft.com/office/drawing/2014/main" id="{00000000-0008-0000-0300-00000C05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62</xdr:row>
      <xdr:rowOff>0</xdr:rowOff>
    </xdr:from>
    <xdr:to>
      <xdr:col>4</xdr:col>
      <xdr:colOff>76200</xdr:colOff>
      <xdr:row>63</xdr:row>
      <xdr:rowOff>0</xdr:rowOff>
    </xdr:to>
    <xdr:sp macro="" textlink="">
      <xdr:nvSpPr>
        <xdr:cNvPr id="1293" name="Text Box 1">
          <a:extLst>
            <a:ext uri="{FF2B5EF4-FFF2-40B4-BE49-F238E27FC236}">
              <a16:creationId xmlns:a16="http://schemas.microsoft.com/office/drawing/2014/main" id="{00000000-0008-0000-0300-00000D05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62</xdr:row>
      <xdr:rowOff>0</xdr:rowOff>
    </xdr:from>
    <xdr:to>
      <xdr:col>4</xdr:col>
      <xdr:colOff>76200</xdr:colOff>
      <xdr:row>63</xdr:row>
      <xdr:rowOff>0</xdr:rowOff>
    </xdr:to>
    <xdr:sp macro="" textlink="">
      <xdr:nvSpPr>
        <xdr:cNvPr id="1294" name="Text Box 1">
          <a:extLst>
            <a:ext uri="{FF2B5EF4-FFF2-40B4-BE49-F238E27FC236}">
              <a16:creationId xmlns:a16="http://schemas.microsoft.com/office/drawing/2014/main" id="{00000000-0008-0000-0300-00000E05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62</xdr:row>
      <xdr:rowOff>0</xdr:rowOff>
    </xdr:from>
    <xdr:to>
      <xdr:col>4</xdr:col>
      <xdr:colOff>76200</xdr:colOff>
      <xdr:row>63</xdr:row>
      <xdr:rowOff>0</xdr:rowOff>
    </xdr:to>
    <xdr:sp macro="" textlink="">
      <xdr:nvSpPr>
        <xdr:cNvPr id="1295" name="Text Box 2">
          <a:extLst>
            <a:ext uri="{FF2B5EF4-FFF2-40B4-BE49-F238E27FC236}">
              <a16:creationId xmlns:a16="http://schemas.microsoft.com/office/drawing/2014/main" id="{00000000-0008-0000-0300-00000F05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62</xdr:row>
      <xdr:rowOff>0</xdr:rowOff>
    </xdr:from>
    <xdr:to>
      <xdr:col>4</xdr:col>
      <xdr:colOff>76200</xdr:colOff>
      <xdr:row>63</xdr:row>
      <xdr:rowOff>0</xdr:rowOff>
    </xdr:to>
    <xdr:sp macro="" textlink="">
      <xdr:nvSpPr>
        <xdr:cNvPr id="1296" name="Text Box 1">
          <a:extLst>
            <a:ext uri="{FF2B5EF4-FFF2-40B4-BE49-F238E27FC236}">
              <a16:creationId xmlns:a16="http://schemas.microsoft.com/office/drawing/2014/main" id="{00000000-0008-0000-0300-00001005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62</xdr:row>
      <xdr:rowOff>0</xdr:rowOff>
    </xdr:from>
    <xdr:to>
      <xdr:col>4</xdr:col>
      <xdr:colOff>76200</xdr:colOff>
      <xdr:row>63</xdr:row>
      <xdr:rowOff>0</xdr:rowOff>
    </xdr:to>
    <xdr:sp macro="" textlink="">
      <xdr:nvSpPr>
        <xdr:cNvPr id="1297" name="Text Box 1">
          <a:extLst>
            <a:ext uri="{FF2B5EF4-FFF2-40B4-BE49-F238E27FC236}">
              <a16:creationId xmlns:a16="http://schemas.microsoft.com/office/drawing/2014/main" id="{00000000-0008-0000-0300-00001105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62</xdr:row>
      <xdr:rowOff>0</xdr:rowOff>
    </xdr:from>
    <xdr:to>
      <xdr:col>4</xdr:col>
      <xdr:colOff>76200</xdr:colOff>
      <xdr:row>63</xdr:row>
      <xdr:rowOff>0</xdr:rowOff>
    </xdr:to>
    <xdr:sp macro="" textlink="">
      <xdr:nvSpPr>
        <xdr:cNvPr id="1298" name="Text Box 1">
          <a:extLst>
            <a:ext uri="{FF2B5EF4-FFF2-40B4-BE49-F238E27FC236}">
              <a16:creationId xmlns:a16="http://schemas.microsoft.com/office/drawing/2014/main" id="{00000000-0008-0000-0300-00001205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62</xdr:row>
      <xdr:rowOff>0</xdr:rowOff>
    </xdr:from>
    <xdr:to>
      <xdr:col>4</xdr:col>
      <xdr:colOff>76200</xdr:colOff>
      <xdr:row>63</xdr:row>
      <xdr:rowOff>0</xdr:rowOff>
    </xdr:to>
    <xdr:sp macro="" textlink="">
      <xdr:nvSpPr>
        <xdr:cNvPr id="1299" name="Text Box 2">
          <a:extLst>
            <a:ext uri="{FF2B5EF4-FFF2-40B4-BE49-F238E27FC236}">
              <a16:creationId xmlns:a16="http://schemas.microsoft.com/office/drawing/2014/main" id="{00000000-0008-0000-0300-00001305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62</xdr:row>
      <xdr:rowOff>0</xdr:rowOff>
    </xdr:from>
    <xdr:to>
      <xdr:col>4</xdr:col>
      <xdr:colOff>76200</xdr:colOff>
      <xdr:row>63</xdr:row>
      <xdr:rowOff>0</xdr:rowOff>
    </xdr:to>
    <xdr:sp macro="" textlink="">
      <xdr:nvSpPr>
        <xdr:cNvPr id="1300" name="Text Box 1">
          <a:extLst>
            <a:ext uri="{FF2B5EF4-FFF2-40B4-BE49-F238E27FC236}">
              <a16:creationId xmlns:a16="http://schemas.microsoft.com/office/drawing/2014/main" id="{00000000-0008-0000-0300-00001405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62</xdr:row>
      <xdr:rowOff>0</xdr:rowOff>
    </xdr:from>
    <xdr:to>
      <xdr:col>4</xdr:col>
      <xdr:colOff>76200</xdr:colOff>
      <xdr:row>63</xdr:row>
      <xdr:rowOff>0</xdr:rowOff>
    </xdr:to>
    <xdr:sp macro="" textlink="">
      <xdr:nvSpPr>
        <xdr:cNvPr id="1301" name="Text Box 1">
          <a:extLst>
            <a:ext uri="{FF2B5EF4-FFF2-40B4-BE49-F238E27FC236}">
              <a16:creationId xmlns:a16="http://schemas.microsoft.com/office/drawing/2014/main" id="{00000000-0008-0000-0300-00001505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62</xdr:row>
      <xdr:rowOff>0</xdr:rowOff>
    </xdr:from>
    <xdr:to>
      <xdr:col>4</xdr:col>
      <xdr:colOff>76200</xdr:colOff>
      <xdr:row>63</xdr:row>
      <xdr:rowOff>0</xdr:rowOff>
    </xdr:to>
    <xdr:sp macro="" textlink="">
      <xdr:nvSpPr>
        <xdr:cNvPr id="1302" name="Text Box 1">
          <a:extLst>
            <a:ext uri="{FF2B5EF4-FFF2-40B4-BE49-F238E27FC236}">
              <a16:creationId xmlns:a16="http://schemas.microsoft.com/office/drawing/2014/main" id="{00000000-0008-0000-0300-00001605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62</xdr:row>
      <xdr:rowOff>0</xdr:rowOff>
    </xdr:from>
    <xdr:to>
      <xdr:col>4</xdr:col>
      <xdr:colOff>76200</xdr:colOff>
      <xdr:row>63</xdr:row>
      <xdr:rowOff>0</xdr:rowOff>
    </xdr:to>
    <xdr:sp macro="" textlink="">
      <xdr:nvSpPr>
        <xdr:cNvPr id="1303" name="Text Box 2">
          <a:extLst>
            <a:ext uri="{FF2B5EF4-FFF2-40B4-BE49-F238E27FC236}">
              <a16:creationId xmlns:a16="http://schemas.microsoft.com/office/drawing/2014/main" id="{00000000-0008-0000-0300-00001705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62</xdr:row>
      <xdr:rowOff>0</xdr:rowOff>
    </xdr:from>
    <xdr:to>
      <xdr:col>4</xdr:col>
      <xdr:colOff>76200</xdr:colOff>
      <xdr:row>63</xdr:row>
      <xdr:rowOff>0</xdr:rowOff>
    </xdr:to>
    <xdr:sp macro="" textlink="">
      <xdr:nvSpPr>
        <xdr:cNvPr id="1304" name="Text Box 1">
          <a:extLst>
            <a:ext uri="{FF2B5EF4-FFF2-40B4-BE49-F238E27FC236}">
              <a16:creationId xmlns:a16="http://schemas.microsoft.com/office/drawing/2014/main" id="{00000000-0008-0000-0300-00001805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62</xdr:row>
      <xdr:rowOff>0</xdr:rowOff>
    </xdr:from>
    <xdr:to>
      <xdr:col>4</xdr:col>
      <xdr:colOff>76200</xdr:colOff>
      <xdr:row>63</xdr:row>
      <xdr:rowOff>0</xdr:rowOff>
    </xdr:to>
    <xdr:sp macro="" textlink="">
      <xdr:nvSpPr>
        <xdr:cNvPr id="1305" name="Text Box 1">
          <a:extLst>
            <a:ext uri="{FF2B5EF4-FFF2-40B4-BE49-F238E27FC236}">
              <a16:creationId xmlns:a16="http://schemas.microsoft.com/office/drawing/2014/main" id="{00000000-0008-0000-0300-00001905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62</xdr:row>
      <xdr:rowOff>0</xdr:rowOff>
    </xdr:from>
    <xdr:to>
      <xdr:col>4</xdr:col>
      <xdr:colOff>76200</xdr:colOff>
      <xdr:row>63</xdr:row>
      <xdr:rowOff>0</xdr:rowOff>
    </xdr:to>
    <xdr:sp macro="" textlink="">
      <xdr:nvSpPr>
        <xdr:cNvPr id="1306" name="Text Box 2">
          <a:extLst>
            <a:ext uri="{FF2B5EF4-FFF2-40B4-BE49-F238E27FC236}">
              <a16:creationId xmlns:a16="http://schemas.microsoft.com/office/drawing/2014/main" id="{00000000-0008-0000-0300-00001A05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62</xdr:row>
      <xdr:rowOff>0</xdr:rowOff>
    </xdr:from>
    <xdr:to>
      <xdr:col>4</xdr:col>
      <xdr:colOff>76200</xdr:colOff>
      <xdr:row>63</xdr:row>
      <xdr:rowOff>0</xdr:rowOff>
    </xdr:to>
    <xdr:sp macro="" textlink="">
      <xdr:nvSpPr>
        <xdr:cNvPr id="1307" name="Text Box 1">
          <a:extLst>
            <a:ext uri="{FF2B5EF4-FFF2-40B4-BE49-F238E27FC236}">
              <a16:creationId xmlns:a16="http://schemas.microsoft.com/office/drawing/2014/main" id="{00000000-0008-0000-0300-00001B05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62</xdr:row>
      <xdr:rowOff>0</xdr:rowOff>
    </xdr:from>
    <xdr:to>
      <xdr:col>4</xdr:col>
      <xdr:colOff>76200</xdr:colOff>
      <xdr:row>63</xdr:row>
      <xdr:rowOff>0</xdr:rowOff>
    </xdr:to>
    <xdr:sp macro="" textlink="">
      <xdr:nvSpPr>
        <xdr:cNvPr id="1308" name="Text Box 1">
          <a:extLst>
            <a:ext uri="{FF2B5EF4-FFF2-40B4-BE49-F238E27FC236}">
              <a16:creationId xmlns:a16="http://schemas.microsoft.com/office/drawing/2014/main" id="{00000000-0008-0000-0300-00001C05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62</xdr:row>
      <xdr:rowOff>0</xdr:rowOff>
    </xdr:from>
    <xdr:to>
      <xdr:col>4</xdr:col>
      <xdr:colOff>76200</xdr:colOff>
      <xdr:row>63</xdr:row>
      <xdr:rowOff>0</xdr:rowOff>
    </xdr:to>
    <xdr:sp macro="" textlink="">
      <xdr:nvSpPr>
        <xdr:cNvPr id="1309" name="Text Box 1">
          <a:extLst>
            <a:ext uri="{FF2B5EF4-FFF2-40B4-BE49-F238E27FC236}">
              <a16:creationId xmlns:a16="http://schemas.microsoft.com/office/drawing/2014/main" id="{00000000-0008-0000-0300-00001D05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62</xdr:row>
      <xdr:rowOff>0</xdr:rowOff>
    </xdr:from>
    <xdr:to>
      <xdr:col>4</xdr:col>
      <xdr:colOff>76200</xdr:colOff>
      <xdr:row>63</xdr:row>
      <xdr:rowOff>0</xdr:rowOff>
    </xdr:to>
    <xdr:sp macro="" textlink="">
      <xdr:nvSpPr>
        <xdr:cNvPr id="1310" name="Text Box 2">
          <a:extLst>
            <a:ext uri="{FF2B5EF4-FFF2-40B4-BE49-F238E27FC236}">
              <a16:creationId xmlns:a16="http://schemas.microsoft.com/office/drawing/2014/main" id="{00000000-0008-0000-0300-00001E05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62</xdr:row>
      <xdr:rowOff>0</xdr:rowOff>
    </xdr:from>
    <xdr:to>
      <xdr:col>4</xdr:col>
      <xdr:colOff>76200</xdr:colOff>
      <xdr:row>63</xdr:row>
      <xdr:rowOff>0</xdr:rowOff>
    </xdr:to>
    <xdr:sp macro="" textlink="">
      <xdr:nvSpPr>
        <xdr:cNvPr id="1311" name="Text Box 1">
          <a:extLst>
            <a:ext uri="{FF2B5EF4-FFF2-40B4-BE49-F238E27FC236}">
              <a16:creationId xmlns:a16="http://schemas.microsoft.com/office/drawing/2014/main" id="{00000000-0008-0000-0300-00001F05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62</xdr:row>
      <xdr:rowOff>0</xdr:rowOff>
    </xdr:from>
    <xdr:to>
      <xdr:col>4</xdr:col>
      <xdr:colOff>76200</xdr:colOff>
      <xdr:row>63</xdr:row>
      <xdr:rowOff>0</xdr:rowOff>
    </xdr:to>
    <xdr:sp macro="" textlink="">
      <xdr:nvSpPr>
        <xdr:cNvPr id="1312" name="Text Box 1">
          <a:extLst>
            <a:ext uri="{FF2B5EF4-FFF2-40B4-BE49-F238E27FC236}">
              <a16:creationId xmlns:a16="http://schemas.microsoft.com/office/drawing/2014/main" id="{00000000-0008-0000-0300-00002005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63</xdr:row>
      <xdr:rowOff>0</xdr:rowOff>
    </xdr:from>
    <xdr:to>
      <xdr:col>4</xdr:col>
      <xdr:colOff>76200</xdr:colOff>
      <xdr:row>64</xdr:row>
      <xdr:rowOff>0</xdr:rowOff>
    </xdr:to>
    <xdr:sp macro="" textlink="">
      <xdr:nvSpPr>
        <xdr:cNvPr id="1313" name="Text Box 1">
          <a:extLst>
            <a:ext uri="{FF2B5EF4-FFF2-40B4-BE49-F238E27FC236}">
              <a16:creationId xmlns:a16="http://schemas.microsoft.com/office/drawing/2014/main" id="{00000000-0008-0000-0300-00002105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63</xdr:row>
      <xdr:rowOff>0</xdr:rowOff>
    </xdr:from>
    <xdr:to>
      <xdr:col>4</xdr:col>
      <xdr:colOff>76200</xdr:colOff>
      <xdr:row>64</xdr:row>
      <xdr:rowOff>0</xdr:rowOff>
    </xdr:to>
    <xdr:sp macro="" textlink="">
      <xdr:nvSpPr>
        <xdr:cNvPr id="1314" name="Text Box 2">
          <a:extLst>
            <a:ext uri="{FF2B5EF4-FFF2-40B4-BE49-F238E27FC236}">
              <a16:creationId xmlns:a16="http://schemas.microsoft.com/office/drawing/2014/main" id="{00000000-0008-0000-0300-00002205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63</xdr:row>
      <xdr:rowOff>0</xdr:rowOff>
    </xdr:from>
    <xdr:to>
      <xdr:col>4</xdr:col>
      <xdr:colOff>76200</xdr:colOff>
      <xdr:row>64</xdr:row>
      <xdr:rowOff>0</xdr:rowOff>
    </xdr:to>
    <xdr:sp macro="" textlink="">
      <xdr:nvSpPr>
        <xdr:cNvPr id="1315" name="Text Box 1">
          <a:extLst>
            <a:ext uri="{FF2B5EF4-FFF2-40B4-BE49-F238E27FC236}">
              <a16:creationId xmlns:a16="http://schemas.microsoft.com/office/drawing/2014/main" id="{00000000-0008-0000-0300-00002305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63</xdr:row>
      <xdr:rowOff>0</xdr:rowOff>
    </xdr:from>
    <xdr:to>
      <xdr:col>4</xdr:col>
      <xdr:colOff>76200</xdr:colOff>
      <xdr:row>64</xdr:row>
      <xdr:rowOff>0</xdr:rowOff>
    </xdr:to>
    <xdr:sp macro="" textlink="">
      <xdr:nvSpPr>
        <xdr:cNvPr id="1316" name="Text Box 1">
          <a:extLst>
            <a:ext uri="{FF2B5EF4-FFF2-40B4-BE49-F238E27FC236}">
              <a16:creationId xmlns:a16="http://schemas.microsoft.com/office/drawing/2014/main" id="{00000000-0008-0000-0300-00002405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63</xdr:row>
      <xdr:rowOff>0</xdr:rowOff>
    </xdr:from>
    <xdr:to>
      <xdr:col>4</xdr:col>
      <xdr:colOff>76200</xdr:colOff>
      <xdr:row>64</xdr:row>
      <xdr:rowOff>0</xdr:rowOff>
    </xdr:to>
    <xdr:sp macro="" textlink="">
      <xdr:nvSpPr>
        <xdr:cNvPr id="1317" name="Text Box 1">
          <a:extLst>
            <a:ext uri="{FF2B5EF4-FFF2-40B4-BE49-F238E27FC236}">
              <a16:creationId xmlns:a16="http://schemas.microsoft.com/office/drawing/2014/main" id="{00000000-0008-0000-0300-00002505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63</xdr:row>
      <xdr:rowOff>0</xdr:rowOff>
    </xdr:from>
    <xdr:to>
      <xdr:col>4</xdr:col>
      <xdr:colOff>76200</xdr:colOff>
      <xdr:row>64</xdr:row>
      <xdr:rowOff>0</xdr:rowOff>
    </xdr:to>
    <xdr:sp macro="" textlink="">
      <xdr:nvSpPr>
        <xdr:cNvPr id="1318" name="Text Box 2">
          <a:extLst>
            <a:ext uri="{FF2B5EF4-FFF2-40B4-BE49-F238E27FC236}">
              <a16:creationId xmlns:a16="http://schemas.microsoft.com/office/drawing/2014/main" id="{00000000-0008-0000-0300-00002605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63</xdr:row>
      <xdr:rowOff>0</xdr:rowOff>
    </xdr:from>
    <xdr:to>
      <xdr:col>4</xdr:col>
      <xdr:colOff>76200</xdr:colOff>
      <xdr:row>64</xdr:row>
      <xdr:rowOff>0</xdr:rowOff>
    </xdr:to>
    <xdr:sp macro="" textlink="">
      <xdr:nvSpPr>
        <xdr:cNvPr id="1319" name="Text Box 1">
          <a:extLst>
            <a:ext uri="{FF2B5EF4-FFF2-40B4-BE49-F238E27FC236}">
              <a16:creationId xmlns:a16="http://schemas.microsoft.com/office/drawing/2014/main" id="{00000000-0008-0000-0300-00002705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63</xdr:row>
      <xdr:rowOff>0</xdr:rowOff>
    </xdr:from>
    <xdr:to>
      <xdr:col>4</xdr:col>
      <xdr:colOff>76200</xdr:colOff>
      <xdr:row>64</xdr:row>
      <xdr:rowOff>0</xdr:rowOff>
    </xdr:to>
    <xdr:sp macro="" textlink="">
      <xdr:nvSpPr>
        <xdr:cNvPr id="1320" name="Text Box 1">
          <a:extLst>
            <a:ext uri="{FF2B5EF4-FFF2-40B4-BE49-F238E27FC236}">
              <a16:creationId xmlns:a16="http://schemas.microsoft.com/office/drawing/2014/main" id="{00000000-0008-0000-0300-00002805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63</xdr:row>
      <xdr:rowOff>0</xdr:rowOff>
    </xdr:from>
    <xdr:to>
      <xdr:col>4</xdr:col>
      <xdr:colOff>76200</xdr:colOff>
      <xdr:row>64</xdr:row>
      <xdr:rowOff>0</xdr:rowOff>
    </xdr:to>
    <xdr:sp macro="" textlink="">
      <xdr:nvSpPr>
        <xdr:cNvPr id="1321" name="Text Box 1">
          <a:extLst>
            <a:ext uri="{FF2B5EF4-FFF2-40B4-BE49-F238E27FC236}">
              <a16:creationId xmlns:a16="http://schemas.microsoft.com/office/drawing/2014/main" id="{00000000-0008-0000-0300-00002905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63</xdr:row>
      <xdr:rowOff>0</xdr:rowOff>
    </xdr:from>
    <xdr:to>
      <xdr:col>4</xdr:col>
      <xdr:colOff>76200</xdr:colOff>
      <xdr:row>64</xdr:row>
      <xdr:rowOff>0</xdr:rowOff>
    </xdr:to>
    <xdr:sp macro="" textlink="">
      <xdr:nvSpPr>
        <xdr:cNvPr id="1322" name="Text Box 2">
          <a:extLst>
            <a:ext uri="{FF2B5EF4-FFF2-40B4-BE49-F238E27FC236}">
              <a16:creationId xmlns:a16="http://schemas.microsoft.com/office/drawing/2014/main" id="{00000000-0008-0000-0300-00002A05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63</xdr:row>
      <xdr:rowOff>0</xdr:rowOff>
    </xdr:from>
    <xdr:to>
      <xdr:col>4</xdr:col>
      <xdr:colOff>76200</xdr:colOff>
      <xdr:row>64</xdr:row>
      <xdr:rowOff>0</xdr:rowOff>
    </xdr:to>
    <xdr:sp macro="" textlink="">
      <xdr:nvSpPr>
        <xdr:cNvPr id="1323" name="Text Box 1">
          <a:extLst>
            <a:ext uri="{FF2B5EF4-FFF2-40B4-BE49-F238E27FC236}">
              <a16:creationId xmlns:a16="http://schemas.microsoft.com/office/drawing/2014/main" id="{00000000-0008-0000-0300-00002B05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63</xdr:row>
      <xdr:rowOff>0</xdr:rowOff>
    </xdr:from>
    <xdr:to>
      <xdr:col>4</xdr:col>
      <xdr:colOff>76200</xdr:colOff>
      <xdr:row>64</xdr:row>
      <xdr:rowOff>0</xdr:rowOff>
    </xdr:to>
    <xdr:sp macro="" textlink="">
      <xdr:nvSpPr>
        <xdr:cNvPr id="1324" name="Text Box 1">
          <a:extLst>
            <a:ext uri="{FF2B5EF4-FFF2-40B4-BE49-F238E27FC236}">
              <a16:creationId xmlns:a16="http://schemas.microsoft.com/office/drawing/2014/main" id="{00000000-0008-0000-0300-00002C05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63</xdr:row>
      <xdr:rowOff>0</xdr:rowOff>
    </xdr:from>
    <xdr:to>
      <xdr:col>4</xdr:col>
      <xdr:colOff>76200</xdr:colOff>
      <xdr:row>64</xdr:row>
      <xdr:rowOff>0</xdr:rowOff>
    </xdr:to>
    <xdr:sp macro="" textlink="">
      <xdr:nvSpPr>
        <xdr:cNvPr id="1325" name="Text Box 1">
          <a:extLst>
            <a:ext uri="{FF2B5EF4-FFF2-40B4-BE49-F238E27FC236}">
              <a16:creationId xmlns:a16="http://schemas.microsoft.com/office/drawing/2014/main" id="{00000000-0008-0000-0300-00002D05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63</xdr:row>
      <xdr:rowOff>0</xdr:rowOff>
    </xdr:from>
    <xdr:to>
      <xdr:col>4</xdr:col>
      <xdr:colOff>76200</xdr:colOff>
      <xdr:row>64</xdr:row>
      <xdr:rowOff>0</xdr:rowOff>
    </xdr:to>
    <xdr:sp macro="" textlink="">
      <xdr:nvSpPr>
        <xdr:cNvPr id="1326" name="Text Box 2">
          <a:extLst>
            <a:ext uri="{FF2B5EF4-FFF2-40B4-BE49-F238E27FC236}">
              <a16:creationId xmlns:a16="http://schemas.microsoft.com/office/drawing/2014/main" id="{00000000-0008-0000-0300-00002E05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63</xdr:row>
      <xdr:rowOff>0</xdr:rowOff>
    </xdr:from>
    <xdr:to>
      <xdr:col>4</xdr:col>
      <xdr:colOff>76200</xdr:colOff>
      <xdr:row>64</xdr:row>
      <xdr:rowOff>0</xdr:rowOff>
    </xdr:to>
    <xdr:sp macro="" textlink="">
      <xdr:nvSpPr>
        <xdr:cNvPr id="1327" name="Text Box 1">
          <a:extLst>
            <a:ext uri="{FF2B5EF4-FFF2-40B4-BE49-F238E27FC236}">
              <a16:creationId xmlns:a16="http://schemas.microsoft.com/office/drawing/2014/main" id="{00000000-0008-0000-0300-00002F05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63</xdr:row>
      <xdr:rowOff>0</xdr:rowOff>
    </xdr:from>
    <xdr:to>
      <xdr:col>4</xdr:col>
      <xdr:colOff>76200</xdr:colOff>
      <xdr:row>64</xdr:row>
      <xdr:rowOff>0</xdr:rowOff>
    </xdr:to>
    <xdr:sp macro="" textlink="">
      <xdr:nvSpPr>
        <xdr:cNvPr id="1328" name="Text Box 1">
          <a:extLst>
            <a:ext uri="{FF2B5EF4-FFF2-40B4-BE49-F238E27FC236}">
              <a16:creationId xmlns:a16="http://schemas.microsoft.com/office/drawing/2014/main" id="{00000000-0008-0000-0300-00003005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63</xdr:row>
      <xdr:rowOff>0</xdr:rowOff>
    </xdr:from>
    <xdr:to>
      <xdr:col>4</xdr:col>
      <xdr:colOff>76200</xdr:colOff>
      <xdr:row>64</xdr:row>
      <xdr:rowOff>0</xdr:rowOff>
    </xdr:to>
    <xdr:sp macro="" textlink="">
      <xdr:nvSpPr>
        <xdr:cNvPr id="1329" name="Text Box 2">
          <a:extLst>
            <a:ext uri="{FF2B5EF4-FFF2-40B4-BE49-F238E27FC236}">
              <a16:creationId xmlns:a16="http://schemas.microsoft.com/office/drawing/2014/main" id="{00000000-0008-0000-0300-00003105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63</xdr:row>
      <xdr:rowOff>0</xdr:rowOff>
    </xdr:from>
    <xdr:to>
      <xdr:col>4</xdr:col>
      <xdr:colOff>76200</xdr:colOff>
      <xdr:row>64</xdr:row>
      <xdr:rowOff>0</xdr:rowOff>
    </xdr:to>
    <xdr:sp macro="" textlink="">
      <xdr:nvSpPr>
        <xdr:cNvPr id="1330" name="Text Box 1">
          <a:extLst>
            <a:ext uri="{FF2B5EF4-FFF2-40B4-BE49-F238E27FC236}">
              <a16:creationId xmlns:a16="http://schemas.microsoft.com/office/drawing/2014/main" id="{00000000-0008-0000-0300-00003205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63</xdr:row>
      <xdr:rowOff>0</xdr:rowOff>
    </xdr:from>
    <xdr:to>
      <xdr:col>4</xdr:col>
      <xdr:colOff>76200</xdr:colOff>
      <xdr:row>64</xdr:row>
      <xdr:rowOff>0</xdr:rowOff>
    </xdr:to>
    <xdr:sp macro="" textlink="">
      <xdr:nvSpPr>
        <xdr:cNvPr id="1331" name="Text Box 1">
          <a:extLst>
            <a:ext uri="{FF2B5EF4-FFF2-40B4-BE49-F238E27FC236}">
              <a16:creationId xmlns:a16="http://schemas.microsoft.com/office/drawing/2014/main" id="{00000000-0008-0000-0300-00003305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63</xdr:row>
      <xdr:rowOff>0</xdr:rowOff>
    </xdr:from>
    <xdr:to>
      <xdr:col>4</xdr:col>
      <xdr:colOff>76200</xdr:colOff>
      <xdr:row>64</xdr:row>
      <xdr:rowOff>0</xdr:rowOff>
    </xdr:to>
    <xdr:sp macro="" textlink="">
      <xdr:nvSpPr>
        <xdr:cNvPr id="1332" name="Text Box 1">
          <a:extLst>
            <a:ext uri="{FF2B5EF4-FFF2-40B4-BE49-F238E27FC236}">
              <a16:creationId xmlns:a16="http://schemas.microsoft.com/office/drawing/2014/main" id="{00000000-0008-0000-0300-00003405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63</xdr:row>
      <xdr:rowOff>0</xdr:rowOff>
    </xdr:from>
    <xdr:to>
      <xdr:col>4</xdr:col>
      <xdr:colOff>76200</xdr:colOff>
      <xdr:row>64</xdr:row>
      <xdr:rowOff>0</xdr:rowOff>
    </xdr:to>
    <xdr:sp macro="" textlink="">
      <xdr:nvSpPr>
        <xdr:cNvPr id="1333" name="Text Box 2">
          <a:extLst>
            <a:ext uri="{FF2B5EF4-FFF2-40B4-BE49-F238E27FC236}">
              <a16:creationId xmlns:a16="http://schemas.microsoft.com/office/drawing/2014/main" id="{00000000-0008-0000-0300-00003505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63</xdr:row>
      <xdr:rowOff>0</xdr:rowOff>
    </xdr:from>
    <xdr:to>
      <xdr:col>4</xdr:col>
      <xdr:colOff>76200</xdr:colOff>
      <xdr:row>64</xdr:row>
      <xdr:rowOff>0</xdr:rowOff>
    </xdr:to>
    <xdr:sp macro="" textlink="">
      <xdr:nvSpPr>
        <xdr:cNvPr id="1334" name="Text Box 1">
          <a:extLst>
            <a:ext uri="{FF2B5EF4-FFF2-40B4-BE49-F238E27FC236}">
              <a16:creationId xmlns:a16="http://schemas.microsoft.com/office/drawing/2014/main" id="{00000000-0008-0000-0300-00003605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63</xdr:row>
      <xdr:rowOff>0</xdr:rowOff>
    </xdr:from>
    <xdr:to>
      <xdr:col>4</xdr:col>
      <xdr:colOff>76200</xdr:colOff>
      <xdr:row>64</xdr:row>
      <xdr:rowOff>0</xdr:rowOff>
    </xdr:to>
    <xdr:sp macro="" textlink="">
      <xdr:nvSpPr>
        <xdr:cNvPr id="1335" name="Text Box 1">
          <a:extLst>
            <a:ext uri="{FF2B5EF4-FFF2-40B4-BE49-F238E27FC236}">
              <a16:creationId xmlns:a16="http://schemas.microsoft.com/office/drawing/2014/main" id="{00000000-0008-0000-0300-00003705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76200</xdr:colOff>
      <xdr:row>65</xdr:row>
      <xdr:rowOff>0</xdr:rowOff>
    </xdr:to>
    <xdr:sp macro="" textlink="">
      <xdr:nvSpPr>
        <xdr:cNvPr id="1336" name="Text Box 1">
          <a:extLst>
            <a:ext uri="{FF2B5EF4-FFF2-40B4-BE49-F238E27FC236}">
              <a16:creationId xmlns:a16="http://schemas.microsoft.com/office/drawing/2014/main" id="{00000000-0008-0000-0300-00003805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76200</xdr:colOff>
      <xdr:row>65</xdr:row>
      <xdr:rowOff>0</xdr:rowOff>
    </xdr:to>
    <xdr:sp macro="" textlink="">
      <xdr:nvSpPr>
        <xdr:cNvPr id="1337" name="Text Box 2">
          <a:extLst>
            <a:ext uri="{FF2B5EF4-FFF2-40B4-BE49-F238E27FC236}">
              <a16:creationId xmlns:a16="http://schemas.microsoft.com/office/drawing/2014/main" id="{00000000-0008-0000-0300-00003905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76200</xdr:colOff>
      <xdr:row>65</xdr:row>
      <xdr:rowOff>0</xdr:rowOff>
    </xdr:to>
    <xdr:sp macro="" textlink="">
      <xdr:nvSpPr>
        <xdr:cNvPr id="1338" name="Text Box 1">
          <a:extLst>
            <a:ext uri="{FF2B5EF4-FFF2-40B4-BE49-F238E27FC236}">
              <a16:creationId xmlns:a16="http://schemas.microsoft.com/office/drawing/2014/main" id="{00000000-0008-0000-0300-00003A05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76200</xdr:colOff>
      <xdr:row>65</xdr:row>
      <xdr:rowOff>0</xdr:rowOff>
    </xdr:to>
    <xdr:sp macro="" textlink="">
      <xdr:nvSpPr>
        <xdr:cNvPr id="1339" name="Text Box 1">
          <a:extLst>
            <a:ext uri="{FF2B5EF4-FFF2-40B4-BE49-F238E27FC236}">
              <a16:creationId xmlns:a16="http://schemas.microsoft.com/office/drawing/2014/main" id="{00000000-0008-0000-0300-00003B05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76200</xdr:colOff>
      <xdr:row>65</xdr:row>
      <xdr:rowOff>0</xdr:rowOff>
    </xdr:to>
    <xdr:sp macro="" textlink="">
      <xdr:nvSpPr>
        <xdr:cNvPr id="1340" name="Text Box 1">
          <a:extLst>
            <a:ext uri="{FF2B5EF4-FFF2-40B4-BE49-F238E27FC236}">
              <a16:creationId xmlns:a16="http://schemas.microsoft.com/office/drawing/2014/main" id="{00000000-0008-0000-0300-00003C05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76200</xdr:colOff>
      <xdr:row>65</xdr:row>
      <xdr:rowOff>0</xdr:rowOff>
    </xdr:to>
    <xdr:sp macro="" textlink="">
      <xdr:nvSpPr>
        <xdr:cNvPr id="1341" name="Text Box 2">
          <a:extLst>
            <a:ext uri="{FF2B5EF4-FFF2-40B4-BE49-F238E27FC236}">
              <a16:creationId xmlns:a16="http://schemas.microsoft.com/office/drawing/2014/main" id="{00000000-0008-0000-0300-00003D05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76200</xdr:colOff>
      <xdr:row>65</xdr:row>
      <xdr:rowOff>0</xdr:rowOff>
    </xdr:to>
    <xdr:sp macro="" textlink="">
      <xdr:nvSpPr>
        <xdr:cNvPr id="1342" name="Text Box 1">
          <a:extLst>
            <a:ext uri="{FF2B5EF4-FFF2-40B4-BE49-F238E27FC236}">
              <a16:creationId xmlns:a16="http://schemas.microsoft.com/office/drawing/2014/main" id="{00000000-0008-0000-0300-00003E05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76200</xdr:colOff>
      <xdr:row>65</xdr:row>
      <xdr:rowOff>0</xdr:rowOff>
    </xdr:to>
    <xdr:sp macro="" textlink="">
      <xdr:nvSpPr>
        <xdr:cNvPr id="1343" name="Text Box 1">
          <a:extLst>
            <a:ext uri="{FF2B5EF4-FFF2-40B4-BE49-F238E27FC236}">
              <a16:creationId xmlns:a16="http://schemas.microsoft.com/office/drawing/2014/main" id="{00000000-0008-0000-0300-00003F05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76200</xdr:colOff>
      <xdr:row>65</xdr:row>
      <xdr:rowOff>0</xdr:rowOff>
    </xdr:to>
    <xdr:sp macro="" textlink="">
      <xdr:nvSpPr>
        <xdr:cNvPr id="1344" name="Text Box 1">
          <a:extLst>
            <a:ext uri="{FF2B5EF4-FFF2-40B4-BE49-F238E27FC236}">
              <a16:creationId xmlns:a16="http://schemas.microsoft.com/office/drawing/2014/main" id="{00000000-0008-0000-0300-00004005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76200</xdr:colOff>
      <xdr:row>65</xdr:row>
      <xdr:rowOff>0</xdr:rowOff>
    </xdr:to>
    <xdr:sp macro="" textlink="">
      <xdr:nvSpPr>
        <xdr:cNvPr id="1345" name="Text Box 2">
          <a:extLst>
            <a:ext uri="{FF2B5EF4-FFF2-40B4-BE49-F238E27FC236}">
              <a16:creationId xmlns:a16="http://schemas.microsoft.com/office/drawing/2014/main" id="{00000000-0008-0000-0300-00004105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76200</xdr:colOff>
      <xdr:row>65</xdr:row>
      <xdr:rowOff>0</xdr:rowOff>
    </xdr:to>
    <xdr:sp macro="" textlink="">
      <xdr:nvSpPr>
        <xdr:cNvPr id="1346" name="Text Box 1">
          <a:extLst>
            <a:ext uri="{FF2B5EF4-FFF2-40B4-BE49-F238E27FC236}">
              <a16:creationId xmlns:a16="http://schemas.microsoft.com/office/drawing/2014/main" id="{00000000-0008-0000-0300-00004205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76200</xdr:colOff>
      <xdr:row>65</xdr:row>
      <xdr:rowOff>0</xdr:rowOff>
    </xdr:to>
    <xdr:sp macro="" textlink="">
      <xdr:nvSpPr>
        <xdr:cNvPr id="1347" name="Text Box 1">
          <a:extLst>
            <a:ext uri="{FF2B5EF4-FFF2-40B4-BE49-F238E27FC236}">
              <a16:creationId xmlns:a16="http://schemas.microsoft.com/office/drawing/2014/main" id="{00000000-0008-0000-0300-00004305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76200</xdr:colOff>
      <xdr:row>65</xdr:row>
      <xdr:rowOff>0</xdr:rowOff>
    </xdr:to>
    <xdr:sp macro="" textlink="">
      <xdr:nvSpPr>
        <xdr:cNvPr id="1348" name="Text Box 1">
          <a:extLst>
            <a:ext uri="{FF2B5EF4-FFF2-40B4-BE49-F238E27FC236}">
              <a16:creationId xmlns:a16="http://schemas.microsoft.com/office/drawing/2014/main" id="{00000000-0008-0000-0300-00004405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76200</xdr:colOff>
      <xdr:row>65</xdr:row>
      <xdr:rowOff>0</xdr:rowOff>
    </xdr:to>
    <xdr:sp macro="" textlink="">
      <xdr:nvSpPr>
        <xdr:cNvPr id="1349" name="Text Box 2">
          <a:extLst>
            <a:ext uri="{FF2B5EF4-FFF2-40B4-BE49-F238E27FC236}">
              <a16:creationId xmlns:a16="http://schemas.microsoft.com/office/drawing/2014/main" id="{00000000-0008-0000-0300-00004505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76200</xdr:colOff>
      <xdr:row>65</xdr:row>
      <xdr:rowOff>0</xdr:rowOff>
    </xdr:to>
    <xdr:sp macro="" textlink="">
      <xdr:nvSpPr>
        <xdr:cNvPr id="1350" name="Text Box 1">
          <a:extLst>
            <a:ext uri="{FF2B5EF4-FFF2-40B4-BE49-F238E27FC236}">
              <a16:creationId xmlns:a16="http://schemas.microsoft.com/office/drawing/2014/main" id="{00000000-0008-0000-0300-00004605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76200</xdr:colOff>
      <xdr:row>65</xdr:row>
      <xdr:rowOff>0</xdr:rowOff>
    </xdr:to>
    <xdr:sp macro="" textlink="">
      <xdr:nvSpPr>
        <xdr:cNvPr id="1351" name="Text Box 1">
          <a:extLst>
            <a:ext uri="{FF2B5EF4-FFF2-40B4-BE49-F238E27FC236}">
              <a16:creationId xmlns:a16="http://schemas.microsoft.com/office/drawing/2014/main" id="{00000000-0008-0000-0300-00004705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76200</xdr:colOff>
      <xdr:row>65</xdr:row>
      <xdr:rowOff>0</xdr:rowOff>
    </xdr:to>
    <xdr:sp macro="" textlink="">
      <xdr:nvSpPr>
        <xdr:cNvPr id="1352" name="Text Box 2">
          <a:extLst>
            <a:ext uri="{FF2B5EF4-FFF2-40B4-BE49-F238E27FC236}">
              <a16:creationId xmlns:a16="http://schemas.microsoft.com/office/drawing/2014/main" id="{00000000-0008-0000-0300-00004805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76200</xdr:colOff>
      <xdr:row>65</xdr:row>
      <xdr:rowOff>0</xdr:rowOff>
    </xdr:to>
    <xdr:sp macro="" textlink="">
      <xdr:nvSpPr>
        <xdr:cNvPr id="1353" name="Text Box 1">
          <a:extLst>
            <a:ext uri="{FF2B5EF4-FFF2-40B4-BE49-F238E27FC236}">
              <a16:creationId xmlns:a16="http://schemas.microsoft.com/office/drawing/2014/main" id="{00000000-0008-0000-0300-00004905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76200</xdr:colOff>
      <xdr:row>65</xdr:row>
      <xdr:rowOff>0</xdr:rowOff>
    </xdr:to>
    <xdr:sp macro="" textlink="">
      <xdr:nvSpPr>
        <xdr:cNvPr id="1354" name="Text Box 1">
          <a:extLst>
            <a:ext uri="{FF2B5EF4-FFF2-40B4-BE49-F238E27FC236}">
              <a16:creationId xmlns:a16="http://schemas.microsoft.com/office/drawing/2014/main" id="{00000000-0008-0000-0300-00004A05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76200</xdr:colOff>
      <xdr:row>65</xdr:row>
      <xdr:rowOff>0</xdr:rowOff>
    </xdr:to>
    <xdr:sp macro="" textlink="">
      <xdr:nvSpPr>
        <xdr:cNvPr id="1355" name="Text Box 1">
          <a:extLst>
            <a:ext uri="{FF2B5EF4-FFF2-40B4-BE49-F238E27FC236}">
              <a16:creationId xmlns:a16="http://schemas.microsoft.com/office/drawing/2014/main" id="{00000000-0008-0000-0300-00004B05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76200</xdr:colOff>
      <xdr:row>65</xdr:row>
      <xdr:rowOff>0</xdr:rowOff>
    </xdr:to>
    <xdr:sp macro="" textlink="">
      <xdr:nvSpPr>
        <xdr:cNvPr id="1356" name="Text Box 2">
          <a:extLst>
            <a:ext uri="{FF2B5EF4-FFF2-40B4-BE49-F238E27FC236}">
              <a16:creationId xmlns:a16="http://schemas.microsoft.com/office/drawing/2014/main" id="{00000000-0008-0000-0300-00004C05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76200</xdr:colOff>
      <xdr:row>65</xdr:row>
      <xdr:rowOff>0</xdr:rowOff>
    </xdr:to>
    <xdr:sp macro="" textlink="">
      <xdr:nvSpPr>
        <xdr:cNvPr id="1357" name="Text Box 1">
          <a:extLst>
            <a:ext uri="{FF2B5EF4-FFF2-40B4-BE49-F238E27FC236}">
              <a16:creationId xmlns:a16="http://schemas.microsoft.com/office/drawing/2014/main" id="{00000000-0008-0000-0300-00004D05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76200</xdr:colOff>
      <xdr:row>65</xdr:row>
      <xdr:rowOff>0</xdr:rowOff>
    </xdr:to>
    <xdr:sp macro="" textlink="">
      <xdr:nvSpPr>
        <xdr:cNvPr id="1358" name="Text Box 1">
          <a:extLst>
            <a:ext uri="{FF2B5EF4-FFF2-40B4-BE49-F238E27FC236}">
              <a16:creationId xmlns:a16="http://schemas.microsoft.com/office/drawing/2014/main" id="{00000000-0008-0000-0300-00004E05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65</xdr:row>
      <xdr:rowOff>0</xdr:rowOff>
    </xdr:from>
    <xdr:to>
      <xdr:col>4</xdr:col>
      <xdr:colOff>76200</xdr:colOff>
      <xdr:row>66</xdr:row>
      <xdr:rowOff>0</xdr:rowOff>
    </xdr:to>
    <xdr:sp macro="" textlink="">
      <xdr:nvSpPr>
        <xdr:cNvPr id="1359" name="Text Box 1">
          <a:extLst>
            <a:ext uri="{FF2B5EF4-FFF2-40B4-BE49-F238E27FC236}">
              <a16:creationId xmlns:a16="http://schemas.microsoft.com/office/drawing/2014/main" id="{00000000-0008-0000-0300-00004F05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65</xdr:row>
      <xdr:rowOff>0</xdr:rowOff>
    </xdr:from>
    <xdr:to>
      <xdr:col>4</xdr:col>
      <xdr:colOff>76200</xdr:colOff>
      <xdr:row>66</xdr:row>
      <xdr:rowOff>0</xdr:rowOff>
    </xdr:to>
    <xdr:sp macro="" textlink="">
      <xdr:nvSpPr>
        <xdr:cNvPr id="1360" name="Text Box 2">
          <a:extLst>
            <a:ext uri="{FF2B5EF4-FFF2-40B4-BE49-F238E27FC236}">
              <a16:creationId xmlns:a16="http://schemas.microsoft.com/office/drawing/2014/main" id="{00000000-0008-0000-0300-00005005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65</xdr:row>
      <xdr:rowOff>0</xdr:rowOff>
    </xdr:from>
    <xdr:to>
      <xdr:col>4</xdr:col>
      <xdr:colOff>76200</xdr:colOff>
      <xdr:row>66</xdr:row>
      <xdr:rowOff>0</xdr:rowOff>
    </xdr:to>
    <xdr:sp macro="" textlink="">
      <xdr:nvSpPr>
        <xdr:cNvPr id="1361" name="Text Box 1">
          <a:extLst>
            <a:ext uri="{FF2B5EF4-FFF2-40B4-BE49-F238E27FC236}">
              <a16:creationId xmlns:a16="http://schemas.microsoft.com/office/drawing/2014/main" id="{00000000-0008-0000-0300-00005105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65</xdr:row>
      <xdr:rowOff>0</xdr:rowOff>
    </xdr:from>
    <xdr:to>
      <xdr:col>4</xdr:col>
      <xdr:colOff>76200</xdr:colOff>
      <xdr:row>66</xdr:row>
      <xdr:rowOff>0</xdr:rowOff>
    </xdr:to>
    <xdr:sp macro="" textlink="">
      <xdr:nvSpPr>
        <xdr:cNvPr id="1362" name="Text Box 1">
          <a:extLst>
            <a:ext uri="{FF2B5EF4-FFF2-40B4-BE49-F238E27FC236}">
              <a16:creationId xmlns:a16="http://schemas.microsoft.com/office/drawing/2014/main" id="{00000000-0008-0000-0300-00005205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65</xdr:row>
      <xdr:rowOff>0</xdr:rowOff>
    </xdr:from>
    <xdr:to>
      <xdr:col>4</xdr:col>
      <xdr:colOff>76200</xdr:colOff>
      <xdr:row>66</xdr:row>
      <xdr:rowOff>0</xdr:rowOff>
    </xdr:to>
    <xdr:sp macro="" textlink="">
      <xdr:nvSpPr>
        <xdr:cNvPr id="1363" name="Text Box 1">
          <a:extLst>
            <a:ext uri="{FF2B5EF4-FFF2-40B4-BE49-F238E27FC236}">
              <a16:creationId xmlns:a16="http://schemas.microsoft.com/office/drawing/2014/main" id="{00000000-0008-0000-0300-00005305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65</xdr:row>
      <xdr:rowOff>0</xdr:rowOff>
    </xdr:from>
    <xdr:to>
      <xdr:col>4</xdr:col>
      <xdr:colOff>76200</xdr:colOff>
      <xdr:row>66</xdr:row>
      <xdr:rowOff>0</xdr:rowOff>
    </xdr:to>
    <xdr:sp macro="" textlink="">
      <xdr:nvSpPr>
        <xdr:cNvPr id="1364" name="Text Box 2">
          <a:extLst>
            <a:ext uri="{FF2B5EF4-FFF2-40B4-BE49-F238E27FC236}">
              <a16:creationId xmlns:a16="http://schemas.microsoft.com/office/drawing/2014/main" id="{00000000-0008-0000-0300-00005405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65</xdr:row>
      <xdr:rowOff>0</xdr:rowOff>
    </xdr:from>
    <xdr:to>
      <xdr:col>4</xdr:col>
      <xdr:colOff>76200</xdr:colOff>
      <xdr:row>66</xdr:row>
      <xdr:rowOff>0</xdr:rowOff>
    </xdr:to>
    <xdr:sp macro="" textlink="">
      <xdr:nvSpPr>
        <xdr:cNvPr id="1365" name="Text Box 1">
          <a:extLst>
            <a:ext uri="{FF2B5EF4-FFF2-40B4-BE49-F238E27FC236}">
              <a16:creationId xmlns:a16="http://schemas.microsoft.com/office/drawing/2014/main" id="{00000000-0008-0000-0300-00005505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65</xdr:row>
      <xdr:rowOff>0</xdr:rowOff>
    </xdr:from>
    <xdr:to>
      <xdr:col>4</xdr:col>
      <xdr:colOff>76200</xdr:colOff>
      <xdr:row>66</xdr:row>
      <xdr:rowOff>0</xdr:rowOff>
    </xdr:to>
    <xdr:sp macro="" textlink="">
      <xdr:nvSpPr>
        <xdr:cNvPr id="1366" name="Text Box 1">
          <a:extLst>
            <a:ext uri="{FF2B5EF4-FFF2-40B4-BE49-F238E27FC236}">
              <a16:creationId xmlns:a16="http://schemas.microsoft.com/office/drawing/2014/main" id="{00000000-0008-0000-0300-00005605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65</xdr:row>
      <xdr:rowOff>0</xdr:rowOff>
    </xdr:from>
    <xdr:to>
      <xdr:col>4</xdr:col>
      <xdr:colOff>76200</xdr:colOff>
      <xdr:row>66</xdr:row>
      <xdr:rowOff>0</xdr:rowOff>
    </xdr:to>
    <xdr:sp macro="" textlink="">
      <xdr:nvSpPr>
        <xdr:cNvPr id="1367" name="Text Box 1">
          <a:extLst>
            <a:ext uri="{FF2B5EF4-FFF2-40B4-BE49-F238E27FC236}">
              <a16:creationId xmlns:a16="http://schemas.microsoft.com/office/drawing/2014/main" id="{00000000-0008-0000-0300-00005705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65</xdr:row>
      <xdr:rowOff>0</xdr:rowOff>
    </xdr:from>
    <xdr:to>
      <xdr:col>4</xdr:col>
      <xdr:colOff>76200</xdr:colOff>
      <xdr:row>66</xdr:row>
      <xdr:rowOff>0</xdr:rowOff>
    </xdr:to>
    <xdr:sp macro="" textlink="">
      <xdr:nvSpPr>
        <xdr:cNvPr id="1368" name="Text Box 2">
          <a:extLst>
            <a:ext uri="{FF2B5EF4-FFF2-40B4-BE49-F238E27FC236}">
              <a16:creationId xmlns:a16="http://schemas.microsoft.com/office/drawing/2014/main" id="{00000000-0008-0000-0300-00005805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65</xdr:row>
      <xdr:rowOff>0</xdr:rowOff>
    </xdr:from>
    <xdr:to>
      <xdr:col>4</xdr:col>
      <xdr:colOff>76200</xdr:colOff>
      <xdr:row>66</xdr:row>
      <xdr:rowOff>0</xdr:rowOff>
    </xdr:to>
    <xdr:sp macro="" textlink="">
      <xdr:nvSpPr>
        <xdr:cNvPr id="1369" name="Text Box 1">
          <a:extLst>
            <a:ext uri="{FF2B5EF4-FFF2-40B4-BE49-F238E27FC236}">
              <a16:creationId xmlns:a16="http://schemas.microsoft.com/office/drawing/2014/main" id="{00000000-0008-0000-0300-00005905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65</xdr:row>
      <xdr:rowOff>0</xdr:rowOff>
    </xdr:from>
    <xdr:to>
      <xdr:col>4</xdr:col>
      <xdr:colOff>76200</xdr:colOff>
      <xdr:row>66</xdr:row>
      <xdr:rowOff>0</xdr:rowOff>
    </xdr:to>
    <xdr:sp macro="" textlink="">
      <xdr:nvSpPr>
        <xdr:cNvPr id="1370" name="Text Box 1">
          <a:extLst>
            <a:ext uri="{FF2B5EF4-FFF2-40B4-BE49-F238E27FC236}">
              <a16:creationId xmlns:a16="http://schemas.microsoft.com/office/drawing/2014/main" id="{00000000-0008-0000-0300-00005A05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65</xdr:row>
      <xdr:rowOff>0</xdr:rowOff>
    </xdr:from>
    <xdr:to>
      <xdr:col>4</xdr:col>
      <xdr:colOff>76200</xdr:colOff>
      <xdr:row>66</xdr:row>
      <xdr:rowOff>0</xdr:rowOff>
    </xdr:to>
    <xdr:sp macro="" textlink="">
      <xdr:nvSpPr>
        <xdr:cNvPr id="1371" name="Text Box 1">
          <a:extLst>
            <a:ext uri="{FF2B5EF4-FFF2-40B4-BE49-F238E27FC236}">
              <a16:creationId xmlns:a16="http://schemas.microsoft.com/office/drawing/2014/main" id="{00000000-0008-0000-0300-00005B05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65</xdr:row>
      <xdr:rowOff>0</xdr:rowOff>
    </xdr:from>
    <xdr:to>
      <xdr:col>4</xdr:col>
      <xdr:colOff>76200</xdr:colOff>
      <xdr:row>66</xdr:row>
      <xdr:rowOff>0</xdr:rowOff>
    </xdr:to>
    <xdr:sp macro="" textlink="">
      <xdr:nvSpPr>
        <xdr:cNvPr id="1372" name="Text Box 2">
          <a:extLst>
            <a:ext uri="{FF2B5EF4-FFF2-40B4-BE49-F238E27FC236}">
              <a16:creationId xmlns:a16="http://schemas.microsoft.com/office/drawing/2014/main" id="{00000000-0008-0000-0300-00005C05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65</xdr:row>
      <xdr:rowOff>0</xdr:rowOff>
    </xdr:from>
    <xdr:to>
      <xdr:col>4</xdr:col>
      <xdr:colOff>76200</xdr:colOff>
      <xdr:row>66</xdr:row>
      <xdr:rowOff>0</xdr:rowOff>
    </xdr:to>
    <xdr:sp macro="" textlink="">
      <xdr:nvSpPr>
        <xdr:cNvPr id="1373" name="Text Box 1">
          <a:extLst>
            <a:ext uri="{FF2B5EF4-FFF2-40B4-BE49-F238E27FC236}">
              <a16:creationId xmlns:a16="http://schemas.microsoft.com/office/drawing/2014/main" id="{00000000-0008-0000-0300-00005D05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65</xdr:row>
      <xdr:rowOff>0</xdr:rowOff>
    </xdr:from>
    <xdr:to>
      <xdr:col>4</xdr:col>
      <xdr:colOff>76200</xdr:colOff>
      <xdr:row>66</xdr:row>
      <xdr:rowOff>0</xdr:rowOff>
    </xdr:to>
    <xdr:sp macro="" textlink="">
      <xdr:nvSpPr>
        <xdr:cNvPr id="1374" name="Text Box 1">
          <a:extLst>
            <a:ext uri="{FF2B5EF4-FFF2-40B4-BE49-F238E27FC236}">
              <a16:creationId xmlns:a16="http://schemas.microsoft.com/office/drawing/2014/main" id="{00000000-0008-0000-0300-00005E05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65</xdr:row>
      <xdr:rowOff>0</xdr:rowOff>
    </xdr:from>
    <xdr:to>
      <xdr:col>4</xdr:col>
      <xdr:colOff>76200</xdr:colOff>
      <xdr:row>66</xdr:row>
      <xdr:rowOff>0</xdr:rowOff>
    </xdr:to>
    <xdr:sp macro="" textlink="">
      <xdr:nvSpPr>
        <xdr:cNvPr id="1375" name="Text Box 2">
          <a:extLst>
            <a:ext uri="{FF2B5EF4-FFF2-40B4-BE49-F238E27FC236}">
              <a16:creationId xmlns:a16="http://schemas.microsoft.com/office/drawing/2014/main" id="{00000000-0008-0000-0300-00005F05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65</xdr:row>
      <xdr:rowOff>0</xdr:rowOff>
    </xdr:from>
    <xdr:to>
      <xdr:col>4</xdr:col>
      <xdr:colOff>76200</xdr:colOff>
      <xdr:row>66</xdr:row>
      <xdr:rowOff>0</xdr:rowOff>
    </xdr:to>
    <xdr:sp macro="" textlink="">
      <xdr:nvSpPr>
        <xdr:cNvPr id="1376" name="Text Box 1">
          <a:extLst>
            <a:ext uri="{FF2B5EF4-FFF2-40B4-BE49-F238E27FC236}">
              <a16:creationId xmlns:a16="http://schemas.microsoft.com/office/drawing/2014/main" id="{00000000-0008-0000-0300-00006005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65</xdr:row>
      <xdr:rowOff>0</xdr:rowOff>
    </xdr:from>
    <xdr:to>
      <xdr:col>4</xdr:col>
      <xdr:colOff>76200</xdr:colOff>
      <xdr:row>66</xdr:row>
      <xdr:rowOff>0</xdr:rowOff>
    </xdr:to>
    <xdr:sp macro="" textlink="">
      <xdr:nvSpPr>
        <xdr:cNvPr id="1377" name="Text Box 1">
          <a:extLst>
            <a:ext uri="{FF2B5EF4-FFF2-40B4-BE49-F238E27FC236}">
              <a16:creationId xmlns:a16="http://schemas.microsoft.com/office/drawing/2014/main" id="{00000000-0008-0000-0300-00006105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65</xdr:row>
      <xdr:rowOff>0</xdr:rowOff>
    </xdr:from>
    <xdr:to>
      <xdr:col>4</xdr:col>
      <xdr:colOff>76200</xdr:colOff>
      <xdr:row>66</xdr:row>
      <xdr:rowOff>0</xdr:rowOff>
    </xdr:to>
    <xdr:sp macro="" textlink="">
      <xdr:nvSpPr>
        <xdr:cNvPr id="1378" name="Text Box 1">
          <a:extLst>
            <a:ext uri="{FF2B5EF4-FFF2-40B4-BE49-F238E27FC236}">
              <a16:creationId xmlns:a16="http://schemas.microsoft.com/office/drawing/2014/main" id="{00000000-0008-0000-0300-00006205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65</xdr:row>
      <xdr:rowOff>0</xdr:rowOff>
    </xdr:from>
    <xdr:to>
      <xdr:col>4</xdr:col>
      <xdr:colOff>76200</xdr:colOff>
      <xdr:row>66</xdr:row>
      <xdr:rowOff>0</xdr:rowOff>
    </xdr:to>
    <xdr:sp macro="" textlink="">
      <xdr:nvSpPr>
        <xdr:cNvPr id="1379" name="Text Box 2">
          <a:extLst>
            <a:ext uri="{FF2B5EF4-FFF2-40B4-BE49-F238E27FC236}">
              <a16:creationId xmlns:a16="http://schemas.microsoft.com/office/drawing/2014/main" id="{00000000-0008-0000-0300-00006305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65</xdr:row>
      <xdr:rowOff>0</xdr:rowOff>
    </xdr:from>
    <xdr:to>
      <xdr:col>4</xdr:col>
      <xdr:colOff>76200</xdr:colOff>
      <xdr:row>66</xdr:row>
      <xdr:rowOff>0</xdr:rowOff>
    </xdr:to>
    <xdr:sp macro="" textlink="">
      <xdr:nvSpPr>
        <xdr:cNvPr id="1380" name="Text Box 1">
          <a:extLst>
            <a:ext uri="{FF2B5EF4-FFF2-40B4-BE49-F238E27FC236}">
              <a16:creationId xmlns:a16="http://schemas.microsoft.com/office/drawing/2014/main" id="{00000000-0008-0000-0300-00006405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65</xdr:row>
      <xdr:rowOff>0</xdr:rowOff>
    </xdr:from>
    <xdr:to>
      <xdr:col>4</xdr:col>
      <xdr:colOff>76200</xdr:colOff>
      <xdr:row>66</xdr:row>
      <xdr:rowOff>0</xdr:rowOff>
    </xdr:to>
    <xdr:sp macro="" textlink="">
      <xdr:nvSpPr>
        <xdr:cNvPr id="1381" name="Text Box 1">
          <a:extLst>
            <a:ext uri="{FF2B5EF4-FFF2-40B4-BE49-F238E27FC236}">
              <a16:creationId xmlns:a16="http://schemas.microsoft.com/office/drawing/2014/main" id="{00000000-0008-0000-0300-00006505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66</xdr:row>
      <xdr:rowOff>0</xdr:rowOff>
    </xdr:from>
    <xdr:to>
      <xdr:col>4</xdr:col>
      <xdr:colOff>76200</xdr:colOff>
      <xdr:row>67</xdr:row>
      <xdr:rowOff>0</xdr:rowOff>
    </xdr:to>
    <xdr:sp macro="" textlink="">
      <xdr:nvSpPr>
        <xdr:cNvPr id="1382" name="Text Box 1">
          <a:extLst>
            <a:ext uri="{FF2B5EF4-FFF2-40B4-BE49-F238E27FC236}">
              <a16:creationId xmlns:a16="http://schemas.microsoft.com/office/drawing/2014/main" id="{00000000-0008-0000-0300-00006605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66</xdr:row>
      <xdr:rowOff>0</xdr:rowOff>
    </xdr:from>
    <xdr:to>
      <xdr:col>4</xdr:col>
      <xdr:colOff>76200</xdr:colOff>
      <xdr:row>67</xdr:row>
      <xdr:rowOff>0</xdr:rowOff>
    </xdr:to>
    <xdr:sp macro="" textlink="">
      <xdr:nvSpPr>
        <xdr:cNvPr id="1383" name="Text Box 2">
          <a:extLst>
            <a:ext uri="{FF2B5EF4-FFF2-40B4-BE49-F238E27FC236}">
              <a16:creationId xmlns:a16="http://schemas.microsoft.com/office/drawing/2014/main" id="{00000000-0008-0000-0300-00006705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66</xdr:row>
      <xdr:rowOff>0</xdr:rowOff>
    </xdr:from>
    <xdr:to>
      <xdr:col>4</xdr:col>
      <xdr:colOff>76200</xdr:colOff>
      <xdr:row>67</xdr:row>
      <xdr:rowOff>0</xdr:rowOff>
    </xdr:to>
    <xdr:sp macro="" textlink="">
      <xdr:nvSpPr>
        <xdr:cNvPr id="1384" name="Text Box 1">
          <a:extLst>
            <a:ext uri="{FF2B5EF4-FFF2-40B4-BE49-F238E27FC236}">
              <a16:creationId xmlns:a16="http://schemas.microsoft.com/office/drawing/2014/main" id="{00000000-0008-0000-0300-00006805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66</xdr:row>
      <xdr:rowOff>0</xdr:rowOff>
    </xdr:from>
    <xdr:to>
      <xdr:col>4</xdr:col>
      <xdr:colOff>76200</xdr:colOff>
      <xdr:row>67</xdr:row>
      <xdr:rowOff>0</xdr:rowOff>
    </xdr:to>
    <xdr:sp macro="" textlink="">
      <xdr:nvSpPr>
        <xdr:cNvPr id="1385" name="Text Box 1">
          <a:extLst>
            <a:ext uri="{FF2B5EF4-FFF2-40B4-BE49-F238E27FC236}">
              <a16:creationId xmlns:a16="http://schemas.microsoft.com/office/drawing/2014/main" id="{00000000-0008-0000-0300-00006905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66</xdr:row>
      <xdr:rowOff>0</xdr:rowOff>
    </xdr:from>
    <xdr:to>
      <xdr:col>4</xdr:col>
      <xdr:colOff>76200</xdr:colOff>
      <xdr:row>67</xdr:row>
      <xdr:rowOff>0</xdr:rowOff>
    </xdr:to>
    <xdr:sp macro="" textlink="">
      <xdr:nvSpPr>
        <xdr:cNvPr id="1386" name="Text Box 1">
          <a:extLst>
            <a:ext uri="{FF2B5EF4-FFF2-40B4-BE49-F238E27FC236}">
              <a16:creationId xmlns:a16="http://schemas.microsoft.com/office/drawing/2014/main" id="{00000000-0008-0000-0300-00006A05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66</xdr:row>
      <xdr:rowOff>0</xdr:rowOff>
    </xdr:from>
    <xdr:to>
      <xdr:col>4</xdr:col>
      <xdr:colOff>76200</xdr:colOff>
      <xdr:row>67</xdr:row>
      <xdr:rowOff>0</xdr:rowOff>
    </xdr:to>
    <xdr:sp macro="" textlink="">
      <xdr:nvSpPr>
        <xdr:cNvPr id="1387" name="Text Box 2">
          <a:extLst>
            <a:ext uri="{FF2B5EF4-FFF2-40B4-BE49-F238E27FC236}">
              <a16:creationId xmlns:a16="http://schemas.microsoft.com/office/drawing/2014/main" id="{00000000-0008-0000-0300-00006B05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66</xdr:row>
      <xdr:rowOff>0</xdr:rowOff>
    </xdr:from>
    <xdr:to>
      <xdr:col>4</xdr:col>
      <xdr:colOff>76200</xdr:colOff>
      <xdr:row>67</xdr:row>
      <xdr:rowOff>0</xdr:rowOff>
    </xdr:to>
    <xdr:sp macro="" textlink="">
      <xdr:nvSpPr>
        <xdr:cNvPr id="1388" name="Text Box 1">
          <a:extLst>
            <a:ext uri="{FF2B5EF4-FFF2-40B4-BE49-F238E27FC236}">
              <a16:creationId xmlns:a16="http://schemas.microsoft.com/office/drawing/2014/main" id="{00000000-0008-0000-0300-00006C05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66</xdr:row>
      <xdr:rowOff>0</xdr:rowOff>
    </xdr:from>
    <xdr:to>
      <xdr:col>4</xdr:col>
      <xdr:colOff>76200</xdr:colOff>
      <xdr:row>67</xdr:row>
      <xdr:rowOff>0</xdr:rowOff>
    </xdr:to>
    <xdr:sp macro="" textlink="">
      <xdr:nvSpPr>
        <xdr:cNvPr id="1389" name="Text Box 1">
          <a:extLst>
            <a:ext uri="{FF2B5EF4-FFF2-40B4-BE49-F238E27FC236}">
              <a16:creationId xmlns:a16="http://schemas.microsoft.com/office/drawing/2014/main" id="{00000000-0008-0000-0300-00006D05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66</xdr:row>
      <xdr:rowOff>0</xdr:rowOff>
    </xdr:from>
    <xdr:to>
      <xdr:col>4</xdr:col>
      <xdr:colOff>76200</xdr:colOff>
      <xdr:row>67</xdr:row>
      <xdr:rowOff>0</xdr:rowOff>
    </xdr:to>
    <xdr:sp macro="" textlink="">
      <xdr:nvSpPr>
        <xdr:cNvPr id="1390" name="Text Box 1">
          <a:extLst>
            <a:ext uri="{FF2B5EF4-FFF2-40B4-BE49-F238E27FC236}">
              <a16:creationId xmlns:a16="http://schemas.microsoft.com/office/drawing/2014/main" id="{00000000-0008-0000-0300-00006E05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66</xdr:row>
      <xdr:rowOff>0</xdr:rowOff>
    </xdr:from>
    <xdr:to>
      <xdr:col>4</xdr:col>
      <xdr:colOff>76200</xdr:colOff>
      <xdr:row>67</xdr:row>
      <xdr:rowOff>0</xdr:rowOff>
    </xdr:to>
    <xdr:sp macro="" textlink="">
      <xdr:nvSpPr>
        <xdr:cNvPr id="1391" name="Text Box 2">
          <a:extLst>
            <a:ext uri="{FF2B5EF4-FFF2-40B4-BE49-F238E27FC236}">
              <a16:creationId xmlns:a16="http://schemas.microsoft.com/office/drawing/2014/main" id="{00000000-0008-0000-0300-00006F05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66</xdr:row>
      <xdr:rowOff>0</xdr:rowOff>
    </xdr:from>
    <xdr:to>
      <xdr:col>4</xdr:col>
      <xdr:colOff>76200</xdr:colOff>
      <xdr:row>67</xdr:row>
      <xdr:rowOff>0</xdr:rowOff>
    </xdr:to>
    <xdr:sp macro="" textlink="">
      <xdr:nvSpPr>
        <xdr:cNvPr id="1392" name="Text Box 1">
          <a:extLst>
            <a:ext uri="{FF2B5EF4-FFF2-40B4-BE49-F238E27FC236}">
              <a16:creationId xmlns:a16="http://schemas.microsoft.com/office/drawing/2014/main" id="{00000000-0008-0000-0300-00007005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66</xdr:row>
      <xdr:rowOff>0</xdr:rowOff>
    </xdr:from>
    <xdr:to>
      <xdr:col>4</xdr:col>
      <xdr:colOff>76200</xdr:colOff>
      <xdr:row>67</xdr:row>
      <xdr:rowOff>0</xdr:rowOff>
    </xdr:to>
    <xdr:sp macro="" textlink="">
      <xdr:nvSpPr>
        <xdr:cNvPr id="1393" name="Text Box 1">
          <a:extLst>
            <a:ext uri="{FF2B5EF4-FFF2-40B4-BE49-F238E27FC236}">
              <a16:creationId xmlns:a16="http://schemas.microsoft.com/office/drawing/2014/main" id="{00000000-0008-0000-0300-00007105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66</xdr:row>
      <xdr:rowOff>0</xdr:rowOff>
    </xdr:from>
    <xdr:to>
      <xdr:col>4</xdr:col>
      <xdr:colOff>76200</xdr:colOff>
      <xdr:row>67</xdr:row>
      <xdr:rowOff>0</xdr:rowOff>
    </xdr:to>
    <xdr:sp macro="" textlink="">
      <xdr:nvSpPr>
        <xdr:cNvPr id="1394" name="Text Box 1">
          <a:extLst>
            <a:ext uri="{FF2B5EF4-FFF2-40B4-BE49-F238E27FC236}">
              <a16:creationId xmlns:a16="http://schemas.microsoft.com/office/drawing/2014/main" id="{00000000-0008-0000-0300-00007205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66</xdr:row>
      <xdr:rowOff>0</xdr:rowOff>
    </xdr:from>
    <xdr:to>
      <xdr:col>4</xdr:col>
      <xdr:colOff>76200</xdr:colOff>
      <xdr:row>67</xdr:row>
      <xdr:rowOff>0</xdr:rowOff>
    </xdr:to>
    <xdr:sp macro="" textlink="">
      <xdr:nvSpPr>
        <xdr:cNvPr id="1395" name="Text Box 2">
          <a:extLst>
            <a:ext uri="{FF2B5EF4-FFF2-40B4-BE49-F238E27FC236}">
              <a16:creationId xmlns:a16="http://schemas.microsoft.com/office/drawing/2014/main" id="{00000000-0008-0000-0300-00007305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66</xdr:row>
      <xdr:rowOff>0</xdr:rowOff>
    </xdr:from>
    <xdr:to>
      <xdr:col>4</xdr:col>
      <xdr:colOff>76200</xdr:colOff>
      <xdr:row>67</xdr:row>
      <xdr:rowOff>0</xdr:rowOff>
    </xdr:to>
    <xdr:sp macro="" textlink="">
      <xdr:nvSpPr>
        <xdr:cNvPr id="1396" name="Text Box 1">
          <a:extLst>
            <a:ext uri="{FF2B5EF4-FFF2-40B4-BE49-F238E27FC236}">
              <a16:creationId xmlns:a16="http://schemas.microsoft.com/office/drawing/2014/main" id="{00000000-0008-0000-0300-00007405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66</xdr:row>
      <xdr:rowOff>0</xdr:rowOff>
    </xdr:from>
    <xdr:to>
      <xdr:col>4</xdr:col>
      <xdr:colOff>76200</xdr:colOff>
      <xdr:row>67</xdr:row>
      <xdr:rowOff>0</xdr:rowOff>
    </xdr:to>
    <xdr:sp macro="" textlink="">
      <xdr:nvSpPr>
        <xdr:cNvPr id="1397" name="Text Box 1">
          <a:extLst>
            <a:ext uri="{FF2B5EF4-FFF2-40B4-BE49-F238E27FC236}">
              <a16:creationId xmlns:a16="http://schemas.microsoft.com/office/drawing/2014/main" id="{00000000-0008-0000-0300-00007505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66</xdr:row>
      <xdr:rowOff>0</xdr:rowOff>
    </xdr:from>
    <xdr:to>
      <xdr:col>4</xdr:col>
      <xdr:colOff>76200</xdr:colOff>
      <xdr:row>67</xdr:row>
      <xdr:rowOff>0</xdr:rowOff>
    </xdr:to>
    <xdr:sp macro="" textlink="">
      <xdr:nvSpPr>
        <xdr:cNvPr id="1398" name="Text Box 2">
          <a:extLst>
            <a:ext uri="{FF2B5EF4-FFF2-40B4-BE49-F238E27FC236}">
              <a16:creationId xmlns:a16="http://schemas.microsoft.com/office/drawing/2014/main" id="{00000000-0008-0000-0300-00007605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66</xdr:row>
      <xdr:rowOff>0</xdr:rowOff>
    </xdr:from>
    <xdr:to>
      <xdr:col>4</xdr:col>
      <xdr:colOff>76200</xdr:colOff>
      <xdr:row>67</xdr:row>
      <xdr:rowOff>0</xdr:rowOff>
    </xdr:to>
    <xdr:sp macro="" textlink="">
      <xdr:nvSpPr>
        <xdr:cNvPr id="1399" name="Text Box 1">
          <a:extLst>
            <a:ext uri="{FF2B5EF4-FFF2-40B4-BE49-F238E27FC236}">
              <a16:creationId xmlns:a16="http://schemas.microsoft.com/office/drawing/2014/main" id="{00000000-0008-0000-0300-00007705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66</xdr:row>
      <xdr:rowOff>0</xdr:rowOff>
    </xdr:from>
    <xdr:to>
      <xdr:col>4</xdr:col>
      <xdr:colOff>76200</xdr:colOff>
      <xdr:row>67</xdr:row>
      <xdr:rowOff>0</xdr:rowOff>
    </xdr:to>
    <xdr:sp macro="" textlink="">
      <xdr:nvSpPr>
        <xdr:cNvPr id="1400" name="Text Box 1">
          <a:extLst>
            <a:ext uri="{FF2B5EF4-FFF2-40B4-BE49-F238E27FC236}">
              <a16:creationId xmlns:a16="http://schemas.microsoft.com/office/drawing/2014/main" id="{00000000-0008-0000-0300-00007805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66</xdr:row>
      <xdr:rowOff>0</xdr:rowOff>
    </xdr:from>
    <xdr:to>
      <xdr:col>4</xdr:col>
      <xdr:colOff>76200</xdr:colOff>
      <xdr:row>67</xdr:row>
      <xdr:rowOff>0</xdr:rowOff>
    </xdr:to>
    <xdr:sp macro="" textlink="">
      <xdr:nvSpPr>
        <xdr:cNvPr id="1401" name="Text Box 1">
          <a:extLst>
            <a:ext uri="{FF2B5EF4-FFF2-40B4-BE49-F238E27FC236}">
              <a16:creationId xmlns:a16="http://schemas.microsoft.com/office/drawing/2014/main" id="{00000000-0008-0000-0300-00007905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66</xdr:row>
      <xdr:rowOff>0</xdr:rowOff>
    </xdr:from>
    <xdr:to>
      <xdr:col>4</xdr:col>
      <xdr:colOff>76200</xdr:colOff>
      <xdr:row>67</xdr:row>
      <xdr:rowOff>0</xdr:rowOff>
    </xdr:to>
    <xdr:sp macro="" textlink="">
      <xdr:nvSpPr>
        <xdr:cNvPr id="1402" name="Text Box 2">
          <a:extLst>
            <a:ext uri="{FF2B5EF4-FFF2-40B4-BE49-F238E27FC236}">
              <a16:creationId xmlns:a16="http://schemas.microsoft.com/office/drawing/2014/main" id="{00000000-0008-0000-0300-00007A05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66</xdr:row>
      <xdr:rowOff>0</xdr:rowOff>
    </xdr:from>
    <xdr:to>
      <xdr:col>4</xdr:col>
      <xdr:colOff>76200</xdr:colOff>
      <xdr:row>67</xdr:row>
      <xdr:rowOff>0</xdr:rowOff>
    </xdr:to>
    <xdr:sp macro="" textlink="">
      <xdr:nvSpPr>
        <xdr:cNvPr id="1403" name="Text Box 1">
          <a:extLst>
            <a:ext uri="{FF2B5EF4-FFF2-40B4-BE49-F238E27FC236}">
              <a16:creationId xmlns:a16="http://schemas.microsoft.com/office/drawing/2014/main" id="{00000000-0008-0000-0300-00007B05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66</xdr:row>
      <xdr:rowOff>0</xdr:rowOff>
    </xdr:from>
    <xdr:to>
      <xdr:col>4</xdr:col>
      <xdr:colOff>76200</xdr:colOff>
      <xdr:row>67</xdr:row>
      <xdr:rowOff>0</xdr:rowOff>
    </xdr:to>
    <xdr:sp macro="" textlink="">
      <xdr:nvSpPr>
        <xdr:cNvPr id="1404" name="Text Box 1">
          <a:extLst>
            <a:ext uri="{FF2B5EF4-FFF2-40B4-BE49-F238E27FC236}">
              <a16:creationId xmlns:a16="http://schemas.microsoft.com/office/drawing/2014/main" id="{00000000-0008-0000-0300-00007C05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67</xdr:row>
      <xdr:rowOff>0</xdr:rowOff>
    </xdr:from>
    <xdr:to>
      <xdr:col>4</xdr:col>
      <xdr:colOff>76200</xdr:colOff>
      <xdr:row>68</xdr:row>
      <xdr:rowOff>0</xdr:rowOff>
    </xdr:to>
    <xdr:sp macro="" textlink="">
      <xdr:nvSpPr>
        <xdr:cNvPr id="1405" name="Text Box 1">
          <a:extLst>
            <a:ext uri="{FF2B5EF4-FFF2-40B4-BE49-F238E27FC236}">
              <a16:creationId xmlns:a16="http://schemas.microsoft.com/office/drawing/2014/main" id="{00000000-0008-0000-0300-00007D05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67</xdr:row>
      <xdr:rowOff>0</xdr:rowOff>
    </xdr:from>
    <xdr:to>
      <xdr:col>4</xdr:col>
      <xdr:colOff>76200</xdr:colOff>
      <xdr:row>68</xdr:row>
      <xdr:rowOff>0</xdr:rowOff>
    </xdr:to>
    <xdr:sp macro="" textlink="">
      <xdr:nvSpPr>
        <xdr:cNvPr id="1406" name="Text Box 2">
          <a:extLst>
            <a:ext uri="{FF2B5EF4-FFF2-40B4-BE49-F238E27FC236}">
              <a16:creationId xmlns:a16="http://schemas.microsoft.com/office/drawing/2014/main" id="{00000000-0008-0000-0300-00007E05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67</xdr:row>
      <xdr:rowOff>0</xdr:rowOff>
    </xdr:from>
    <xdr:to>
      <xdr:col>4</xdr:col>
      <xdr:colOff>76200</xdr:colOff>
      <xdr:row>68</xdr:row>
      <xdr:rowOff>0</xdr:rowOff>
    </xdr:to>
    <xdr:sp macro="" textlink="">
      <xdr:nvSpPr>
        <xdr:cNvPr id="1407" name="Text Box 1">
          <a:extLst>
            <a:ext uri="{FF2B5EF4-FFF2-40B4-BE49-F238E27FC236}">
              <a16:creationId xmlns:a16="http://schemas.microsoft.com/office/drawing/2014/main" id="{00000000-0008-0000-0300-00007F05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67</xdr:row>
      <xdr:rowOff>0</xdr:rowOff>
    </xdr:from>
    <xdr:to>
      <xdr:col>4</xdr:col>
      <xdr:colOff>76200</xdr:colOff>
      <xdr:row>68</xdr:row>
      <xdr:rowOff>0</xdr:rowOff>
    </xdr:to>
    <xdr:sp macro="" textlink="">
      <xdr:nvSpPr>
        <xdr:cNvPr id="1408" name="Text Box 1">
          <a:extLst>
            <a:ext uri="{FF2B5EF4-FFF2-40B4-BE49-F238E27FC236}">
              <a16:creationId xmlns:a16="http://schemas.microsoft.com/office/drawing/2014/main" id="{00000000-0008-0000-0300-00008005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67</xdr:row>
      <xdr:rowOff>0</xdr:rowOff>
    </xdr:from>
    <xdr:to>
      <xdr:col>4</xdr:col>
      <xdr:colOff>76200</xdr:colOff>
      <xdr:row>68</xdr:row>
      <xdr:rowOff>0</xdr:rowOff>
    </xdr:to>
    <xdr:sp macro="" textlink="">
      <xdr:nvSpPr>
        <xdr:cNvPr id="1409" name="Text Box 1">
          <a:extLst>
            <a:ext uri="{FF2B5EF4-FFF2-40B4-BE49-F238E27FC236}">
              <a16:creationId xmlns:a16="http://schemas.microsoft.com/office/drawing/2014/main" id="{00000000-0008-0000-0300-00008105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67</xdr:row>
      <xdr:rowOff>0</xdr:rowOff>
    </xdr:from>
    <xdr:to>
      <xdr:col>4</xdr:col>
      <xdr:colOff>76200</xdr:colOff>
      <xdr:row>68</xdr:row>
      <xdr:rowOff>0</xdr:rowOff>
    </xdr:to>
    <xdr:sp macro="" textlink="">
      <xdr:nvSpPr>
        <xdr:cNvPr id="1410" name="Text Box 2">
          <a:extLst>
            <a:ext uri="{FF2B5EF4-FFF2-40B4-BE49-F238E27FC236}">
              <a16:creationId xmlns:a16="http://schemas.microsoft.com/office/drawing/2014/main" id="{00000000-0008-0000-0300-00008205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67</xdr:row>
      <xdr:rowOff>0</xdr:rowOff>
    </xdr:from>
    <xdr:to>
      <xdr:col>4</xdr:col>
      <xdr:colOff>76200</xdr:colOff>
      <xdr:row>68</xdr:row>
      <xdr:rowOff>0</xdr:rowOff>
    </xdr:to>
    <xdr:sp macro="" textlink="">
      <xdr:nvSpPr>
        <xdr:cNvPr id="1411" name="Text Box 1">
          <a:extLst>
            <a:ext uri="{FF2B5EF4-FFF2-40B4-BE49-F238E27FC236}">
              <a16:creationId xmlns:a16="http://schemas.microsoft.com/office/drawing/2014/main" id="{00000000-0008-0000-0300-00008305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67</xdr:row>
      <xdr:rowOff>0</xdr:rowOff>
    </xdr:from>
    <xdr:to>
      <xdr:col>4</xdr:col>
      <xdr:colOff>76200</xdr:colOff>
      <xdr:row>68</xdr:row>
      <xdr:rowOff>0</xdr:rowOff>
    </xdr:to>
    <xdr:sp macro="" textlink="">
      <xdr:nvSpPr>
        <xdr:cNvPr id="1412" name="Text Box 1">
          <a:extLst>
            <a:ext uri="{FF2B5EF4-FFF2-40B4-BE49-F238E27FC236}">
              <a16:creationId xmlns:a16="http://schemas.microsoft.com/office/drawing/2014/main" id="{00000000-0008-0000-0300-00008405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67</xdr:row>
      <xdr:rowOff>0</xdr:rowOff>
    </xdr:from>
    <xdr:to>
      <xdr:col>4</xdr:col>
      <xdr:colOff>76200</xdr:colOff>
      <xdr:row>68</xdr:row>
      <xdr:rowOff>0</xdr:rowOff>
    </xdr:to>
    <xdr:sp macro="" textlink="">
      <xdr:nvSpPr>
        <xdr:cNvPr id="1413" name="Text Box 1">
          <a:extLst>
            <a:ext uri="{FF2B5EF4-FFF2-40B4-BE49-F238E27FC236}">
              <a16:creationId xmlns:a16="http://schemas.microsoft.com/office/drawing/2014/main" id="{00000000-0008-0000-0300-00008505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67</xdr:row>
      <xdr:rowOff>0</xdr:rowOff>
    </xdr:from>
    <xdr:to>
      <xdr:col>4</xdr:col>
      <xdr:colOff>76200</xdr:colOff>
      <xdr:row>68</xdr:row>
      <xdr:rowOff>0</xdr:rowOff>
    </xdr:to>
    <xdr:sp macro="" textlink="">
      <xdr:nvSpPr>
        <xdr:cNvPr id="1414" name="Text Box 2">
          <a:extLst>
            <a:ext uri="{FF2B5EF4-FFF2-40B4-BE49-F238E27FC236}">
              <a16:creationId xmlns:a16="http://schemas.microsoft.com/office/drawing/2014/main" id="{00000000-0008-0000-0300-00008605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67</xdr:row>
      <xdr:rowOff>0</xdr:rowOff>
    </xdr:from>
    <xdr:to>
      <xdr:col>4</xdr:col>
      <xdr:colOff>76200</xdr:colOff>
      <xdr:row>68</xdr:row>
      <xdr:rowOff>0</xdr:rowOff>
    </xdr:to>
    <xdr:sp macro="" textlink="">
      <xdr:nvSpPr>
        <xdr:cNvPr id="1415" name="Text Box 1">
          <a:extLst>
            <a:ext uri="{FF2B5EF4-FFF2-40B4-BE49-F238E27FC236}">
              <a16:creationId xmlns:a16="http://schemas.microsoft.com/office/drawing/2014/main" id="{00000000-0008-0000-0300-00008705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67</xdr:row>
      <xdr:rowOff>0</xdr:rowOff>
    </xdr:from>
    <xdr:to>
      <xdr:col>4</xdr:col>
      <xdr:colOff>76200</xdr:colOff>
      <xdr:row>68</xdr:row>
      <xdr:rowOff>0</xdr:rowOff>
    </xdr:to>
    <xdr:sp macro="" textlink="">
      <xdr:nvSpPr>
        <xdr:cNvPr id="1416" name="Text Box 1">
          <a:extLst>
            <a:ext uri="{FF2B5EF4-FFF2-40B4-BE49-F238E27FC236}">
              <a16:creationId xmlns:a16="http://schemas.microsoft.com/office/drawing/2014/main" id="{00000000-0008-0000-0300-00008805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67</xdr:row>
      <xdr:rowOff>0</xdr:rowOff>
    </xdr:from>
    <xdr:to>
      <xdr:col>4</xdr:col>
      <xdr:colOff>76200</xdr:colOff>
      <xdr:row>68</xdr:row>
      <xdr:rowOff>0</xdr:rowOff>
    </xdr:to>
    <xdr:sp macro="" textlink="">
      <xdr:nvSpPr>
        <xdr:cNvPr id="1417" name="Text Box 1">
          <a:extLst>
            <a:ext uri="{FF2B5EF4-FFF2-40B4-BE49-F238E27FC236}">
              <a16:creationId xmlns:a16="http://schemas.microsoft.com/office/drawing/2014/main" id="{00000000-0008-0000-0300-00008905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67</xdr:row>
      <xdr:rowOff>0</xdr:rowOff>
    </xdr:from>
    <xdr:to>
      <xdr:col>4</xdr:col>
      <xdr:colOff>76200</xdr:colOff>
      <xdr:row>68</xdr:row>
      <xdr:rowOff>0</xdr:rowOff>
    </xdr:to>
    <xdr:sp macro="" textlink="">
      <xdr:nvSpPr>
        <xdr:cNvPr id="1418" name="Text Box 2">
          <a:extLst>
            <a:ext uri="{FF2B5EF4-FFF2-40B4-BE49-F238E27FC236}">
              <a16:creationId xmlns:a16="http://schemas.microsoft.com/office/drawing/2014/main" id="{00000000-0008-0000-0300-00008A05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67</xdr:row>
      <xdr:rowOff>0</xdr:rowOff>
    </xdr:from>
    <xdr:to>
      <xdr:col>4</xdr:col>
      <xdr:colOff>76200</xdr:colOff>
      <xdr:row>68</xdr:row>
      <xdr:rowOff>0</xdr:rowOff>
    </xdr:to>
    <xdr:sp macro="" textlink="">
      <xdr:nvSpPr>
        <xdr:cNvPr id="1419" name="Text Box 1">
          <a:extLst>
            <a:ext uri="{FF2B5EF4-FFF2-40B4-BE49-F238E27FC236}">
              <a16:creationId xmlns:a16="http://schemas.microsoft.com/office/drawing/2014/main" id="{00000000-0008-0000-0300-00008B05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67</xdr:row>
      <xdr:rowOff>0</xdr:rowOff>
    </xdr:from>
    <xdr:to>
      <xdr:col>4</xdr:col>
      <xdr:colOff>76200</xdr:colOff>
      <xdr:row>68</xdr:row>
      <xdr:rowOff>0</xdr:rowOff>
    </xdr:to>
    <xdr:sp macro="" textlink="">
      <xdr:nvSpPr>
        <xdr:cNvPr id="1420" name="Text Box 1">
          <a:extLst>
            <a:ext uri="{FF2B5EF4-FFF2-40B4-BE49-F238E27FC236}">
              <a16:creationId xmlns:a16="http://schemas.microsoft.com/office/drawing/2014/main" id="{00000000-0008-0000-0300-00008C05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67</xdr:row>
      <xdr:rowOff>0</xdr:rowOff>
    </xdr:from>
    <xdr:to>
      <xdr:col>4</xdr:col>
      <xdr:colOff>76200</xdr:colOff>
      <xdr:row>68</xdr:row>
      <xdr:rowOff>0</xdr:rowOff>
    </xdr:to>
    <xdr:sp macro="" textlink="">
      <xdr:nvSpPr>
        <xdr:cNvPr id="1421" name="Text Box 2">
          <a:extLst>
            <a:ext uri="{FF2B5EF4-FFF2-40B4-BE49-F238E27FC236}">
              <a16:creationId xmlns:a16="http://schemas.microsoft.com/office/drawing/2014/main" id="{00000000-0008-0000-0300-00008D05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67</xdr:row>
      <xdr:rowOff>0</xdr:rowOff>
    </xdr:from>
    <xdr:to>
      <xdr:col>4</xdr:col>
      <xdr:colOff>76200</xdr:colOff>
      <xdr:row>68</xdr:row>
      <xdr:rowOff>0</xdr:rowOff>
    </xdr:to>
    <xdr:sp macro="" textlink="">
      <xdr:nvSpPr>
        <xdr:cNvPr id="1422" name="Text Box 1">
          <a:extLst>
            <a:ext uri="{FF2B5EF4-FFF2-40B4-BE49-F238E27FC236}">
              <a16:creationId xmlns:a16="http://schemas.microsoft.com/office/drawing/2014/main" id="{00000000-0008-0000-0300-00008E05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67</xdr:row>
      <xdr:rowOff>0</xdr:rowOff>
    </xdr:from>
    <xdr:to>
      <xdr:col>4</xdr:col>
      <xdr:colOff>76200</xdr:colOff>
      <xdr:row>68</xdr:row>
      <xdr:rowOff>0</xdr:rowOff>
    </xdr:to>
    <xdr:sp macro="" textlink="">
      <xdr:nvSpPr>
        <xdr:cNvPr id="1423" name="Text Box 1">
          <a:extLst>
            <a:ext uri="{FF2B5EF4-FFF2-40B4-BE49-F238E27FC236}">
              <a16:creationId xmlns:a16="http://schemas.microsoft.com/office/drawing/2014/main" id="{00000000-0008-0000-0300-00008F05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67</xdr:row>
      <xdr:rowOff>0</xdr:rowOff>
    </xdr:from>
    <xdr:to>
      <xdr:col>4</xdr:col>
      <xdr:colOff>76200</xdr:colOff>
      <xdr:row>68</xdr:row>
      <xdr:rowOff>0</xdr:rowOff>
    </xdr:to>
    <xdr:sp macro="" textlink="">
      <xdr:nvSpPr>
        <xdr:cNvPr id="1424" name="Text Box 1">
          <a:extLst>
            <a:ext uri="{FF2B5EF4-FFF2-40B4-BE49-F238E27FC236}">
              <a16:creationId xmlns:a16="http://schemas.microsoft.com/office/drawing/2014/main" id="{00000000-0008-0000-0300-00009005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67</xdr:row>
      <xdr:rowOff>0</xdr:rowOff>
    </xdr:from>
    <xdr:to>
      <xdr:col>4</xdr:col>
      <xdr:colOff>76200</xdr:colOff>
      <xdr:row>68</xdr:row>
      <xdr:rowOff>0</xdr:rowOff>
    </xdr:to>
    <xdr:sp macro="" textlink="">
      <xdr:nvSpPr>
        <xdr:cNvPr id="1425" name="Text Box 2">
          <a:extLst>
            <a:ext uri="{FF2B5EF4-FFF2-40B4-BE49-F238E27FC236}">
              <a16:creationId xmlns:a16="http://schemas.microsoft.com/office/drawing/2014/main" id="{00000000-0008-0000-0300-00009105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67</xdr:row>
      <xdr:rowOff>0</xdr:rowOff>
    </xdr:from>
    <xdr:to>
      <xdr:col>4</xdr:col>
      <xdr:colOff>76200</xdr:colOff>
      <xdr:row>68</xdr:row>
      <xdr:rowOff>0</xdr:rowOff>
    </xdr:to>
    <xdr:sp macro="" textlink="">
      <xdr:nvSpPr>
        <xdr:cNvPr id="1426" name="Text Box 1">
          <a:extLst>
            <a:ext uri="{FF2B5EF4-FFF2-40B4-BE49-F238E27FC236}">
              <a16:creationId xmlns:a16="http://schemas.microsoft.com/office/drawing/2014/main" id="{00000000-0008-0000-0300-00009205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67</xdr:row>
      <xdr:rowOff>0</xdr:rowOff>
    </xdr:from>
    <xdr:to>
      <xdr:col>4</xdr:col>
      <xdr:colOff>76200</xdr:colOff>
      <xdr:row>68</xdr:row>
      <xdr:rowOff>0</xdr:rowOff>
    </xdr:to>
    <xdr:sp macro="" textlink="">
      <xdr:nvSpPr>
        <xdr:cNvPr id="1427" name="Text Box 1">
          <a:extLst>
            <a:ext uri="{FF2B5EF4-FFF2-40B4-BE49-F238E27FC236}">
              <a16:creationId xmlns:a16="http://schemas.microsoft.com/office/drawing/2014/main" id="{00000000-0008-0000-0300-00009305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68</xdr:row>
      <xdr:rowOff>0</xdr:rowOff>
    </xdr:from>
    <xdr:to>
      <xdr:col>4</xdr:col>
      <xdr:colOff>76200</xdr:colOff>
      <xdr:row>69</xdr:row>
      <xdr:rowOff>0</xdr:rowOff>
    </xdr:to>
    <xdr:sp macro="" textlink="">
      <xdr:nvSpPr>
        <xdr:cNvPr id="1428" name="Text Box 1">
          <a:extLst>
            <a:ext uri="{FF2B5EF4-FFF2-40B4-BE49-F238E27FC236}">
              <a16:creationId xmlns:a16="http://schemas.microsoft.com/office/drawing/2014/main" id="{00000000-0008-0000-0300-00009405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68</xdr:row>
      <xdr:rowOff>0</xdr:rowOff>
    </xdr:from>
    <xdr:to>
      <xdr:col>4</xdr:col>
      <xdr:colOff>76200</xdr:colOff>
      <xdr:row>69</xdr:row>
      <xdr:rowOff>0</xdr:rowOff>
    </xdr:to>
    <xdr:sp macro="" textlink="">
      <xdr:nvSpPr>
        <xdr:cNvPr id="1429" name="Text Box 2">
          <a:extLst>
            <a:ext uri="{FF2B5EF4-FFF2-40B4-BE49-F238E27FC236}">
              <a16:creationId xmlns:a16="http://schemas.microsoft.com/office/drawing/2014/main" id="{00000000-0008-0000-0300-00009505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68</xdr:row>
      <xdr:rowOff>0</xdr:rowOff>
    </xdr:from>
    <xdr:to>
      <xdr:col>4</xdr:col>
      <xdr:colOff>76200</xdr:colOff>
      <xdr:row>69</xdr:row>
      <xdr:rowOff>0</xdr:rowOff>
    </xdr:to>
    <xdr:sp macro="" textlink="">
      <xdr:nvSpPr>
        <xdr:cNvPr id="1430" name="Text Box 1">
          <a:extLst>
            <a:ext uri="{FF2B5EF4-FFF2-40B4-BE49-F238E27FC236}">
              <a16:creationId xmlns:a16="http://schemas.microsoft.com/office/drawing/2014/main" id="{00000000-0008-0000-0300-00009605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68</xdr:row>
      <xdr:rowOff>0</xdr:rowOff>
    </xdr:from>
    <xdr:to>
      <xdr:col>4</xdr:col>
      <xdr:colOff>76200</xdr:colOff>
      <xdr:row>69</xdr:row>
      <xdr:rowOff>0</xdr:rowOff>
    </xdr:to>
    <xdr:sp macro="" textlink="">
      <xdr:nvSpPr>
        <xdr:cNvPr id="1431" name="Text Box 1">
          <a:extLst>
            <a:ext uri="{FF2B5EF4-FFF2-40B4-BE49-F238E27FC236}">
              <a16:creationId xmlns:a16="http://schemas.microsoft.com/office/drawing/2014/main" id="{00000000-0008-0000-0300-00009705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68</xdr:row>
      <xdr:rowOff>0</xdr:rowOff>
    </xdr:from>
    <xdr:to>
      <xdr:col>4</xdr:col>
      <xdr:colOff>76200</xdr:colOff>
      <xdr:row>69</xdr:row>
      <xdr:rowOff>0</xdr:rowOff>
    </xdr:to>
    <xdr:sp macro="" textlink="">
      <xdr:nvSpPr>
        <xdr:cNvPr id="1432" name="Text Box 1">
          <a:extLst>
            <a:ext uri="{FF2B5EF4-FFF2-40B4-BE49-F238E27FC236}">
              <a16:creationId xmlns:a16="http://schemas.microsoft.com/office/drawing/2014/main" id="{00000000-0008-0000-0300-00009805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68</xdr:row>
      <xdr:rowOff>0</xdr:rowOff>
    </xdr:from>
    <xdr:to>
      <xdr:col>4</xdr:col>
      <xdr:colOff>76200</xdr:colOff>
      <xdr:row>69</xdr:row>
      <xdr:rowOff>0</xdr:rowOff>
    </xdr:to>
    <xdr:sp macro="" textlink="">
      <xdr:nvSpPr>
        <xdr:cNvPr id="1433" name="Text Box 2">
          <a:extLst>
            <a:ext uri="{FF2B5EF4-FFF2-40B4-BE49-F238E27FC236}">
              <a16:creationId xmlns:a16="http://schemas.microsoft.com/office/drawing/2014/main" id="{00000000-0008-0000-0300-00009905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68</xdr:row>
      <xdr:rowOff>0</xdr:rowOff>
    </xdr:from>
    <xdr:to>
      <xdr:col>4</xdr:col>
      <xdr:colOff>76200</xdr:colOff>
      <xdr:row>69</xdr:row>
      <xdr:rowOff>0</xdr:rowOff>
    </xdr:to>
    <xdr:sp macro="" textlink="">
      <xdr:nvSpPr>
        <xdr:cNvPr id="1434" name="Text Box 1">
          <a:extLst>
            <a:ext uri="{FF2B5EF4-FFF2-40B4-BE49-F238E27FC236}">
              <a16:creationId xmlns:a16="http://schemas.microsoft.com/office/drawing/2014/main" id="{00000000-0008-0000-0300-00009A05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68</xdr:row>
      <xdr:rowOff>0</xdr:rowOff>
    </xdr:from>
    <xdr:to>
      <xdr:col>4</xdr:col>
      <xdr:colOff>76200</xdr:colOff>
      <xdr:row>69</xdr:row>
      <xdr:rowOff>0</xdr:rowOff>
    </xdr:to>
    <xdr:sp macro="" textlink="">
      <xdr:nvSpPr>
        <xdr:cNvPr id="1435" name="Text Box 1">
          <a:extLst>
            <a:ext uri="{FF2B5EF4-FFF2-40B4-BE49-F238E27FC236}">
              <a16:creationId xmlns:a16="http://schemas.microsoft.com/office/drawing/2014/main" id="{00000000-0008-0000-0300-00009B05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68</xdr:row>
      <xdr:rowOff>0</xdr:rowOff>
    </xdr:from>
    <xdr:to>
      <xdr:col>4</xdr:col>
      <xdr:colOff>76200</xdr:colOff>
      <xdr:row>69</xdr:row>
      <xdr:rowOff>0</xdr:rowOff>
    </xdr:to>
    <xdr:sp macro="" textlink="">
      <xdr:nvSpPr>
        <xdr:cNvPr id="1436" name="Text Box 1">
          <a:extLst>
            <a:ext uri="{FF2B5EF4-FFF2-40B4-BE49-F238E27FC236}">
              <a16:creationId xmlns:a16="http://schemas.microsoft.com/office/drawing/2014/main" id="{00000000-0008-0000-0300-00009C05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68</xdr:row>
      <xdr:rowOff>0</xdr:rowOff>
    </xdr:from>
    <xdr:to>
      <xdr:col>4</xdr:col>
      <xdr:colOff>76200</xdr:colOff>
      <xdr:row>69</xdr:row>
      <xdr:rowOff>0</xdr:rowOff>
    </xdr:to>
    <xdr:sp macro="" textlink="">
      <xdr:nvSpPr>
        <xdr:cNvPr id="1437" name="Text Box 2">
          <a:extLst>
            <a:ext uri="{FF2B5EF4-FFF2-40B4-BE49-F238E27FC236}">
              <a16:creationId xmlns:a16="http://schemas.microsoft.com/office/drawing/2014/main" id="{00000000-0008-0000-0300-00009D05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68</xdr:row>
      <xdr:rowOff>0</xdr:rowOff>
    </xdr:from>
    <xdr:to>
      <xdr:col>4</xdr:col>
      <xdr:colOff>76200</xdr:colOff>
      <xdr:row>69</xdr:row>
      <xdr:rowOff>0</xdr:rowOff>
    </xdr:to>
    <xdr:sp macro="" textlink="">
      <xdr:nvSpPr>
        <xdr:cNvPr id="1438" name="Text Box 1">
          <a:extLst>
            <a:ext uri="{FF2B5EF4-FFF2-40B4-BE49-F238E27FC236}">
              <a16:creationId xmlns:a16="http://schemas.microsoft.com/office/drawing/2014/main" id="{00000000-0008-0000-0300-00009E05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68</xdr:row>
      <xdr:rowOff>0</xdr:rowOff>
    </xdr:from>
    <xdr:to>
      <xdr:col>4</xdr:col>
      <xdr:colOff>76200</xdr:colOff>
      <xdr:row>69</xdr:row>
      <xdr:rowOff>0</xdr:rowOff>
    </xdr:to>
    <xdr:sp macro="" textlink="">
      <xdr:nvSpPr>
        <xdr:cNvPr id="1439" name="Text Box 1">
          <a:extLst>
            <a:ext uri="{FF2B5EF4-FFF2-40B4-BE49-F238E27FC236}">
              <a16:creationId xmlns:a16="http://schemas.microsoft.com/office/drawing/2014/main" id="{00000000-0008-0000-0300-00009F05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68</xdr:row>
      <xdr:rowOff>0</xdr:rowOff>
    </xdr:from>
    <xdr:to>
      <xdr:col>4</xdr:col>
      <xdr:colOff>76200</xdr:colOff>
      <xdr:row>69</xdr:row>
      <xdr:rowOff>0</xdr:rowOff>
    </xdr:to>
    <xdr:sp macro="" textlink="">
      <xdr:nvSpPr>
        <xdr:cNvPr id="1440" name="Text Box 1">
          <a:extLst>
            <a:ext uri="{FF2B5EF4-FFF2-40B4-BE49-F238E27FC236}">
              <a16:creationId xmlns:a16="http://schemas.microsoft.com/office/drawing/2014/main" id="{00000000-0008-0000-0300-0000A005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68</xdr:row>
      <xdr:rowOff>0</xdr:rowOff>
    </xdr:from>
    <xdr:to>
      <xdr:col>4</xdr:col>
      <xdr:colOff>76200</xdr:colOff>
      <xdr:row>69</xdr:row>
      <xdr:rowOff>0</xdr:rowOff>
    </xdr:to>
    <xdr:sp macro="" textlink="">
      <xdr:nvSpPr>
        <xdr:cNvPr id="1441" name="Text Box 2">
          <a:extLst>
            <a:ext uri="{FF2B5EF4-FFF2-40B4-BE49-F238E27FC236}">
              <a16:creationId xmlns:a16="http://schemas.microsoft.com/office/drawing/2014/main" id="{00000000-0008-0000-0300-0000A105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68</xdr:row>
      <xdr:rowOff>0</xdr:rowOff>
    </xdr:from>
    <xdr:to>
      <xdr:col>4</xdr:col>
      <xdr:colOff>76200</xdr:colOff>
      <xdr:row>69</xdr:row>
      <xdr:rowOff>0</xdr:rowOff>
    </xdr:to>
    <xdr:sp macro="" textlink="">
      <xdr:nvSpPr>
        <xdr:cNvPr id="1442" name="Text Box 1">
          <a:extLst>
            <a:ext uri="{FF2B5EF4-FFF2-40B4-BE49-F238E27FC236}">
              <a16:creationId xmlns:a16="http://schemas.microsoft.com/office/drawing/2014/main" id="{00000000-0008-0000-0300-0000A205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68</xdr:row>
      <xdr:rowOff>0</xdr:rowOff>
    </xdr:from>
    <xdr:to>
      <xdr:col>4</xdr:col>
      <xdr:colOff>76200</xdr:colOff>
      <xdr:row>69</xdr:row>
      <xdr:rowOff>0</xdr:rowOff>
    </xdr:to>
    <xdr:sp macro="" textlink="">
      <xdr:nvSpPr>
        <xdr:cNvPr id="1443" name="Text Box 1">
          <a:extLst>
            <a:ext uri="{FF2B5EF4-FFF2-40B4-BE49-F238E27FC236}">
              <a16:creationId xmlns:a16="http://schemas.microsoft.com/office/drawing/2014/main" id="{00000000-0008-0000-0300-0000A305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68</xdr:row>
      <xdr:rowOff>0</xdr:rowOff>
    </xdr:from>
    <xdr:to>
      <xdr:col>4</xdr:col>
      <xdr:colOff>76200</xdr:colOff>
      <xdr:row>69</xdr:row>
      <xdr:rowOff>0</xdr:rowOff>
    </xdr:to>
    <xdr:sp macro="" textlink="">
      <xdr:nvSpPr>
        <xdr:cNvPr id="1444" name="Text Box 2">
          <a:extLst>
            <a:ext uri="{FF2B5EF4-FFF2-40B4-BE49-F238E27FC236}">
              <a16:creationId xmlns:a16="http://schemas.microsoft.com/office/drawing/2014/main" id="{00000000-0008-0000-0300-0000A405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68</xdr:row>
      <xdr:rowOff>0</xdr:rowOff>
    </xdr:from>
    <xdr:to>
      <xdr:col>4</xdr:col>
      <xdr:colOff>76200</xdr:colOff>
      <xdr:row>69</xdr:row>
      <xdr:rowOff>0</xdr:rowOff>
    </xdr:to>
    <xdr:sp macro="" textlink="">
      <xdr:nvSpPr>
        <xdr:cNvPr id="1445" name="Text Box 1">
          <a:extLst>
            <a:ext uri="{FF2B5EF4-FFF2-40B4-BE49-F238E27FC236}">
              <a16:creationId xmlns:a16="http://schemas.microsoft.com/office/drawing/2014/main" id="{00000000-0008-0000-0300-0000A505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68</xdr:row>
      <xdr:rowOff>0</xdr:rowOff>
    </xdr:from>
    <xdr:to>
      <xdr:col>4</xdr:col>
      <xdr:colOff>76200</xdr:colOff>
      <xdr:row>69</xdr:row>
      <xdr:rowOff>0</xdr:rowOff>
    </xdr:to>
    <xdr:sp macro="" textlink="">
      <xdr:nvSpPr>
        <xdr:cNvPr id="1446" name="Text Box 1">
          <a:extLst>
            <a:ext uri="{FF2B5EF4-FFF2-40B4-BE49-F238E27FC236}">
              <a16:creationId xmlns:a16="http://schemas.microsoft.com/office/drawing/2014/main" id="{00000000-0008-0000-0300-0000A605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68</xdr:row>
      <xdr:rowOff>0</xdr:rowOff>
    </xdr:from>
    <xdr:to>
      <xdr:col>4</xdr:col>
      <xdr:colOff>76200</xdr:colOff>
      <xdr:row>69</xdr:row>
      <xdr:rowOff>0</xdr:rowOff>
    </xdr:to>
    <xdr:sp macro="" textlink="">
      <xdr:nvSpPr>
        <xdr:cNvPr id="1447" name="Text Box 1">
          <a:extLst>
            <a:ext uri="{FF2B5EF4-FFF2-40B4-BE49-F238E27FC236}">
              <a16:creationId xmlns:a16="http://schemas.microsoft.com/office/drawing/2014/main" id="{00000000-0008-0000-0300-0000A705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68</xdr:row>
      <xdr:rowOff>0</xdr:rowOff>
    </xdr:from>
    <xdr:to>
      <xdr:col>4</xdr:col>
      <xdr:colOff>76200</xdr:colOff>
      <xdr:row>69</xdr:row>
      <xdr:rowOff>0</xdr:rowOff>
    </xdr:to>
    <xdr:sp macro="" textlink="">
      <xdr:nvSpPr>
        <xdr:cNvPr id="1448" name="Text Box 2">
          <a:extLst>
            <a:ext uri="{FF2B5EF4-FFF2-40B4-BE49-F238E27FC236}">
              <a16:creationId xmlns:a16="http://schemas.microsoft.com/office/drawing/2014/main" id="{00000000-0008-0000-0300-0000A805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68</xdr:row>
      <xdr:rowOff>0</xdr:rowOff>
    </xdr:from>
    <xdr:to>
      <xdr:col>4</xdr:col>
      <xdr:colOff>76200</xdr:colOff>
      <xdr:row>69</xdr:row>
      <xdr:rowOff>0</xdr:rowOff>
    </xdr:to>
    <xdr:sp macro="" textlink="">
      <xdr:nvSpPr>
        <xdr:cNvPr id="1449" name="Text Box 1">
          <a:extLst>
            <a:ext uri="{FF2B5EF4-FFF2-40B4-BE49-F238E27FC236}">
              <a16:creationId xmlns:a16="http://schemas.microsoft.com/office/drawing/2014/main" id="{00000000-0008-0000-0300-0000A905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68</xdr:row>
      <xdr:rowOff>0</xdr:rowOff>
    </xdr:from>
    <xdr:to>
      <xdr:col>4</xdr:col>
      <xdr:colOff>76200</xdr:colOff>
      <xdr:row>69</xdr:row>
      <xdr:rowOff>0</xdr:rowOff>
    </xdr:to>
    <xdr:sp macro="" textlink="">
      <xdr:nvSpPr>
        <xdr:cNvPr id="1450" name="Text Box 1">
          <a:extLst>
            <a:ext uri="{FF2B5EF4-FFF2-40B4-BE49-F238E27FC236}">
              <a16:creationId xmlns:a16="http://schemas.microsoft.com/office/drawing/2014/main" id="{00000000-0008-0000-0300-0000AA05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69</xdr:row>
      <xdr:rowOff>0</xdr:rowOff>
    </xdr:from>
    <xdr:to>
      <xdr:col>4</xdr:col>
      <xdr:colOff>76200</xdr:colOff>
      <xdr:row>70</xdr:row>
      <xdr:rowOff>0</xdr:rowOff>
    </xdr:to>
    <xdr:sp macro="" textlink="">
      <xdr:nvSpPr>
        <xdr:cNvPr id="1451" name="Text Box 1">
          <a:extLst>
            <a:ext uri="{FF2B5EF4-FFF2-40B4-BE49-F238E27FC236}">
              <a16:creationId xmlns:a16="http://schemas.microsoft.com/office/drawing/2014/main" id="{00000000-0008-0000-0300-0000AB05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69</xdr:row>
      <xdr:rowOff>0</xdr:rowOff>
    </xdr:from>
    <xdr:to>
      <xdr:col>4</xdr:col>
      <xdr:colOff>76200</xdr:colOff>
      <xdr:row>70</xdr:row>
      <xdr:rowOff>0</xdr:rowOff>
    </xdr:to>
    <xdr:sp macro="" textlink="">
      <xdr:nvSpPr>
        <xdr:cNvPr id="1452" name="Text Box 2">
          <a:extLst>
            <a:ext uri="{FF2B5EF4-FFF2-40B4-BE49-F238E27FC236}">
              <a16:creationId xmlns:a16="http://schemas.microsoft.com/office/drawing/2014/main" id="{00000000-0008-0000-0300-0000AC05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69</xdr:row>
      <xdr:rowOff>0</xdr:rowOff>
    </xdr:from>
    <xdr:to>
      <xdr:col>4</xdr:col>
      <xdr:colOff>76200</xdr:colOff>
      <xdr:row>70</xdr:row>
      <xdr:rowOff>0</xdr:rowOff>
    </xdr:to>
    <xdr:sp macro="" textlink="">
      <xdr:nvSpPr>
        <xdr:cNvPr id="1453" name="Text Box 1">
          <a:extLst>
            <a:ext uri="{FF2B5EF4-FFF2-40B4-BE49-F238E27FC236}">
              <a16:creationId xmlns:a16="http://schemas.microsoft.com/office/drawing/2014/main" id="{00000000-0008-0000-0300-0000AD05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69</xdr:row>
      <xdr:rowOff>0</xdr:rowOff>
    </xdr:from>
    <xdr:to>
      <xdr:col>4</xdr:col>
      <xdr:colOff>76200</xdr:colOff>
      <xdr:row>70</xdr:row>
      <xdr:rowOff>0</xdr:rowOff>
    </xdr:to>
    <xdr:sp macro="" textlink="">
      <xdr:nvSpPr>
        <xdr:cNvPr id="1454" name="Text Box 1">
          <a:extLst>
            <a:ext uri="{FF2B5EF4-FFF2-40B4-BE49-F238E27FC236}">
              <a16:creationId xmlns:a16="http://schemas.microsoft.com/office/drawing/2014/main" id="{00000000-0008-0000-0300-0000AE05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69</xdr:row>
      <xdr:rowOff>0</xdr:rowOff>
    </xdr:from>
    <xdr:to>
      <xdr:col>4</xdr:col>
      <xdr:colOff>76200</xdr:colOff>
      <xdr:row>70</xdr:row>
      <xdr:rowOff>0</xdr:rowOff>
    </xdr:to>
    <xdr:sp macro="" textlink="">
      <xdr:nvSpPr>
        <xdr:cNvPr id="1455" name="Text Box 1">
          <a:extLst>
            <a:ext uri="{FF2B5EF4-FFF2-40B4-BE49-F238E27FC236}">
              <a16:creationId xmlns:a16="http://schemas.microsoft.com/office/drawing/2014/main" id="{00000000-0008-0000-0300-0000AF05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69</xdr:row>
      <xdr:rowOff>0</xdr:rowOff>
    </xdr:from>
    <xdr:to>
      <xdr:col>4</xdr:col>
      <xdr:colOff>76200</xdr:colOff>
      <xdr:row>70</xdr:row>
      <xdr:rowOff>0</xdr:rowOff>
    </xdr:to>
    <xdr:sp macro="" textlink="">
      <xdr:nvSpPr>
        <xdr:cNvPr id="1456" name="Text Box 2">
          <a:extLst>
            <a:ext uri="{FF2B5EF4-FFF2-40B4-BE49-F238E27FC236}">
              <a16:creationId xmlns:a16="http://schemas.microsoft.com/office/drawing/2014/main" id="{00000000-0008-0000-0300-0000B005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69</xdr:row>
      <xdr:rowOff>0</xdr:rowOff>
    </xdr:from>
    <xdr:to>
      <xdr:col>4</xdr:col>
      <xdr:colOff>76200</xdr:colOff>
      <xdr:row>70</xdr:row>
      <xdr:rowOff>0</xdr:rowOff>
    </xdr:to>
    <xdr:sp macro="" textlink="">
      <xdr:nvSpPr>
        <xdr:cNvPr id="1457" name="Text Box 1">
          <a:extLst>
            <a:ext uri="{FF2B5EF4-FFF2-40B4-BE49-F238E27FC236}">
              <a16:creationId xmlns:a16="http://schemas.microsoft.com/office/drawing/2014/main" id="{00000000-0008-0000-0300-0000B105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69</xdr:row>
      <xdr:rowOff>0</xdr:rowOff>
    </xdr:from>
    <xdr:to>
      <xdr:col>4</xdr:col>
      <xdr:colOff>76200</xdr:colOff>
      <xdr:row>70</xdr:row>
      <xdr:rowOff>0</xdr:rowOff>
    </xdr:to>
    <xdr:sp macro="" textlink="">
      <xdr:nvSpPr>
        <xdr:cNvPr id="1458" name="Text Box 1">
          <a:extLst>
            <a:ext uri="{FF2B5EF4-FFF2-40B4-BE49-F238E27FC236}">
              <a16:creationId xmlns:a16="http://schemas.microsoft.com/office/drawing/2014/main" id="{00000000-0008-0000-0300-0000B205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69</xdr:row>
      <xdr:rowOff>0</xdr:rowOff>
    </xdr:from>
    <xdr:to>
      <xdr:col>4</xdr:col>
      <xdr:colOff>76200</xdr:colOff>
      <xdr:row>70</xdr:row>
      <xdr:rowOff>0</xdr:rowOff>
    </xdr:to>
    <xdr:sp macro="" textlink="">
      <xdr:nvSpPr>
        <xdr:cNvPr id="1459" name="Text Box 1">
          <a:extLst>
            <a:ext uri="{FF2B5EF4-FFF2-40B4-BE49-F238E27FC236}">
              <a16:creationId xmlns:a16="http://schemas.microsoft.com/office/drawing/2014/main" id="{00000000-0008-0000-0300-0000B305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69</xdr:row>
      <xdr:rowOff>0</xdr:rowOff>
    </xdr:from>
    <xdr:to>
      <xdr:col>4</xdr:col>
      <xdr:colOff>76200</xdr:colOff>
      <xdr:row>70</xdr:row>
      <xdr:rowOff>0</xdr:rowOff>
    </xdr:to>
    <xdr:sp macro="" textlink="">
      <xdr:nvSpPr>
        <xdr:cNvPr id="1460" name="Text Box 2">
          <a:extLst>
            <a:ext uri="{FF2B5EF4-FFF2-40B4-BE49-F238E27FC236}">
              <a16:creationId xmlns:a16="http://schemas.microsoft.com/office/drawing/2014/main" id="{00000000-0008-0000-0300-0000B405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69</xdr:row>
      <xdr:rowOff>0</xdr:rowOff>
    </xdr:from>
    <xdr:to>
      <xdr:col>4</xdr:col>
      <xdr:colOff>76200</xdr:colOff>
      <xdr:row>70</xdr:row>
      <xdr:rowOff>0</xdr:rowOff>
    </xdr:to>
    <xdr:sp macro="" textlink="">
      <xdr:nvSpPr>
        <xdr:cNvPr id="1461" name="Text Box 1">
          <a:extLst>
            <a:ext uri="{FF2B5EF4-FFF2-40B4-BE49-F238E27FC236}">
              <a16:creationId xmlns:a16="http://schemas.microsoft.com/office/drawing/2014/main" id="{00000000-0008-0000-0300-0000B505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69</xdr:row>
      <xdr:rowOff>0</xdr:rowOff>
    </xdr:from>
    <xdr:to>
      <xdr:col>4</xdr:col>
      <xdr:colOff>76200</xdr:colOff>
      <xdr:row>70</xdr:row>
      <xdr:rowOff>0</xdr:rowOff>
    </xdr:to>
    <xdr:sp macro="" textlink="">
      <xdr:nvSpPr>
        <xdr:cNvPr id="1462" name="Text Box 1">
          <a:extLst>
            <a:ext uri="{FF2B5EF4-FFF2-40B4-BE49-F238E27FC236}">
              <a16:creationId xmlns:a16="http://schemas.microsoft.com/office/drawing/2014/main" id="{00000000-0008-0000-0300-0000B605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69</xdr:row>
      <xdr:rowOff>0</xdr:rowOff>
    </xdr:from>
    <xdr:to>
      <xdr:col>4</xdr:col>
      <xdr:colOff>76200</xdr:colOff>
      <xdr:row>70</xdr:row>
      <xdr:rowOff>0</xdr:rowOff>
    </xdr:to>
    <xdr:sp macro="" textlink="">
      <xdr:nvSpPr>
        <xdr:cNvPr id="1463" name="Text Box 1">
          <a:extLst>
            <a:ext uri="{FF2B5EF4-FFF2-40B4-BE49-F238E27FC236}">
              <a16:creationId xmlns:a16="http://schemas.microsoft.com/office/drawing/2014/main" id="{00000000-0008-0000-0300-0000B705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69</xdr:row>
      <xdr:rowOff>0</xdr:rowOff>
    </xdr:from>
    <xdr:to>
      <xdr:col>4</xdr:col>
      <xdr:colOff>76200</xdr:colOff>
      <xdr:row>70</xdr:row>
      <xdr:rowOff>0</xdr:rowOff>
    </xdr:to>
    <xdr:sp macro="" textlink="">
      <xdr:nvSpPr>
        <xdr:cNvPr id="1464" name="Text Box 2">
          <a:extLst>
            <a:ext uri="{FF2B5EF4-FFF2-40B4-BE49-F238E27FC236}">
              <a16:creationId xmlns:a16="http://schemas.microsoft.com/office/drawing/2014/main" id="{00000000-0008-0000-0300-0000B805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69</xdr:row>
      <xdr:rowOff>0</xdr:rowOff>
    </xdr:from>
    <xdr:to>
      <xdr:col>4</xdr:col>
      <xdr:colOff>76200</xdr:colOff>
      <xdr:row>70</xdr:row>
      <xdr:rowOff>0</xdr:rowOff>
    </xdr:to>
    <xdr:sp macro="" textlink="">
      <xdr:nvSpPr>
        <xdr:cNvPr id="1465" name="Text Box 1">
          <a:extLst>
            <a:ext uri="{FF2B5EF4-FFF2-40B4-BE49-F238E27FC236}">
              <a16:creationId xmlns:a16="http://schemas.microsoft.com/office/drawing/2014/main" id="{00000000-0008-0000-0300-0000B905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69</xdr:row>
      <xdr:rowOff>0</xdr:rowOff>
    </xdr:from>
    <xdr:to>
      <xdr:col>4</xdr:col>
      <xdr:colOff>76200</xdr:colOff>
      <xdr:row>70</xdr:row>
      <xdr:rowOff>0</xdr:rowOff>
    </xdr:to>
    <xdr:sp macro="" textlink="">
      <xdr:nvSpPr>
        <xdr:cNvPr id="1466" name="Text Box 1">
          <a:extLst>
            <a:ext uri="{FF2B5EF4-FFF2-40B4-BE49-F238E27FC236}">
              <a16:creationId xmlns:a16="http://schemas.microsoft.com/office/drawing/2014/main" id="{00000000-0008-0000-0300-0000BA05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69</xdr:row>
      <xdr:rowOff>0</xdr:rowOff>
    </xdr:from>
    <xdr:to>
      <xdr:col>4</xdr:col>
      <xdr:colOff>76200</xdr:colOff>
      <xdr:row>70</xdr:row>
      <xdr:rowOff>0</xdr:rowOff>
    </xdr:to>
    <xdr:sp macro="" textlink="">
      <xdr:nvSpPr>
        <xdr:cNvPr id="1467" name="Text Box 2">
          <a:extLst>
            <a:ext uri="{FF2B5EF4-FFF2-40B4-BE49-F238E27FC236}">
              <a16:creationId xmlns:a16="http://schemas.microsoft.com/office/drawing/2014/main" id="{00000000-0008-0000-0300-0000BB05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69</xdr:row>
      <xdr:rowOff>0</xdr:rowOff>
    </xdr:from>
    <xdr:to>
      <xdr:col>4</xdr:col>
      <xdr:colOff>76200</xdr:colOff>
      <xdr:row>70</xdr:row>
      <xdr:rowOff>0</xdr:rowOff>
    </xdr:to>
    <xdr:sp macro="" textlink="">
      <xdr:nvSpPr>
        <xdr:cNvPr id="1468" name="Text Box 1">
          <a:extLst>
            <a:ext uri="{FF2B5EF4-FFF2-40B4-BE49-F238E27FC236}">
              <a16:creationId xmlns:a16="http://schemas.microsoft.com/office/drawing/2014/main" id="{00000000-0008-0000-0300-0000BC05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69</xdr:row>
      <xdr:rowOff>0</xdr:rowOff>
    </xdr:from>
    <xdr:to>
      <xdr:col>4</xdr:col>
      <xdr:colOff>76200</xdr:colOff>
      <xdr:row>70</xdr:row>
      <xdr:rowOff>0</xdr:rowOff>
    </xdr:to>
    <xdr:sp macro="" textlink="">
      <xdr:nvSpPr>
        <xdr:cNvPr id="1469" name="Text Box 1">
          <a:extLst>
            <a:ext uri="{FF2B5EF4-FFF2-40B4-BE49-F238E27FC236}">
              <a16:creationId xmlns:a16="http://schemas.microsoft.com/office/drawing/2014/main" id="{00000000-0008-0000-0300-0000BD05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69</xdr:row>
      <xdr:rowOff>0</xdr:rowOff>
    </xdr:from>
    <xdr:to>
      <xdr:col>4</xdr:col>
      <xdr:colOff>76200</xdr:colOff>
      <xdr:row>70</xdr:row>
      <xdr:rowOff>0</xdr:rowOff>
    </xdr:to>
    <xdr:sp macro="" textlink="">
      <xdr:nvSpPr>
        <xdr:cNvPr id="1470" name="Text Box 1">
          <a:extLst>
            <a:ext uri="{FF2B5EF4-FFF2-40B4-BE49-F238E27FC236}">
              <a16:creationId xmlns:a16="http://schemas.microsoft.com/office/drawing/2014/main" id="{00000000-0008-0000-0300-0000BE05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69</xdr:row>
      <xdr:rowOff>0</xdr:rowOff>
    </xdr:from>
    <xdr:to>
      <xdr:col>4</xdr:col>
      <xdr:colOff>76200</xdr:colOff>
      <xdr:row>70</xdr:row>
      <xdr:rowOff>0</xdr:rowOff>
    </xdr:to>
    <xdr:sp macro="" textlink="">
      <xdr:nvSpPr>
        <xdr:cNvPr id="1471" name="Text Box 2">
          <a:extLst>
            <a:ext uri="{FF2B5EF4-FFF2-40B4-BE49-F238E27FC236}">
              <a16:creationId xmlns:a16="http://schemas.microsoft.com/office/drawing/2014/main" id="{00000000-0008-0000-0300-0000BF05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69</xdr:row>
      <xdr:rowOff>0</xdr:rowOff>
    </xdr:from>
    <xdr:to>
      <xdr:col>4</xdr:col>
      <xdr:colOff>76200</xdr:colOff>
      <xdr:row>70</xdr:row>
      <xdr:rowOff>0</xdr:rowOff>
    </xdr:to>
    <xdr:sp macro="" textlink="">
      <xdr:nvSpPr>
        <xdr:cNvPr id="1472" name="Text Box 1">
          <a:extLst>
            <a:ext uri="{FF2B5EF4-FFF2-40B4-BE49-F238E27FC236}">
              <a16:creationId xmlns:a16="http://schemas.microsoft.com/office/drawing/2014/main" id="{00000000-0008-0000-0300-0000C005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69</xdr:row>
      <xdr:rowOff>0</xdr:rowOff>
    </xdr:from>
    <xdr:to>
      <xdr:col>4</xdr:col>
      <xdr:colOff>76200</xdr:colOff>
      <xdr:row>70</xdr:row>
      <xdr:rowOff>0</xdr:rowOff>
    </xdr:to>
    <xdr:sp macro="" textlink="">
      <xdr:nvSpPr>
        <xdr:cNvPr id="1473" name="Text Box 1">
          <a:extLst>
            <a:ext uri="{FF2B5EF4-FFF2-40B4-BE49-F238E27FC236}">
              <a16:creationId xmlns:a16="http://schemas.microsoft.com/office/drawing/2014/main" id="{00000000-0008-0000-0300-0000C105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70</xdr:row>
      <xdr:rowOff>0</xdr:rowOff>
    </xdr:from>
    <xdr:to>
      <xdr:col>4</xdr:col>
      <xdr:colOff>76200</xdr:colOff>
      <xdr:row>71</xdr:row>
      <xdr:rowOff>0</xdr:rowOff>
    </xdr:to>
    <xdr:sp macro="" textlink="">
      <xdr:nvSpPr>
        <xdr:cNvPr id="1474" name="Text Box 1">
          <a:extLst>
            <a:ext uri="{FF2B5EF4-FFF2-40B4-BE49-F238E27FC236}">
              <a16:creationId xmlns:a16="http://schemas.microsoft.com/office/drawing/2014/main" id="{00000000-0008-0000-0300-0000C205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70</xdr:row>
      <xdr:rowOff>0</xdr:rowOff>
    </xdr:from>
    <xdr:to>
      <xdr:col>4</xdr:col>
      <xdr:colOff>76200</xdr:colOff>
      <xdr:row>71</xdr:row>
      <xdr:rowOff>0</xdr:rowOff>
    </xdr:to>
    <xdr:sp macro="" textlink="">
      <xdr:nvSpPr>
        <xdr:cNvPr id="1475" name="Text Box 2">
          <a:extLst>
            <a:ext uri="{FF2B5EF4-FFF2-40B4-BE49-F238E27FC236}">
              <a16:creationId xmlns:a16="http://schemas.microsoft.com/office/drawing/2014/main" id="{00000000-0008-0000-0300-0000C305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70</xdr:row>
      <xdr:rowOff>0</xdr:rowOff>
    </xdr:from>
    <xdr:to>
      <xdr:col>4</xdr:col>
      <xdr:colOff>76200</xdr:colOff>
      <xdr:row>71</xdr:row>
      <xdr:rowOff>0</xdr:rowOff>
    </xdr:to>
    <xdr:sp macro="" textlink="">
      <xdr:nvSpPr>
        <xdr:cNvPr id="1476" name="Text Box 1">
          <a:extLst>
            <a:ext uri="{FF2B5EF4-FFF2-40B4-BE49-F238E27FC236}">
              <a16:creationId xmlns:a16="http://schemas.microsoft.com/office/drawing/2014/main" id="{00000000-0008-0000-0300-0000C405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70</xdr:row>
      <xdr:rowOff>0</xdr:rowOff>
    </xdr:from>
    <xdr:to>
      <xdr:col>4</xdr:col>
      <xdr:colOff>76200</xdr:colOff>
      <xdr:row>71</xdr:row>
      <xdr:rowOff>0</xdr:rowOff>
    </xdr:to>
    <xdr:sp macro="" textlink="">
      <xdr:nvSpPr>
        <xdr:cNvPr id="1477" name="Text Box 1">
          <a:extLst>
            <a:ext uri="{FF2B5EF4-FFF2-40B4-BE49-F238E27FC236}">
              <a16:creationId xmlns:a16="http://schemas.microsoft.com/office/drawing/2014/main" id="{00000000-0008-0000-0300-0000C505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70</xdr:row>
      <xdr:rowOff>0</xdr:rowOff>
    </xdr:from>
    <xdr:to>
      <xdr:col>4</xdr:col>
      <xdr:colOff>76200</xdr:colOff>
      <xdr:row>71</xdr:row>
      <xdr:rowOff>0</xdr:rowOff>
    </xdr:to>
    <xdr:sp macro="" textlink="">
      <xdr:nvSpPr>
        <xdr:cNvPr id="1478" name="Text Box 1">
          <a:extLst>
            <a:ext uri="{FF2B5EF4-FFF2-40B4-BE49-F238E27FC236}">
              <a16:creationId xmlns:a16="http://schemas.microsoft.com/office/drawing/2014/main" id="{00000000-0008-0000-0300-0000C605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70</xdr:row>
      <xdr:rowOff>0</xdr:rowOff>
    </xdr:from>
    <xdr:to>
      <xdr:col>4</xdr:col>
      <xdr:colOff>76200</xdr:colOff>
      <xdr:row>71</xdr:row>
      <xdr:rowOff>0</xdr:rowOff>
    </xdr:to>
    <xdr:sp macro="" textlink="">
      <xdr:nvSpPr>
        <xdr:cNvPr id="1479" name="Text Box 2">
          <a:extLst>
            <a:ext uri="{FF2B5EF4-FFF2-40B4-BE49-F238E27FC236}">
              <a16:creationId xmlns:a16="http://schemas.microsoft.com/office/drawing/2014/main" id="{00000000-0008-0000-0300-0000C705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70</xdr:row>
      <xdr:rowOff>0</xdr:rowOff>
    </xdr:from>
    <xdr:to>
      <xdr:col>4</xdr:col>
      <xdr:colOff>76200</xdr:colOff>
      <xdr:row>71</xdr:row>
      <xdr:rowOff>0</xdr:rowOff>
    </xdr:to>
    <xdr:sp macro="" textlink="">
      <xdr:nvSpPr>
        <xdr:cNvPr id="1480" name="Text Box 1">
          <a:extLst>
            <a:ext uri="{FF2B5EF4-FFF2-40B4-BE49-F238E27FC236}">
              <a16:creationId xmlns:a16="http://schemas.microsoft.com/office/drawing/2014/main" id="{00000000-0008-0000-0300-0000C805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70</xdr:row>
      <xdr:rowOff>0</xdr:rowOff>
    </xdr:from>
    <xdr:to>
      <xdr:col>4</xdr:col>
      <xdr:colOff>76200</xdr:colOff>
      <xdr:row>71</xdr:row>
      <xdr:rowOff>0</xdr:rowOff>
    </xdr:to>
    <xdr:sp macro="" textlink="">
      <xdr:nvSpPr>
        <xdr:cNvPr id="1481" name="Text Box 1">
          <a:extLst>
            <a:ext uri="{FF2B5EF4-FFF2-40B4-BE49-F238E27FC236}">
              <a16:creationId xmlns:a16="http://schemas.microsoft.com/office/drawing/2014/main" id="{00000000-0008-0000-0300-0000C905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70</xdr:row>
      <xdr:rowOff>0</xdr:rowOff>
    </xdr:from>
    <xdr:to>
      <xdr:col>4</xdr:col>
      <xdr:colOff>76200</xdr:colOff>
      <xdr:row>71</xdr:row>
      <xdr:rowOff>0</xdr:rowOff>
    </xdr:to>
    <xdr:sp macro="" textlink="">
      <xdr:nvSpPr>
        <xdr:cNvPr id="1482" name="Text Box 1">
          <a:extLst>
            <a:ext uri="{FF2B5EF4-FFF2-40B4-BE49-F238E27FC236}">
              <a16:creationId xmlns:a16="http://schemas.microsoft.com/office/drawing/2014/main" id="{00000000-0008-0000-0300-0000CA05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70</xdr:row>
      <xdr:rowOff>0</xdr:rowOff>
    </xdr:from>
    <xdr:to>
      <xdr:col>4</xdr:col>
      <xdr:colOff>76200</xdr:colOff>
      <xdr:row>71</xdr:row>
      <xdr:rowOff>0</xdr:rowOff>
    </xdr:to>
    <xdr:sp macro="" textlink="">
      <xdr:nvSpPr>
        <xdr:cNvPr id="1483" name="Text Box 2">
          <a:extLst>
            <a:ext uri="{FF2B5EF4-FFF2-40B4-BE49-F238E27FC236}">
              <a16:creationId xmlns:a16="http://schemas.microsoft.com/office/drawing/2014/main" id="{00000000-0008-0000-0300-0000CB05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70</xdr:row>
      <xdr:rowOff>0</xdr:rowOff>
    </xdr:from>
    <xdr:to>
      <xdr:col>4</xdr:col>
      <xdr:colOff>76200</xdr:colOff>
      <xdr:row>71</xdr:row>
      <xdr:rowOff>0</xdr:rowOff>
    </xdr:to>
    <xdr:sp macro="" textlink="">
      <xdr:nvSpPr>
        <xdr:cNvPr id="1484" name="Text Box 1">
          <a:extLst>
            <a:ext uri="{FF2B5EF4-FFF2-40B4-BE49-F238E27FC236}">
              <a16:creationId xmlns:a16="http://schemas.microsoft.com/office/drawing/2014/main" id="{00000000-0008-0000-0300-0000CC05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70</xdr:row>
      <xdr:rowOff>0</xdr:rowOff>
    </xdr:from>
    <xdr:to>
      <xdr:col>4</xdr:col>
      <xdr:colOff>76200</xdr:colOff>
      <xdr:row>71</xdr:row>
      <xdr:rowOff>0</xdr:rowOff>
    </xdr:to>
    <xdr:sp macro="" textlink="">
      <xdr:nvSpPr>
        <xdr:cNvPr id="1485" name="Text Box 1">
          <a:extLst>
            <a:ext uri="{FF2B5EF4-FFF2-40B4-BE49-F238E27FC236}">
              <a16:creationId xmlns:a16="http://schemas.microsoft.com/office/drawing/2014/main" id="{00000000-0008-0000-0300-0000CD05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70</xdr:row>
      <xdr:rowOff>0</xdr:rowOff>
    </xdr:from>
    <xdr:to>
      <xdr:col>4</xdr:col>
      <xdr:colOff>76200</xdr:colOff>
      <xdr:row>71</xdr:row>
      <xdr:rowOff>0</xdr:rowOff>
    </xdr:to>
    <xdr:sp macro="" textlink="">
      <xdr:nvSpPr>
        <xdr:cNvPr id="1486" name="Text Box 1">
          <a:extLst>
            <a:ext uri="{FF2B5EF4-FFF2-40B4-BE49-F238E27FC236}">
              <a16:creationId xmlns:a16="http://schemas.microsoft.com/office/drawing/2014/main" id="{00000000-0008-0000-0300-0000CE05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70</xdr:row>
      <xdr:rowOff>0</xdr:rowOff>
    </xdr:from>
    <xdr:to>
      <xdr:col>4</xdr:col>
      <xdr:colOff>76200</xdr:colOff>
      <xdr:row>71</xdr:row>
      <xdr:rowOff>0</xdr:rowOff>
    </xdr:to>
    <xdr:sp macro="" textlink="">
      <xdr:nvSpPr>
        <xdr:cNvPr id="1487" name="Text Box 2">
          <a:extLst>
            <a:ext uri="{FF2B5EF4-FFF2-40B4-BE49-F238E27FC236}">
              <a16:creationId xmlns:a16="http://schemas.microsoft.com/office/drawing/2014/main" id="{00000000-0008-0000-0300-0000CF05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70</xdr:row>
      <xdr:rowOff>0</xdr:rowOff>
    </xdr:from>
    <xdr:to>
      <xdr:col>4</xdr:col>
      <xdr:colOff>76200</xdr:colOff>
      <xdr:row>71</xdr:row>
      <xdr:rowOff>0</xdr:rowOff>
    </xdr:to>
    <xdr:sp macro="" textlink="">
      <xdr:nvSpPr>
        <xdr:cNvPr id="1488" name="Text Box 1">
          <a:extLst>
            <a:ext uri="{FF2B5EF4-FFF2-40B4-BE49-F238E27FC236}">
              <a16:creationId xmlns:a16="http://schemas.microsoft.com/office/drawing/2014/main" id="{00000000-0008-0000-0300-0000D005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70</xdr:row>
      <xdr:rowOff>0</xdr:rowOff>
    </xdr:from>
    <xdr:to>
      <xdr:col>4</xdr:col>
      <xdr:colOff>76200</xdr:colOff>
      <xdr:row>71</xdr:row>
      <xdr:rowOff>0</xdr:rowOff>
    </xdr:to>
    <xdr:sp macro="" textlink="">
      <xdr:nvSpPr>
        <xdr:cNvPr id="1489" name="Text Box 1">
          <a:extLst>
            <a:ext uri="{FF2B5EF4-FFF2-40B4-BE49-F238E27FC236}">
              <a16:creationId xmlns:a16="http://schemas.microsoft.com/office/drawing/2014/main" id="{00000000-0008-0000-0300-0000D105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70</xdr:row>
      <xdr:rowOff>0</xdr:rowOff>
    </xdr:from>
    <xdr:to>
      <xdr:col>4</xdr:col>
      <xdr:colOff>76200</xdr:colOff>
      <xdr:row>71</xdr:row>
      <xdr:rowOff>0</xdr:rowOff>
    </xdr:to>
    <xdr:sp macro="" textlink="">
      <xdr:nvSpPr>
        <xdr:cNvPr id="1490" name="Text Box 2">
          <a:extLst>
            <a:ext uri="{FF2B5EF4-FFF2-40B4-BE49-F238E27FC236}">
              <a16:creationId xmlns:a16="http://schemas.microsoft.com/office/drawing/2014/main" id="{00000000-0008-0000-0300-0000D205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70</xdr:row>
      <xdr:rowOff>0</xdr:rowOff>
    </xdr:from>
    <xdr:to>
      <xdr:col>4</xdr:col>
      <xdr:colOff>76200</xdr:colOff>
      <xdr:row>71</xdr:row>
      <xdr:rowOff>0</xdr:rowOff>
    </xdr:to>
    <xdr:sp macro="" textlink="">
      <xdr:nvSpPr>
        <xdr:cNvPr id="1491" name="Text Box 1">
          <a:extLst>
            <a:ext uri="{FF2B5EF4-FFF2-40B4-BE49-F238E27FC236}">
              <a16:creationId xmlns:a16="http://schemas.microsoft.com/office/drawing/2014/main" id="{00000000-0008-0000-0300-0000D305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70</xdr:row>
      <xdr:rowOff>0</xdr:rowOff>
    </xdr:from>
    <xdr:to>
      <xdr:col>4</xdr:col>
      <xdr:colOff>76200</xdr:colOff>
      <xdr:row>71</xdr:row>
      <xdr:rowOff>0</xdr:rowOff>
    </xdr:to>
    <xdr:sp macro="" textlink="">
      <xdr:nvSpPr>
        <xdr:cNvPr id="1492" name="Text Box 1">
          <a:extLst>
            <a:ext uri="{FF2B5EF4-FFF2-40B4-BE49-F238E27FC236}">
              <a16:creationId xmlns:a16="http://schemas.microsoft.com/office/drawing/2014/main" id="{00000000-0008-0000-0300-0000D405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70</xdr:row>
      <xdr:rowOff>0</xdr:rowOff>
    </xdr:from>
    <xdr:to>
      <xdr:col>4</xdr:col>
      <xdr:colOff>76200</xdr:colOff>
      <xdr:row>71</xdr:row>
      <xdr:rowOff>0</xdr:rowOff>
    </xdr:to>
    <xdr:sp macro="" textlink="">
      <xdr:nvSpPr>
        <xdr:cNvPr id="1493" name="Text Box 1">
          <a:extLst>
            <a:ext uri="{FF2B5EF4-FFF2-40B4-BE49-F238E27FC236}">
              <a16:creationId xmlns:a16="http://schemas.microsoft.com/office/drawing/2014/main" id="{00000000-0008-0000-0300-0000D505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70</xdr:row>
      <xdr:rowOff>0</xdr:rowOff>
    </xdr:from>
    <xdr:to>
      <xdr:col>4</xdr:col>
      <xdr:colOff>76200</xdr:colOff>
      <xdr:row>71</xdr:row>
      <xdr:rowOff>0</xdr:rowOff>
    </xdr:to>
    <xdr:sp macro="" textlink="">
      <xdr:nvSpPr>
        <xdr:cNvPr id="1494" name="Text Box 2">
          <a:extLst>
            <a:ext uri="{FF2B5EF4-FFF2-40B4-BE49-F238E27FC236}">
              <a16:creationId xmlns:a16="http://schemas.microsoft.com/office/drawing/2014/main" id="{00000000-0008-0000-0300-0000D605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70</xdr:row>
      <xdr:rowOff>0</xdr:rowOff>
    </xdr:from>
    <xdr:to>
      <xdr:col>4</xdr:col>
      <xdr:colOff>76200</xdr:colOff>
      <xdr:row>71</xdr:row>
      <xdr:rowOff>0</xdr:rowOff>
    </xdr:to>
    <xdr:sp macro="" textlink="">
      <xdr:nvSpPr>
        <xdr:cNvPr id="1495" name="Text Box 1">
          <a:extLst>
            <a:ext uri="{FF2B5EF4-FFF2-40B4-BE49-F238E27FC236}">
              <a16:creationId xmlns:a16="http://schemas.microsoft.com/office/drawing/2014/main" id="{00000000-0008-0000-0300-0000D705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70</xdr:row>
      <xdr:rowOff>0</xdr:rowOff>
    </xdr:from>
    <xdr:to>
      <xdr:col>4</xdr:col>
      <xdr:colOff>76200</xdr:colOff>
      <xdr:row>71</xdr:row>
      <xdr:rowOff>0</xdr:rowOff>
    </xdr:to>
    <xdr:sp macro="" textlink="">
      <xdr:nvSpPr>
        <xdr:cNvPr id="1496" name="Text Box 1">
          <a:extLst>
            <a:ext uri="{FF2B5EF4-FFF2-40B4-BE49-F238E27FC236}">
              <a16:creationId xmlns:a16="http://schemas.microsoft.com/office/drawing/2014/main" id="{00000000-0008-0000-0300-0000D805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71</xdr:row>
      <xdr:rowOff>0</xdr:rowOff>
    </xdr:from>
    <xdr:to>
      <xdr:col>4</xdr:col>
      <xdr:colOff>76200</xdr:colOff>
      <xdr:row>72</xdr:row>
      <xdr:rowOff>0</xdr:rowOff>
    </xdr:to>
    <xdr:sp macro="" textlink="">
      <xdr:nvSpPr>
        <xdr:cNvPr id="1497" name="Text Box 1">
          <a:extLst>
            <a:ext uri="{FF2B5EF4-FFF2-40B4-BE49-F238E27FC236}">
              <a16:creationId xmlns:a16="http://schemas.microsoft.com/office/drawing/2014/main" id="{00000000-0008-0000-0300-0000D905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71</xdr:row>
      <xdr:rowOff>0</xdr:rowOff>
    </xdr:from>
    <xdr:to>
      <xdr:col>4</xdr:col>
      <xdr:colOff>76200</xdr:colOff>
      <xdr:row>72</xdr:row>
      <xdr:rowOff>0</xdr:rowOff>
    </xdr:to>
    <xdr:sp macro="" textlink="">
      <xdr:nvSpPr>
        <xdr:cNvPr id="1498" name="Text Box 2">
          <a:extLst>
            <a:ext uri="{FF2B5EF4-FFF2-40B4-BE49-F238E27FC236}">
              <a16:creationId xmlns:a16="http://schemas.microsoft.com/office/drawing/2014/main" id="{00000000-0008-0000-0300-0000DA05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71</xdr:row>
      <xdr:rowOff>0</xdr:rowOff>
    </xdr:from>
    <xdr:to>
      <xdr:col>4</xdr:col>
      <xdr:colOff>76200</xdr:colOff>
      <xdr:row>72</xdr:row>
      <xdr:rowOff>0</xdr:rowOff>
    </xdr:to>
    <xdr:sp macro="" textlink="">
      <xdr:nvSpPr>
        <xdr:cNvPr id="1499" name="Text Box 1">
          <a:extLst>
            <a:ext uri="{FF2B5EF4-FFF2-40B4-BE49-F238E27FC236}">
              <a16:creationId xmlns:a16="http://schemas.microsoft.com/office/drawing/2014/main" id="{00000000-0008-0000-0300-0000DB05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71</xdr:row>
      <xdr:rowOff>0</xdr:rowOff>
    </xdr:from>
    <xdr:to>
      <xdr:col>4</xdr:col>
      <xdr:colOff>76200</xdr:colOff>
      <xdr:row>72</xdr:row>
      <xdr:rowOff>0</xdr:rowOff>
    </xdr:to>
    <xdr:sp macro="" textlink="">
      <xdr:nvSpPr>
        <xdr:cNvPr id="1500" name="Text Box 1">
          <a:extLst>
            <a:ext uri="{FF2B5EF4-FFF2-40B4-BE49-F238E27FC236}">
              <a16:creationId xmlns:a16="http://schemas.microsoft.com/office/drawing/2014/main" id="{00000000-0008-0000-0300-0000DC05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71</xdr:row>
      <xdr:rowOff>0</xdr:rowOff>
    </xdr:from>
    <xdr:to>
      <xdr:col>4</xdr:col>
      <xdr:colOff>76200</xdr:colOff>
      <xdr:row>72</xdr:row>
      <xdr:rowOff>0</xdr:rowOff>
    </xdr:to>
    <xdr:sp macro="" textlink="">
      <xdr:nvSpPr>
        <xdr:cNvPr id="1501" name="Text Box 1">
          <a:extLst>
            <a:ext uri="{FF2B5EF4-FFF2-40B4-BE49-F238E27FC236}">
              <a16:creationId xmlns:a16="http://schemas.microsoft.com/office/drawing/2014/main" id="{00000000-0008-0000-0300-0000DD05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71</xdr:row>
      <xdr:rowOff>0</xdr:rowOff>
    </xdr:from>
    <xdr:to>
      <xdr:col>4</xdr:col>
      <xdr:colOff>76200</xdr:colOff>
      <xdr:row>72</xdr:row>
      <xdr:rowOff>0</xdr:rowOff>
    </xdr:to>
    <xdr:sp macro="" textlink="">
      <xdr:nvSpPr>
        <xdr:cNvPr id="1502" name="Text Box 2">
          <a:extLst>
            <a:ext uri="{FF2B5EF4-FFF2-40B4-BE49-F238E27FC236}">
              <a16:creationId xmlns:a16="http://schemas.microsoft.com/office/drawing/2014/main" id="{00000000-0008-0000-0300-0000DE05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71</xdr:row>
      <xdr:rowOff>0</xdr:rowOff>
    </xdr:from>
    <xdr:to>
      <xdr:col>4</xdr:col>
      <xdr:colOff>76200</xdr:colOff>
      <xdr:row>72</xdr:row>
      <xdr:rowOff>0</xdr:rowOff>
    </xdr:to>
    <xdr:sp macro="" textlink="">
      <xdr:nvSpPr>
        <xdr:cNvPr id="1503" name="Text Box 1">
          <a:extLst>
            <a:ext uri="{FF2B5EF4-FFF2-40B4-BE49-F238E27FC236}">
              <a16:creationId xmlns:a16="http://schemas.microsoft.com/office/drawing/2014/main" id="{00000000-0008-0000-0300-0000DF05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71</xdr:row>
      <xdr:rowOff>0</xdr:rowOff>
    </xdr:from>
    <xdr:to>
      <xdr:col>4</xdr:col>
      <xdr:colOff>76200</xdr:colOff>
      <xdr:row>72</xdr:row>
      <xdr:rowOff>0</xdr:rowOff>
    </xdr:to>
    <xdr:sp macro="" textlink="">
      <xdr:nvSpPr>
        <xdr:cNvPr id="1504" name="Text Box 1">
          <a:extLst>
            <a:ext uri="{FF2B5EF4-FFF2-40B4-BE49-F238E27FC236}">
              <a16:creationId xmlns:a16="http://schemas.microsoft.com/office/drawing/2014/main" id="{00000000-0008-0000-0300-0000E005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71</xdr:row>
      <xdr:rowOff>0</xdr:rowOff>
    </xdr:from>
    <xdr:to>
      <xdr:col>4</xdr:col>
      <xdr:colOff>76200</xdr:colOff>
      <xdr:row>72</xdr:row>
      <xdr:rowOff>0</xdr:rowOff>
    </xdr:to>
    <xdr:sp macro="" textlink="">
      <xdr:nvSpPr>
        <xdr:cNvPr id="1505" name="Text Box 1">
          <a:extLst>
            <a:ext uri="{FF2B5EF4-FFF2-40B4-BE49-F238E27FC236}">
              <a16:creationId xmlns:a16="http://schemas.microsoft.com/office/drawing/2014/main" id="{00000000-0008-0000-0300-0000E105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71</xdr:row>
      <xdr:rowOff>0</xdr:rowOff>
    </xdr:from>
    <xdr:to>
      <xdr:col>4</xdr:col>
      <xdr:colOff>76200</xdr:colOff>
      <xdr:row>72</xdr:row>
      <xdr:rowOff>0</xdr:rowOff>
    </xdr:to>
    <xdr:sp macro="" textlink="">
      <xdr:nvSpPr>
        <xdr:cNvPr id="1506" name="Text Box 2">
          <a:extLst>
            <a:ext uri="{FF2B5EF4-FFF2-40B4-BE49-F238E27FC236}">
              <a16:creationId xmlns:a16="http://schemas.microsoft.com/office/drawing/2014/main" id="{00000000-0008-0000-0300-0000E205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71</xdr:row>
      <xdr:rowOff>0</xdr:rowOff>
    </xdr:from>
    <xdr:to>
      <xdr:col>4</xdr:col>
      <xdr:colOff>76200</xdr:colOff>
      <xdr:row>72</xdr:row>
      <xdr:rowOff>0</xdr:rowOff>
    </xdr:to>
    <xdr:sp macro="" textlink="">
      <xdr:nvSpPr>
        <xdr:cNvPr id="1507" name="Text Box 1">
          <a:extLst>
            <a:ext uri="{FF2B5EF4-FFF2-40B4-BE49-F238E27FC236}">
              <a16:creationId xmlns:a16="http://schemas.microsoft.com/office/drawing/2014/main" id="{00000000-0008-0000-0300-0000E305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71</xdr:row>
      <xdr:rowOff>0</xdr:rowOff>
    </xdr:from>
    <xdr:to>
      <xdr:col>4</xdr:col>
      <xdr:colOff>76200</xdr:colOff>
      <xdr:row>72</xdr:row>
      <xdr:rowOff>0</xdr:rowOff>
    </xdr:to>
    <xdr:sp macro="" textlink="">
      <xdr:nvSpPr>
        <xdr:cNvPr id="1508" name="Text Box 1">
          <a:extLst>
            <a:ext uri="{FF2B5EF4-FFF2-40B4-BE49-F238E27FC236}">
              <a16:creationId xmlns:a16="http://schemas.microsoft.com/office/drawing/2014/main" id="{00000000-0008-0000-0300-0000E405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71</xdr:row>
      <xdr:rowOff>0</xdr:rowOff>
    </xdr:from>
    <xdr:to>
      <xdr:col>4</xdr:col>
      <xdr:colOff>76200</xdr:colOff>
      <xdr:row>72</xdr:row>
      <xdr:rowOff>0</xdr:rowOff>
    </xdr:to>
    <xdr:sp macro="" textlink="">
      <xdr:nvSpPr>
        <xdr:cNvPr id="1509" name="Text Box 1">
          <a:extLst>
            <a:ext uri="{FF2B5EF4-FFF2-40B4-BE49-F238E27FC236}">
              <a16:creationId xmlns:a16="http://schemas.microsoft.com/office/drawing/2014/main" id="{00000000-0008-0000-0300-0000E505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71</xdr:row>
      <xdr:rowOff>0</xdr:rowOff>
    </xdr:from>
    <xdr:to>
      <xdr:col>4</xdr:col>
      <xdr:colOff>76200</xdr:colOff>
      <xdr:row>72</xdr:row>
      <xdr:rowOff>0</xdr:rowOff>
    </xdr:to>
    <xdr:sp macro="" textlink="">
      <xdr:nvSpPr>
        <xdr:cNvPr id="1510" name="Text Box 2">
          <a:extLst>
            <a:ext uri="{FF2B5EF4-FFF2-40B4-BE49-F238E27FC236}">
              <a16:creationId xmlns:a16="http://schemas.microsoft.com/office/drawing/2014/main" id="{00000000-0008-0000-0300-0000E605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71</xdr:row>
      <xdr:rowOff>0</xdr:rowOff>
    </xdr:from>
    <xdr:to>
      <xdr:col>4</xdr:col>
      <xdr:colOff>76200</xdr:colOff>
      <xdr:row>72</xdr:row>
      <xdr:rowOff>0</xdr:rowOff>
    </xdr:to>
    <xdr:sp macro="" textlink="">
      <xdr:nvSpPr>
        <xdr:cNvPr id="1511" name="Text Box 1">
          <a:extLst>
            <a:ext uri="{FF2B5EF4-FFF2-40B4-BE49-F238E27FC236}">
              <a16:creationId xmlns:a16="http://schemas.microsoft.com/office/drawing/2014/main" id="{00000000-0008-0000-0300-0000E705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71</xdr:row>
      <xdr:rowOff>0</xdr:rowOff>
    </xdr:from>
    <xdr:to>
      <xdr:col>4</xdr:col>
      <xdr:colOff>76200</xdr:colOff>
      <xdr:row>72</xdr:row>
      <xdr:rowOff>0</xdr:rowOff>
    </xdr:to>
    <xdr:sp macro="" textlink="">
      <xdr:nvSpPr>
        <xdr:cNvPr id="1512" name="Text Box 1">
          <a:extLst>
            <a:ext uri="{FF2B5EF4-FFF2-40B4-BE49-F238E27FC236}">
              <a16:creationId xmlns:a16="http://schemas.microsoft.com/office/drawing/2014/main" id="{00000000-0008-0000-0300-0000E805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71</xdr:row>
      <xdr:rowOff>0</xdr:rowOff>
    </xdr:from>
    <xdr:to>
      <xdr:col>4</xdr:col>
      <xdr:colOff>76200</xdr:colOff>
      <xdr:row>72</xdr:row>
      <xdr:rowOff>0</xdr:rowOff>
    </xdr:to>
    <xdr:sp macro="" textlink="">
      <xdr:nvSpPr>
        <xdr:cNvPr id="1513" name="Text Box 2">
          <a:extLst>
            <a:ext uri="{FF2B5EF4-FFF2-40B4-BE49-F238E27FC236}">
              <a16:creationId xmlns:a16="http://schemas.microsoft.com/office/drawing/2014/main" id="{00000000-0008-0000-0300-0000E905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71</xdr:row>
      <xdr:rowOff>0</xdr:rowOff>
    </xdr:from>
    <xdr:to>
      <xdr:col>4</xdr:col>
      <xdr:colOff>76200</xdr:colOff>
      <xdr:row>72</xdr:row>
      <xdr:rowOff>0</xdr:rowOff>
    </xdr:to>
    <xdr:sp macro="" textlink="">
      <xdr:nvSpPr>
        <xdr:cNvPr id="1514" name="Text Box 1">
          <a:extLst>
            <a:ext uri="{FF2B5EF4-FFF2-40B4-BE49-F238E27FC236}">
              <a16:creationId xmlns:a16="http://schemas.microsoft.com/office/drawing/2014/main" id="{00000000-0008-0000-0300-0000EA05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71</xdr:row>
      <xdr:rowOff>0</xdr:rowOff>
    </xdr:from>
    <xdr:to>
      <xdr:col>4</xdr:col>
      <xdr:colOff>76200</xdr:colOff>
      <xdr:row>72</xdr:row>
      <xdr:rowOff>0</xdr:rowOff>
    </xdr:to>
    <xdr:sp macro="" textlink="">
      <xdr:nvSpPr>
        <xdr:cNvPr id="1515" name="Text Box 1">
          <a:extLst>
            <a:ext uri="{FF2B5EF4-FFF2-40B4-BE49-F238E27FC236}">
              <a16:creationId xmlns:a16="http://schemas.microsoft.com/office/drawing/2014/main" id="{00000000-0008-0000-0300-0000EB05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71</xdr:row>
      <xdr:rowOff>0</xdr:rowOff>
    </xdr:from>
    <xdr:to>
      <xdr:col>4</xdr:col>
      <xdr:colOff>76200</xdr:colOff>
      <xdr:row>72</xdr:row>
      <xdr:rowOff>0</xdr:rowOff>
    </xdr:to>
    <xdr:sp macro="" textlink="">
      <xdr:nvSpPr>
        <xdr:cNvPr id="1516" name="Text Box 1">
          <a:extLst>
            <a:ext uri="{FF2B5EF4-FFF2-40B4-BE49-F238E27FC236}">
              <a16:creationId xmlns:a16="http://schemas.microsoft.com/office/drawing/2014/main" id="{00000000-0008-0000-0300-0000EC05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71</xdr:row>
      <xdr:rowOff>0</xdr:rowOff>
    </xdr:from>
    <xdr:to>
      <xdr:col>4</xdr:col>
      <xdr:colOff>76200</xdr:colOff>
      <xdr:row>72</xdr:row>
      <xdr:rowOff>0</xdr:rowOff>
    </xdr:to>
    <xdr:sp macro="" textlink="">
      <xdr:nvSpPr>
        <xdr:cNvPr id="1517" name="Text Box 2">
          <a:extLst>
            <a:ext uri="{FF2B5EF4-FFF2-40B4-BE49-F238E27FC236}">
              <a16:creationId xmlns:a16="http://schemas.microsoft.com/office/drawing/2014/main" id="{00000000-0008-0000-0300-0000ED05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71</xdr:row>
      <xdr:rowOff>0</xdr:rowOff>
    </xdr:from>
    <xdr:to>
      <xdr:col>4</xdr:col>
      <xdr:colOff>76200</xdr:colOff>
      <xdr:row>72</xdr:row>
      <xdr:rowOff>0</xdr:rowOff>
    </xdr:to>
    <xdr:sp macro="" textlink="">
      <xdr:nvSpPr>
        <xdr:cNvPr id="1518" name="Text Box 1">
          <a:extLst>
            <a:ext uri="{FF2B5EF4-FFF2-40B4-BE49-F238E27FC236}">
              <a16:creationId xmlns:a16="http://schemas.microsoft.com/office/drawing/2014/main" id="{00000000-0008-0000-0300-0000EE05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71</xdr:row>
      <xdr:rowOff>0</xdr:rowOff>
    </xdr:from>
    <xdr:to>
      <xdr:col>4</xdr:col>
      <xdr:colOff>76200</xdr:colOff>
      <xdr:row>72</xdr:row>
      <xdr:rowOff>0</xdr:rowOff>
    </xdr:to>
    <xdr:sp macro="" textlink="">
      <xdr:nvSpPr>
        <xdr:cNvPr id="1519" name="Text Box 1">
          <a:extLst>
            <a:ext uri="{FF2B5EF4-FFF2-40B4-BE49-F238E27FC236}">
              <a16:creationId xmlns:a16="http://schemas.microsoft.com/office/drawing/2014/main" id="{00000000-0008-0000-0300-0000EF05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72</xdr:row>
      <xdr:rowOff>0</xdr:rowOff>
    </xdr:from>
    <xdr:to>
      <xdr:col>4</xdr:col>
      <xdr:colOff>76200</xdr:colOff>
      <xdr:row>73</xdr:row>
      <xdr:rowOff>0</xdr:rowOff>
    </xdr:to>
    <xdr:sp macro="" textlink="">
      <xdr:nvSpPr>
        <xdr:cNvPr id="1520" name="Text Box 1">
          <a:extLst>
            <a:ext uri="{FF2B5EF4-FFF2-40B4-BE49-F238E27FC236}">
              <a16:creationId xmlns:a16="http://schemas.microsoft.com/office/drawing/2014/main" id="{00000000-0008-0000-0300-0000F005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72</xdr:row>
      <xdr:rowOff>0</xdr:rowOff>
    </xdr:from>
    <xdr:to>
      <xdr:col>4</xdr:col>
      <xdr:colOff>76200</xdr:colOff>
      <xdr:row>73</xdr:row>
      <xdr:rowOff>0</xdr:rowOff>
    </xdr:to>
    <xdr:sp macro="" textlink="">
      <xdr:nvSpPr>
        <xdr:cNvPr id="1521" name="Text Box 2">
          <a:extLst>
            <a:ext uri="{FF2B5EF4-FFF2-40B4-BE49-F238E27FC236}">
              <a16:creationId xmlns:a16="http://schemas.microsoft.com/office/drawing/2014/main" id="{00000000-0008-0000-0300-0000F105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72</xdr:row>
      <xdr:rowOff>0</xdr:rowOff>
    </xdr:from>
    <xdr:to>
      <xdr:col>4</xdr:col>
      <xdr:colOff>76200</xdr:colOff>
      <xdr:row>73</xdr:row>
      <xdr:rowOff>0</xdr:rowOff>
    </xdr:to>
    <xdr:sp macro="" textlink="">
      <xdr:nvSpPr>
        <xdr:cNvPr id="1522" name="Text Box 1">
          <a:extLst>
            <a:ext uri="{FF2B5EF4-FFF2-40B4-BE49-F238E27FC236}">
              <a16:creationId xmlns:a16="http://schemas.microsoft.com/office/drawing/2014/main" id="{00000000-0008-0000-0300-0000F205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72</xdr:row>
      <xdr:rowOff>0</xdr:rowOff>
    </xdr:from>
    <xdr:to>
      <xdr:col>4</xdr:col>
      <xdr:colOff>76200</xdr:colOff>
      <xdr:row>73</xdr:row>
      <xdr:rowOff>0</xdr:rowOff>
    </xdr:to>
    <xdr:sp macro="" textlink="">
      <xdr:nvSpPr>
        <xdr:cNvPr id="1523" name="Text Box 1">
          <a:extLst>
            <a:ext uri="{FF2B5EF4-FFF2-40B4-BE49-F238E27FC236}">
              <a16:creationId xmlns:a16="http://schemas.microsoft.com/office/drawing/2014/main" id="{00000000-0008-0000-0300-0000F305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72</xdr:row>
      <xdr:rowOff>0</xdr:rowOff>
    </xdr:from>
    <xdr:to>
      <xdr:col>4</xdr:col>
      <xdr:colOff>76200</xdr:colOff>
      <xdr:row>73</xdr:row>
      <xdr:rowOff>0</xdr:rowOff>
    </xdr:to>
    <xdr:sp macro="" textlink="">
      <xdr:nvSpPr>
        <xdr:cNvPr id="1524" name="Text Box 1">
          <a:extLst>
            <a:ext uri="{FF2B5EF4-FFF2-40B4-BE49-F238E27FC236}">
              <a16:creationId xmlns:a16="http://schemas.microsoft.com/office/drawing/2014/main" id="{00000000-0008-0000-0300-0000F405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72</xdr:row>
      <xdr:rowOff>0</xdr:rowOff>
    </xdr:from>
    <xdr:to>
      <xdr:col>4</xdr:col>
      <xdr:colOff>76200</xdr:colOff>
      <xdr:row>73</xdr:row>
      <xdr:rowOff>0</xdr:rowOff>
    </xdr:to>
    <xdr:sp macro="" textlink="">
      <xdr:nvSpPr>
        <xdr:cNvPr id="1525" name="Text Box 2">
          <a:extLst>
            <a:ext uri="{FF2B5EF4-FFF2-40B4-BE49-F238E27FC236}">
              <a16:creationId xmlns:a16="http://schemas.microsoft.com/office/drawing/2014/main" id="{00000000-0008-0000-0300-0000F505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72</xdr:row>
      <xdr:rowOff>0</xdr:rowOff>
    </xdr:from>
    <xdr:to>
      <xdr:col>4</xdr:col>
      <xdr:colOff>76200</xdr:colOff>
      <xdr:row>73</xdr:row>
      <xdr:rowOff>0</xdr:rowOff>
    </xdr:to>
    <xdr:sp macro="" textlink="">
      <xdr:nvSpPr>
        <xdr:cNvPr id="1526" name="Text Box 1">
          <a:extLst>
            <a:ext uri="{FF2B5EF4-FFF2-40B4-BE49-F238E27FC236}">
              <a16:creationId xmlns:a16="http://schemas.microsoft.com/office/drawing/2014/main" id="{00000000-0008-0000-0300-0000F605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72</xdr:row>
      <xdr:rowOff>0</xdr:rowOff>
    </xdr:from>
    <xdr:to>
      <xdr:col>4</xdr:col>
      <xdr:colOff>76200</xdr:colOff>
      <xdr:row>73</xdr:row>
      <xdr:rowOff>0</xdr:rowOff>
    </xdr:to>
    <xdr:sp macro="" textlink="">
      <xdr:nvSpPr>
        <xdr:cNvPr id="1527" name="Text Box 1">
          <a:extLst>
            <a:ext uri="{FF2B5EF4-FFF2-40B4-BE49-F238E27FC236}">
              <a16:creationId xmlns:a16="http://schemas.microsoft.com/office/drawing/2014/main" id="{00000000-0008-0000-0300-0000F705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72</xdr:row>
      <xdr:rowOff>0</xdr:rowOff>
    </xdr:from>
    <xdr:to>
      <xdr:col>4</xdr:col>
      <xdr:colOff>76200</xdr:colOff>
      <xdr:row>73</xdr:row>
      <xdr:rowOff>0</xdr:rowOff>
    </xdr:to>
    <xdr:sp macro="" textlink="">
      <xdr:nvSpPr>
        <xdr:cNvPr id="1528" name="Text Box 1">
          <a:extLst>
            <a:ext uri="{FF2B5EF4-FFF2-40B4-BE49-F238E27FC236}">
              <a16:creationId xmlns:a16="http://schemas.microsoft.com/office/drawing/2014/main" id="{00000000-0008-0000-0300-0000F805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72</xdr:row>
      <xdr:rowOff>0</xdr:rowOff>
    </xdr:from>
    <xdr:to>
      <xdr:col>4</xdr:col>
      <xdr:colOff>76200</xdr:colOff>
      <xdr:row>73</xdr:row>
      <xdr:rowOff>0</xdr:rowOff>
    </xdr:to>
    <xdr:sp macro="" textlink="">
      <xdr:nvSpPr>
        <xdr:cNvPr id="1529" name="Text Box 2">
          <a:extLst>
            <a:ext uri="{FF2B5EF4-FFF2-40B4-BE49-F238E27FC236}">
              <a16:creationId xmlns:a16="http://schemas.microsoft.com/office/drawing/2014/main" id="{00000000-0008-0000-0300-0000F905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72</xdr:row>
      <xdr:rowOff>0</xdr:rowOff>
    </xdr:from>
    <xdr:to>
      <xdr:col>4</xdr:col>
      <xdr:colOff>76200</xdr:colOff>
      <xdr:row>73</xdr:row>
      <xdr:rowOff>0</xdr:rowOff>
    </xdr:to>
    <xdr:sp macro="" textlink="">
      <xdr:nvSpPr>
        <xdr:cNvPr id="1530" name="Text Box 1">
          <a:extLst>
            <a:ext uri="{FF2B5EF4-FFF2-40B4-BE49-F238E27FC236}">
              <a16:creationId xmlns:a16="http://schemas.microsoft.com/office/drawing/2014/main" id="{00000000-0008-0000-0300-0000FA05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72</xdr:row>
      <xdr:rowOff>0</xdr:rowOff>
    </xdr:from>
    <xdr:to>
      <xdr:col>4</xdr:col>
      <xdr:colOff>76200</xdr:colOff>
      <xdr:row>73</xdr:row>
      <xdr:rowOff>0</xdr:rowOff>
    </xdr:to>
    <xdr:sp macro="" textlink="">
      <xdr:nvSpPr>
        <xdr:cNvPr id="1531" name="Text Box 1">
          <a:extLst>
            <a:ext uri="{FF2B5EF4-FFF2-40B4-BE49-F238E27FC236}">
              <a16:creationId xmlns:a16="http://schemas.microsoft.com/office/drawing/2014/main" id="{00000000-0008-0000-0300-0000FB05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72</xdr:row>
      <xdr:rowOff>0</xdr:rowOff>
    </xdr:from>
    <xdr:to>
      <xdr:col>4</xdr:col>
      <xdr:colOff>76200</xdr:colOff>
      <xdr:row>73</xdr:row>
      <xdr:rowOff>0</xdr:rowOff>
    </xdr:to>
    <xdr:sp macro="" textlink="">
      <xdr:nvSpPr>
        <xdr:cNvPr id="1532" name="Text Box 1">
          <a:extLst>
            <a:ext uri="{FF2B5EF4-FFF2-40B4-BE49-F238E27FC236}">
              <a16:creationId xmlns:a16="http://schemas.microsoft.com/office/drawing/2014/main" id="{00000000-0008-0000-0300-0000FC05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72</xdr:row>
      <xdr:rowOff>0</xdr:rowOff>
    </xdr:from>
    <xdr:to>
      <xdr:col>4</xdr:col>
      <xdr:colOff>76200</xdr:colOff>
      <xdr:row>73</xdr:row>
      <xdr:rowOff>0</xdr:rowOff>
    </xdr:to>
    <xdr:sp macro="" textlink="">
      <xdr:nvSpPr>
        <xdr:cNvPr id="1533" name="Text Box 2">
          <a:extLst>
            <a:ext uri="{FF2B5EF4-FFF2-40B4-BE49-F238E27FC236}">
              <a16:creationId xmlns:a16="http://schemas.microsoft.com/office/drawing/2014/main" id="{00000000-0008-0000-0300-0000FD05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72</xdr:row>
      <xdr:rowOff>0</xdr:rowOff>
    </xdr:from>
    <xdr:to>
      <xdr:col>4</xdr:col>
      <xdr:colOff>76200</xdr:colOff>
      <xdr:row>73</xdr:row>
      <xdr:rowOff>0</xdr:rowOff>
    </xdr:to>
    <xdr:sp macro="" textlink="">
      <xdr:nvSpPr>
        <xdr:cNvPr id="1534" name="Text Box 1">
          <a:extLst>
            <a:ext uri="{FF2B5EF4-FFF2-40B4-BE49-F238E27FC236}">
              <a16:creationId xmlns:a16="http://schemas.microsoft.com/office/drawing/2014/main" id="{00000000-0008-0000-0300-0000FE05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72</xdr:row>
      <xdr:rowOff>0</xdr:rowOff>
    </xdr:from>
    <xdr:to>
      <xdr:col>4</xdr:col>
      <xdr:colOff>76200</xdr:colOff>
      <xdr:row>73</xdr:row>
      <xdr:rowOff>0</xdr:rowOff>
    </xdr:to>
    <xdr:sp macro="" textlink="">
      <xdr:nvSpPr>
        <xdr:cNvPr id="1535" name="Text Box 1">
          <a:extLst>
            <a:ext uri="{FF2B5EF4-FFF2-40B4-BE49-F238E27FC236}">
              <a16:creationId xmlns:a16="http://schemas.microsoft.com/office/drawing/2014/main" id="{00000000-0008-0000-0300-0000FF05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72</xdr:row>
      <xdr:rowOff>0</xdr:rowOff>
    </xdr:from>
    <xdr:to>
      <xdr:col>4</xdr:col>
      <xdr:colOff>76200</xdr:colOff>
      <xdr:row>73</xdr:row>
      <xdr:rowOff>0</xdr:rowOff>
    </xdr:to>
    <xdr:sp macro="" textlink="">
      <xdr:nvSpPr>
        <xdr:cNvPr id="1536" name="Text Box 2">
          <a:extLst>
            <a:ext uri="{FF2B5EF4-FFF2-40B4-BE49-F238E27FC236}">
              <a16:creationId xmlns:a16="http://schemas.microsoft.com/office/drawing/2014/main" id="{00000000-0008-0000-0300-00000006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72</xdr:row>
      <xdr:rowOff>0</xdr:rowOff>
    </xdr:from>
    <xdr:to>
      <xdr:col>4</xdr:col>
      <xdr:colOff>76200</xdr:colOff>
      <xdr:row>73</xdr:row>
      <xdr:rowOff>0</xdr:rowOff>
    </xdr:to>
    <xdr:sp macro="" textlink="">
      <xdr:nvSpPr>
        <xdr:cNvPr id="1537" name="Text Box 1">
          <a:extLst>
            <a:ext uri="{FF2B5EF4-FFF2-40B4-BE49-F238E27FC236}">
              <a16:creationId xmlns:a16="http://schemas.microsoft.com/office/drawing/2014/main" id="{00000000-0008-0000-0300-00000106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72</xdr:row>
      <xdr:rowOff>0</xdr:rowOff>
    </xdr:from>
    <xdr:to>
      <xdr:col>4</xdr:col>
      <xdr:colOff>76200</xdr:colOff>
      <xdr:row>73</xdr:row>
      <xdr:rowOff>0</xdr:rowOff>
    </xdr:to>
    <xdr:sp macro="" textlink="">
      <xdr:nvSpPr>
        <xdr:cNvPr id="1538" name="Text Box 1">
          <a:extLst>
            <a:ext uri="{FF2B5EF4-FFF2-40B4-BE49-F238E27FC236}">
              <a16:creationId xmlns:a16="http://schemas.microsoft.com/office/drawing/2014/main" id="{00000000-0008-0000-0300-00000206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72</xdr:row>
      <xdr:rowOff>0</xdr:rowOff>
    </xdr:from>
    <xdr:to>
      <xdr:col>4</xdr:col>
      <xdr:colOff>76200</xdr:colOff>
      <xdr:row>73</xdr:row>
      <xdr:rowOff>0</xdr:rowOff>
    </xdr:to>
    <xdr:sp macro="" textlink="">
      <xdr:nvSpPr>
        <xdr:cNvPr id="1539" name="Text Box 1">
          <a:extLst>
            <a:ext uri="{FF2B5EF4-FFF2-40B4-BE49-F238E27FC236}">
              <a16:creationId xmlns:a16="http://schemas.microsoft.com/office/drawing/2014/main" id="{00000000-0008-0000-0300-00000306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72</xdr:row>
      <xdr:rowOff>0</xdr:rowOff>
    </xdr:from>
    <xdr:to>
      <xdr:col>4</xdr:col>
      <xdr:colOff>76200</xdr:colOff>
      <xdr:row>73</xdr:row>
      <xdr:rowOff>0</xdr:rowOff>
    </xdr:to>
    <xdr:sp macro="" textlink="">
      <xdr:nvSpPr>
        <xdr:cNvPr id="1540" name="Text Box 2">
          <a:extLst>
            <a:ext uri="{FF2B5EF4-FFF2-40B4-BE49-F238E27FC236}">
              <a16:creationId xmlns:a16="http://schemas.microsoft.com/office/drawing/2014/main" id="{00000000-0008-0000-0300-00000406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72</xdr:row>
      <xdr:rowOff>0</xdr:rowOff>
    </xdr:from>
    <xdr:to>
      <xdr:col>4</xdr:col>
      <xdr:colOff>76200</xdr:colOff>
      <xdr:row>73</xdr:row>
      <xdr:rowOff>0</xdr:rowOff>
    </xdr:to>
    <xdr:sp macro="" textlink="">
      <xdr:nvSpPr>
        <xdr:cNvPr id="1541" name="Text Box 1">
          <a:extLst>
            <a:ext uri="{FF2B5EF4-FFF2-40B4-BE49-F238E27FC236}">
              <a16:creationId xmlns:a16="http://schemas.microsoft.com/office/drawing/2014/main" id="{00000000-0008-0000-0300-00000506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72</xdr:row>
      <xdr:rowOff>0</xdr:rowOff>
    </xdr:from>
    <xdr:to>
      <xdr:col>4</xdr:col>
      <xdr:colOff>76200</xdr:colOff>
      <xdr:row>73</xdr:row>
      <xdr:rowOff>0</xdr:rowOff>
    </xdr:to>
    <xdr:sp macro="" textlink="">
      <xdr:nvSpPr>
        <xdr:cNvPr id="1542" name="Text Box 1">
          <a:extLst>
            <a:ext uri="{FF2B5EF4-FFF2-40B4-BE49-F238E27FC236}">
              <a16:creationId xmlns:a16="http://schemas.microsoft.com/office/drawing/2014/main" id="{00000000-0008-0000-0300-00000606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73</xdr:row>
      <xdr:rowOff>0</xdr:rowOff>
    </xdr:from>
    <xdr:to>
      <xdr:col>4</xdr:col>
      <xdr:colOff>76200</xdr:colOff>
      <xdr:row>74</xdr:row>
      <xdr:rowOff>0</xdr:rowOff>
    </xdr:to>
    <xdr:sp macro="" textlink="">
      <xdr:nvSpPr>
        <xdr:cNvPr id="1543" name="Text Box 1">
          <a:extLst>
            <a:ext uri="{FF2B5EF4-FFF2-40B4-BE49-F238E27FC236}">
              <a16:creationId xmlns:a16="http://schemas.microsoft.com/office/drawing/2014/main" id="{00000000-0008-0000-0300-00000706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73</xdr:row>
      <xdr:rowOff>0</xdr:rowOff>
    </xdr:from>
    <xdr:to>
      <xdr:col>4</xdr:col>
      <xdr:colOff>76200</xdr:colOff>
      <xdr:row>74</xdr:row>
      <xdr:rowOff>0</xdr:rowOff>
    </xdr:to>
    <xdr:sp macro="" textlink="">
      <xdr:nvSpPr>
        <xdr:cNvPr id="1544" name="Text Box 2">
          <a:extLst>
            <a:ext uri="{FF2B5EF4-FFF2-40B4-BE49-F238E27FC236}">
              <a16:creationId xmlns:a16="http://schemas.microsoft.com/office/drawing/2014/main" id="{00000000-0008-0000-0300-00000806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73</xdr:row>
      <xdr:rowOff>0</xdr:rowOff>
    </xdr:from>
    <xdr:to>
      <xdr:col>4</xdr:col>
      <xdr:colOff>76200</xdr:colOff>
      <xdr:row>74</xdr:row>
      <xdr:rowOff>0</xdr:rowOff>
    </xdr:to>
    <xdr:sp macro="" textlink="">
      <xdr:nvSpPr>
        <xdr:cNvPr id="1545" name="Text Box 1">
          <a:extLst>
            <a:ext uri="{FF2B5EF4-FFF2-40B4-BE49-F238E27FC236}">
              <a16:creationId xmlns:a16="http://schemas.microsoft.com/office/drawing/2014/main" id="{00000000-0008-0000-0300-00000906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73</xdr:row>
      <xdr:rowOff>0</xdr:rowOff>
    </xdr:from>
    <xdr:to>
      <xdr:col>4</xdr:col>
      <xdr:colOff>76200</xdr:colOff>
      <xdr:row>74</xdr:row>
      <xdr:rowOff>0</xdr:rowOff>
    </xdr:to>
    <xdr:sp macro="" textlink="">
      <xdr:nvSpPr>
        <xdr:cNvPr id="1546" name="Text Box 1">
          <a:extLst>
            <a:ext uri="{FF2B5EF4-FFF2-40B4-BE49-F238E27FC236}">
              <a16:creationId xmlns:a16="http://schemas.microsoft.com/office/drawing/2014/main" id="{00000000-0008-0000-0300-00000A06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73</xdr:row>
      <xdr:rowOff>0</xdr:rowOff>
    </xdr:from>
    <xdr:to>
      <xdr:col>4</xdr:col>
      <xdr:colOff>76200</xdr:colOff>
      <xdr:row>74</xdr:row>
      <xdr:rowOff>0</xdr:rowOff>
    </xdr:to>
    <xdr:sp macro="" textlink="">
      <xdr:nvSpPr>
        <xdr:cNvPr id="1547" name="Text Box 1">
          <a:extLst>
            <a:ext uri="{FF2B5EF4-FFF2-40B4-BE49-F238E27FC236}">
              <a16:creationId xmlns:a16="http://schemas.microsoft.com/office/drawing/2014/main" id="{00000000-0008-0000-0300-00000B06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73</xdr:row>
      <xdr:rowOff>0</xdr:rowOff>
    </xdr:from>
    <xdr:to>
      <xdr:col>4</xdr:col>
      <xdr:colOff>76200</xdr:colOff>
      <xdr:row>74</xdr:row>
      <xdr:rowOff>0</xdr:rowOff>
    </xdr:to>
    <xdr:sp macro="" textlink="">
      <xdr:nvSpPr>
        <xdr:cNvPr id="1548" name="Text Box 2">
          <a:extLst>
            <a:ext uri="{FF2B5EF4-FFF2-40B4-BE49-F238E27FC236}">
              <a16:creationId xmlns:a16="http://schemas.microsoft.com/office/drawing/2014/main" id="{00000000-0008-0000-0300-00000C06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73</xdr:row>
      <xdr:rowOff>0</xdr:rowOff>
    </xdr:from>
    <xdr:to>
      <xdr:col>4</xdr:col>
      <xdr:colOff>76200</xdr:colOff>
      <xdr:row>74</xdr:row>
      <xdr:rowOff>0</xdr:rowOff>
    </xdr:to>
    <xdr:sp macro="" textlink="">
      <xdr:nvSpPr>
        <xdr:cNvPr id="1549" name="Text Box 1">
          <a:extLst>
            <a:ext uri="{FF2B5EF4-FFF2-40B4-BE49-F238E27FC236}">
              <a16:creationId xmlns:a16="http://schemas.microsoft.com/office/drawing/2014/main" id="{00000000-0008-0000-0300-00000D06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73</xdr:row>
      <xdr:rowOff>0</xdr:rowOff>
    </xdr:from>
    <xdr:to>
      <xdr:col>4</xdr:col>
      <xdr:colOff>76200</xdr:colOff>
      <xdr:row>74</xdr:row>
      <xdr:rowOff>0</xdr:rowOff>
    </xdr:to>
    <xdr:sp macro="" textlink="">
      <xdr:nvSpPr>
        <xdr:cNvPr id="1550" name="Text Box 1">
          <a:extLst>
            <a:ext uri="{FF2B5EF4-FFF2-40B4-BE49-F238E27FC236}">
              <a16:creationId xmlns:a16="http://schemas.microsoft.com/office/drawing/2014/main" id="{00000000-0008-0000-0300-00000E06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73</xdr:row>
      <xdr:rowOff>0</xdr:rowOff>
    </xdr:from>
    <xdr:to>
      <xdr:col>4</xdr:col>
      <xdr:colOff>76200</xdr:colOff>
      <xdr:row>74</xdr:row>
      <xdr:rowOff>0</xdr:rowOff>
    </xdr:to>
    <xdr:sp macro="" textlink="">
      <xdr:nvSpPr>
        <xdr:cNvPr id="1551" name="Text Box 1">
          <a:extLst>
            <a:ext uri="{FF2B5EF4-FFF2-40B4-BE49-F238E27FC236}">
              <a16:creationId xmlns:a16="http://schemas.microsoft.com/office/drawing/2014/main" id="{00000000-0008-0000-0300-00000F06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73</xdr:row>
      <xdr:rowOff>0</xdr:rowOff>
    </xdr:from>
    <xdr:to>
      <xdr:col>4</xdr:col>
      <xdr:colOff>76200</xdr:colOff>
      <xdr:row>74</xdr:row>
      <xdr:rowOff>0</xdr:rowOff>
    </xdr:to>
    <xdr:sp macro="" textlink="">
      <xdr:nvSpPr>
        <xdr:cNvPr id="1552" name="Text Box 2">
          <a:extLst>
            <a:ext uri="{FF2B5EF4-FFF2-40B4-BE49-F238E27FC236}">
              <a16:creationId xmlns:a16="http://schemas.microsoft.com/office/drawing/2014/main" id="{00000000-0008-0000-0300-00001006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73</xdr:row>
      <xdr:rowOff>0</xdr:rowOff>
    </xdr:from>
    <xdr:to>
      <xdr:col>4</xdr:col>
      <xdr:colOff>76200</xdr:colOff>
      <xdr:row>74</xdr:row>
      <xdr:rowOff>0</xdr:rowOff>
    </xdr:to>
    <xdr:sp macro="" textlink="">
      <xdr:nvSpPr>
        <xdr:cNvPr id="1553" name="Text Box 1">
          <a:extLst>
            <a:ext uri="{FF2B5EF4-FFF2-40B4-BE49-F238E27FC236}">
              <a16:creationId xmlns:a16="http://schemas.microsoft.com/office/drawing/2014/main" id="{00000000-0008-0000-0300-00001106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73</xdr:row>
      <xdr:rowOff>0</xdr:rowOff>
    </xdr:from>
    <xdr:to>
      <xdr:col>4</xdr:col>
      <xdr:colOff>76200</xdr:colOff>
      <xdr:row>74</xdr:row>
      <xdr:rowOff>0</xdr:rowOff>
    </xdr:to>
    <xdr:sp macro="" textlink="">
      <xdr:nvSpPr>
        <xdr:cNvPr id="1554" name="Text Box 1">
          <a:extLst>
            <a:ext uri="{FF2B5EF4-FFF2-40B4-BE49-F238E27FC236}">
              <a16:creationId xmlns:a16="http://schemas.microsoft.com/office/drawing/2014/main" id="{00000000-0008-0000-0300-00001206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73</xdr:row>
      <xdr:rowOff>0</xdr:rowOff>
    </xdr:from>
    <xdr:to>
      <xdr:col>4</xdr:col>
      <xdr:colOff>76200</xdr:colOff>
      <xdr:row>74</xdr:row>
      <xdr:rowOff>0</xdr:rowOff>
    </xdr:to>
    <xdr:sp macro="" textlink="">
      <xdr:nvSpPr>
        <xdr:cNvPr id="1555" name="Text Box 1">
          <a:extLst>
            <a:ext uri="{FF2B5EF4-FFF2-40B4-BE49-F238E27FC236}">
              <a16:creationId xmlns:a16="http://schemas.microsoft.com/office/drawing/2014/main" id="{00000000-0008-0000-0300-00001306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73</xdr:row>
      <xdr:rowOff>0</xdr:rowOff>
    </xdr:from>
    <xdr:to>
      <xdr:col>4</xdr:col>
      <xdr:colOff>76200</xdr:colOff>
      <xdr:row>74</xdr:row>
      <xdr:rowOff>0</xdr:rowOff>
    </xdr:to>
    <xdr:sp macro="" textlink="">
      <xdr:nvSpPr>
        <xdr:cNvPr id="1556" name="Text Box 2">
          <a:extLst>
            <a:ext uri="{FF2B5EF4-FFF2-40B4-BE49-F238E27FC236}">
              <a16:creationId xmlns:a16="http://schemas.microsoft.com/office/drawing/2014/main" id="{00000000-0008-0000-0300-00001406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73</xdr:row>
      <xdr:rowOff>0</xdr:rowOff>
    </xdr:from>
    <xdr:to>
      <xdr:col>4</xdr:col>
      <xdr:colOff>76200</xdr:colOff>
      <xdr:row>74</xdr:row>
      <xdr:rowOff>0</xdr:rowOff>
    </xdr:to>
    <xdr:sp macro="" textlink="">
      <xdr:nvSpPr>
        <xdr:cNvPr id="1557" name="Text Box 1">
          <a:extLst>
            <a:ext uri="{FF2B5EF4-FFF2-40B4-BE49-F238E27FC236}">
              <a16:creationId xmlns:a16="http://schemas.microsoft.com/office/drawing/2014/main" id="{00000000-0008-0000-0300-00001506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73</xdr:row>
      <xdr:rowOff>0</xdr:rowOff>
    </xdr:from>
    <xdr:to>
      <xdr:col>4</xdr:col>
      <xdr:colOff>76200</xdr:colOff>
      <xdr:row>74</xdr:row>
      <xdr:rowOff>0</xdr:rowOff>
    </xdr:to>
    <xdr:sp macro="" textlink="">
      <xdr:nvSpPr>
        <xdr:cNvPr id="1558" name="Text Box 1">
          <a:extLst>
            <a:ext uri="{FF2B5EF4-FFF2-40B4-BE49-F238E27FC236}">
              <a16:creationId xmlns:a16="http://schemas.microsoft.com/office/drawing/2014/main" id="{00000000-0008-0000-0300-00001606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73</xdr:row>
      <xdr:rowOff>0</xdr:rowOff>
    </xdr:from>
    <xdr:to>
      <xdr:col>4</xdr:col>
      <xdr:colOff>76200</xdr:colOff>
      <xdr:row>74</xdr:row>
      <xdr:rowOff>0</xdr:rowOff>
    </xdr:to>
    <xdr:sp macro="" textlink="">
      <xdr:nvSpPr>
        <xdr:cNvPr id="1559" name="Text Box 2">
          <a:extLst>
            <a:ext uri="{FF2B5EF4-FFF2-40B4-BE49-F238E27FC236}">
              <a16:creationId xmlns:a16="http://schemas.microsoft.com/office/drawing/2014/main" id="{00000000-0008-0000-0300-00001706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73</xdr:row>
      <xdr:rowOff>0</xdr:rowOff>
    </xdr:from>
    <xdr:to>
      <xdr:col>4</xdr:col>
      <xdr:colOff>76200</xdr:colOff>
      <xdr:row>74</xdr:row>
      <xdr:rowOff>0</xdr:rowOff>
    </xdr:to>
    <xdr:sp macro="" textlink="">
      <xdr:nvSpPr>
        <xdr:cNvPr id="1560" name="Text Box 1">
          <a:extLst>
            <a:ext uri="{FF2B5EF4-FFF2-40B4-BE49-F238E27FC236}">
              <a16:creationId xmlns:a16="http://schemas.microsoft.com/office/drawing/2014/main" id="{00000000-0008-0000-0300-00001806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73</xdr:row>
      <xdr:rowOff>0</xdr:rowOff>
    </xdr:from>
    <xdr:to>
      <xdr:col>4</xdr:col>
      <xdr:colOff>76200</xdr:colOff>
      <xdr:row>74</xdr:row>
      <xdr:rowOff>0</xdr:rowOff>
    </xdr:to>
    <xdr:sp macro="" textlink="">
      <xdr:nvSpPr>
        <xdr:cNvPr id="1561" name="Text Box 1">
          <a:extLst>
            <a:ext uri="{FF2B5EF4-FFF2-40B4-BE49-F238E27FC236}">
              <a16:creationId xmlns:a16="http://schemas.microsoft.com/office/drawing/2014/main" id="{00000000-0008-0000-0300-00001906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73</xdr:row>
      <xdr:rowOff>0</xdr:rowOff>
    </xdr:from>
    <xdr:to>
      <xdr:col>4</xdr:col>
      <xdr:colOff>76200</xdr:colOff>
      <xdr:row>74</xdr:row>
      <xdr:rowOff>0</xdr:rowOff>
    </xdr:to>
    <xdr:sp macro="" textlink="">
      <xdr:nvSpPr>
        <xdr:cNvPr id="1562" name="Text Box 1">
          <a:extLst>
            <a:ext uri="{FF2B5EF4-FFF2-40B4-BE49-F238E27FC236}">
              <a16:creationId xmlns:a16="http://schemas.microsoft.com/office/drawing/2014/main" id="{00000000-0008-0000-0300-00001A06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73</xdr:row>
      <xdr:rowOff>0</xdr:rowOff>
    </xdr:from>
    <xdr:to>
      <xdr:col>4</xdr:col>
      <xdr:colOff>76200</xdr:colOff>
      <xdr:row>74</xdr:row>
      <xdr:rowOff>0</xdr:rowOff>
    </xdr:to>
    <xdr:sp macro="" textlink="">
      <xdr:nvSpPr>
        <xdr:cNvPr id="1563" name="Text Box 2">
          <a:extLst>
            <a:ext uri="{FF2B5EF4-FFF2-40B4-BE49-F238E27FC236}">
              <a16:creationId xmlns:a16="http://schemas.microsoft.com/office/drawing/2014/main" id="{00000000-0008-0000-0300-00001B06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73</xdr:row>
      <xdr:rowOff>0</xdr:rowOff>
    </xdr:from>
    <xdr:to>
      <xdr:col>4</xdr:col>
      <xdr:colOff>76200</xdr:colOff>
      <xdr:row>74</xdr:row>
      <xdr:rowOff>0</xdr:rowOff>
    </xdr:to>
    <xdr:sp macro="" textlink="">
      <xdr:nvSpPr>
        <xdr:cNvPr id="1564" name="Text Box 1">
          <a:extLst>
            <a:ext uri="{FF2B5EF4-FFF2-40B4-BE49-F238E27FC236}">
              <a16:creationId xmlns:a16="http://schemas.microsoft.com/office/drawing/2014/main" id="{00000000-0008-0000-0300-00001C06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73</xdr:row>
      <xdr:rowOff>0</xdr:rowOff>
    </xdr:from>
    <xdr:to>
      <xdr:col>4</xdr:col>
      <xdr:colOff>76200</xdr:colOff>
      <xdr:row>74</xdr:row>
      <xdr:rowOff>0</xdr:rowOff>
    </xdr:to>
    <xdr:sp macro="" textlink="">
      <xdr:nvSpPr>
        <xdr:cNvPr id="1565" name="Text Box 1">
          <a:extLst>
            <a:ext uri="{FF2B5EF4-FFF2-40B4-BE49-F238E27FC236}">
              <a16:creationId xmlns:a16="http://schemas.microsoft.com/office/drawing/2014/main" id="{00000000-0008-0000-0300-00001D06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74</xdr:row>
      <xdr:rowOff>0</xdr:rowOff>
    </xdr:from>
    <xdr:to>
      <xdr:col>4</xdr:col>
      <xdr:colOff>76200</xdr:colOff>
      <xdr:row>75</xdr:row>
      <xdr:rowOff>0</xdr:rowOff>
    </xdr:to>
    <xdr:sp macro="" textlink="">
      <xdr:nvSpPr>
        <xdr:cNvPr id="1566" name="Text Box 1">
          <a:extLst>
            <a:ext uri="{FF2B5EF4-FFF2-40B4-BE49-F238E27FC236}">
              <a16:creationId xmlns:a16="http://schemas.microsoft.com/office/drawing/2014/main" id="{00000000-0008-0000-0300-00001E06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74</xdr:row>
      <xdr:rowOff>0</xdr:rowOff>
    </xdr:from>
    <xdr:to>
      <xdr:col>4</xdr:col>
      <xdr:colOff>76200</xdr:colOff>
      <xdr:row>75</xdr:row>
      <xdr:rowOff>0</xdr:rowOff>
    </xdr:to>
    <xdr:sp macro="" textlink="">
      <xdr:nvSpPr>
        <xdr:cNvPr id="1567" name="Text Box 2">
          <a:extLst>
            <a:ext uri="{FF2B5EF4-FFF2-40B4-BE49-F238E27FC236}">
              <a16:creationId xmlns:a16="http://schemas.microsoft.com/office/drawing/2014/main" id="{00000000-0008-0000-0300-00001F06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74</xdr:row>
      <xdr:rowOff>0</xdr:rowOff>
    </xdr:from>
    <xdr:to>
      <xdr:col>4</xdr:col>
      <xdr:colOff>76200</xdr:colOff>
      <xdr:row>75</xdr:row>
      <xdr:rowOff>0</xdr:rowOff>
    </xdr:to>
    <xdr:sp macro="" textlink="">
      <xdr:nvSpPr>
        <xdr:cNvPr id="1568" name="Text Box 1">
          <a:extLst>
            <a:ext uri="{FF2B5EF4-FFF2-40B4-BE49-F238E27FC236}">
              <a16:creationId xmlns:a16="http://schemas.microsoft.com/office/drawing/2014/main" id="{00000000-0008-0000-0300-00002006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74</xdr:row>
      <xdr:rowOff>0</xdr:rowOff>
    </xdr:from>
    <xdr:to>
      <xdr:col>4</xdr:col>
      <xdr:colOff>76200</xdr:colOff>
      <xdr:row>75</xdr:row>
      <xdr:rowOff>0</xdr:rowOff>
    </xdr:to>
    <xdr:sp macro="" textlink="">
      <xdr:nvSpPr>
        <xdr:cNvPr id="1569" name="Text Box 1">
          <a:extLst>
            <a:ext uri="{FF2B5EF4-FFF2-40B4-BE49-F238E27FC236}">
              <a16:creationId xmlns:a16="http://schemas.microsoft.com/office/drawing/2014/main" id="{00000000-0008-0000-0300-00002106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74</xdr:row>
      <xdr:rowOff>0</xdr:rowOff>
    </xdr:from>
    <xdr:to>
      <xdr:col>4</xdr:col>
      <xdr:colOff>76200</xdr:colOff>
      <xdr:row>75</xdr:row>
      <xdr:rowOff>0</xdr:rowOff>
    </xdr:to>
    <xdr:sp macro="" textlink="">
      <xdr:nvSpPr>
        <xdr:cNvPr id="1570" name="Text Box 1">
          <a:extLst>
            <a:ext uri="{FF2B5EF4-FFF2-40B4-BE49-F238E27FC236}">
              <a16:creationId xmlns:a16="http://schemas.microsoft.com/office/drawing/2014/main" id="{00000000-0008-0000-0300-00002206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74</xdr:row>
      <xdr:rowOff>0</xdr:rowOff>
    </xdr:from>
    <xdr:to>
      <xdr:col>4</xdr:col>
      <xdr:colOff>76200</xdr:colOff>
      <xdr:row>75</xdr:row>
      <xdr:rowOff>0</xdr:rowOff>
    </xdr:to>
    <xdr:sp macro="" textlink="">
      <xdr:nvSpPr>
        <xdr:cNvPr id="1571" name="Text Box 2">
          <a:extLst>
            <a:ext uri="{FF2B5EF4-FFF2-40B4-BE49-F238E27FC236}">
              <a16:creationId xmlns:a16="http://schemas.microsoft.com/office/drawing/2014/main" id="{00000000-0008-0000-0300-00002306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74</xdr:row>
      <xdr:rowOff>0</xdr:rowOff>
    </xdr:from>
    <xdr:to>
      <xdr:col>4</xdr:col>
      <xdr:colOff>76200</xdr:colOff>
      <xdr:row>75</xdr:row>
      <xdr:rowOff>0</xdr:rowOff>
    </xdr:to>
    <xdr:sp macro="" textlink="">
      <xdr:nvSpPr>
        <xdr:cNvPr id="1572" name="Text Box 1">
          <a:extLst>
            <a:ext uri="{FF2B5EF4-FFF2-40B4-BE49-F238E27FC236}">
              <a16:creationId xmlns:a16="http://schemas.microsoft.com/office/drawing/2014/main" id="{00000000-0008-0000-0300-00002406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74</xdr:row>
      <xdr:rowOff>0</xdr:rowOff>
    </xdr:from>
    <xdr:to>
      <xdr:col>4</xdr:col>
      <xdr:colOff>76200</xdr:colOff>
      <xdr:row>75</xdr:row>
      <xdr:rowOff>0</xdr:rowOff>
    </xdr:to>
    <xdr:sp macro="" textlink="">
      <xdr:nvSpPr>
        <xdr:cNvPr id="1573" name="Text Box 1">
          <a:extLst>
            <a:ext uri="{FF2B5EF4-FFF2-40B4-BE49-F238E27FC236}">
              <a16:creationId xmlns:a16="http://schemas.microsoft.com/office/drawing/2014/main" id="{00000000-0008-0000-0300-00002506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74</xdr:row>
      <xdr:rowOff>0</xdr:rowOff>
    </xdr:from>
    <xdr:to>
      <xdr:col>4</xdr:col>
      <xdr:colOff>76200</xdr:colOff>
      <xdr:row>75</xdr:row>
      <xdr:rowOff>0</xdr:rowOff>
    </xdr:to>
    <xdr:sp macro="" textlink="">
      <xdr:nvSpPr>
        <xdr:cNvPr id="1574" name="Text Box 1">
          <a:extLst>
            <a:ext uri="{FF2B5EF4-FFF2-40B4-BE49-F238E27FC236}">
              <a16:creationId xmlns:a16="http://schemas.microsoft.com/office/drawing/2014/main" id="{00000000-0008-0000-0300-00002606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74</xdr:row>
      <xdr:rowOff>0</xdr:rowOff>
    </xdr:from>
    <xdr:to>
      <xdr:col>4</xdr:col>
      <xdr:colOff>76200</xdr:colOff>
      <xdr:row>75</xdr:row>
      <xdr:rowOff>0</xdr:rowOff>
    </xdr:to>
    <xdr:sp macro="" textlink="">
      <xdr:nvSpPr>
        <xdr:cNvPr id="1575" name="Text Box 2">
          <a:extLst>
            <a:ext uri="{FF2B5EF4-FFF2-40B4-BE49-F238E27FC236}">
              <a16:creationId xmlns:a16="http://schemas.microsoft.com/office/drawing/2014/main" id="{00000000-0008-0000-0300-00002706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74</xdr:row>
      <xdr:rowOff>0</xdr:rowOff>
    </xdr:from>
    <xdr:to>
      <xdr:col>4</xdr:col>
      <xdr:colOff>76200</xdr:colOff>
      <xdr:row>75</xdr:row>
      <xdr:rowOff>0</xdr:rowOff>
    </xdr:to>
    <xdr:sp macro="" textlink="">
      <xdr:nvSpPr>
        <xdr:cNvPr id="1576" name="Text Box 1">
          <a:extLst>
            <a:ext uri="{FF2B5EF4-FFF2-40B4-BE49-F238E27FC236}">
              <a16:creationId xmlns:a16="http://schemas.microsoft.com/office/drawing/2014/main" id="{00000000-0008-0000-0300-00002806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74</xdr:row>
      <xdr:rowOff>0</xdr:rowOff>
    </xdr:from>
    <xdr:to>
      <xdr:col>4</xdr:col>
      <xdr:colOff>76200</xdr:colOff>
      <xdr:row>75</xdr:row>
      <xdr:rowOff>0</xdr:rowOff>
    </xdr:to>
    <xdr:sp macro="" textlink="">
      <xdr:nvSpPr>
        <xdr:cNvPr id="1577" name="Text Box 1">
          <a:extLst>
            <a:ext uri="{FF2B5EF4-FFF2-40B4-BE49-F238E27FC236}">
              <a16:creationId xmlns:a16="http://schemas.microsoft.com/office/drawing/2014/main" id="{00000000-0008-0000-0300-00002906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74</xdr:row>
      <xdr:rowOff>0</xdr:rowOff>
    </xdr:from>
    <xdr:to>
      <xdr:col>4</xdr:col>
      <xdr:colOff>76200</xdr:colOff>
      <xdr:row>75</xdr:row>
      <xdr:rowOff>0</xdr:rowOff>
    </xdr:to>
    <xdr:sp macro="" textlink="">
      <xdr:nvSpPr>
        <xdr:cNvPr id="1578" name="Text Box 1">
          <a:extLst>
            <a:ext uri="{FF2B5EF4-FFF2-40B4-BE49-F238E27FC236}">
              <a16:creationId xmlns:a16="http://schemas.microsoft.com/office/drawing/2014/main" id="{00000000-0008-0000-0300-00002A06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74</xdr:row>
      <xdr:rowOff>0</xdr:rowOff>
    </xdr:from>
    <xdr:to>
      <xdr:col>4</xdr:col>
      <xdr:colOff>76200</xdr:colOff>
      <xdr:row>75</xdr:row>
      <xdr:rowOff>0</xdr:rowOff>
    </xdr:to>
    <xdr:sp macro="" textlink="">
      <xdr:nvSpPr>
        <xdr:cNvPr id="1579" name="Text Box 2">
          <a:extLst>
            <a:ext uri="{FF2B5EF4-FFF2-40B4-BE49-F238E27FC236}">
              <a16:creationId xmlns:a16="http://schemas.microsoft.com/office/drawing/2014/main" id="{00000000-0008-0000-0300-00002B06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74</xdr:row>
      <xdr:rowOff>0</xdr:rowOff>
    </xdr:from>
    <xdr:to>
      <xdr:col>4</xdr:col>
      <xdr:colOff>76200</xdr:colOff>
      <xdr:row>75</xdr:row>
      <xdr:rowOff>0</xdr:rowOff>
    </xdr:to>
    <xdr:sp macro="" textlink="">
      <xdr:nvSpPr>
        <xdr:cNvPr id="1580" name="Text Box 1">
          <a:extLst>
            <a:ext uri="{FF2B5EF4-FFF2-40B4-BE49-F238E27FC236}">
              <a16:creationId xmlns:a16="http://schemas.microsoft.com/office/drawing/2014/main" id="{00000000-0008-0000-0300-00002C06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74</xdr:row>
      <xdr:rowOff>0</xdr:rowOff>
    </xdr:from>
    <xdr:to>
      <xdr:col>4</xdr:col>
      <xdr:colOff>76200</xdr:colOff>
      <xdr:row>75</xdr:row>
      <xdr:rowOff>0</xdr:rowOff>
    </xdr:to>
    <xdr:sp macro="" textlink="">
      <xdr:nvSpPr>
        <xdr:cNvPr id="1581" name="Text Box 1">
          <a:extLst>
            <a:ext uri="{FF2B5EF4-FFF2-40B4-BE49-F238E27FC236}">
              <a16:creationId xmlns:a16="http://schemas.microsoft.com/office/drawing/2014/main" id="{00000000-0008-0000-0300-00002D06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74</xdr:row>
      <xdr:rowOff>0</xdr:rowOff>
    </xdr:from>
    <xdr:to>
      <xdr:col>4</xdr:col>
      <xdr:colOff>76200</xdr:colOff>
      <xdr:row>75</xdr:row>
      <xdr:rowOff>0</xdr:rowOff>
    </xdr:to>
    <xdr:sp macro="" textlink="">
      <xdr:nvSpPr>
        <xdr:cNvPr id="1582" name="Text Box 2">
          <a:extLst>
            <a:ext uri="{FF2B5EF4-FFF2-40B4-BE49-F238E27FC236}">
              <a16:creationId xmlns:a16="http://schemas.microsoft.com/office/drawing/2014/main" id="{00000000-0008-0000-0300-00002E06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74</xdr:row>
      <xdr:rowOff>0</xdr:rowOff>
    </xdr:from>
    <xdr:to>
      <xdr:col>4</xdr:col>
      <xdr:colOff>76200</xdr:colOff>
      <xdr:row>75</xdr:row>
      <xdr:rowOff>0</xdr:rowOff>
    </xdr:to>
    <xdr:sp macro="" textlink="">
      <xdr:nvSpPr>
        <xdr:cNvPr id="1583" name="Text Box 1">
          <a:extLst>
            <a:ext uri="{FF2B5EF4-FFF2-40B4-BE49-F238E27FC236}">
              <a16:creationId xmlns:a16="http://schemas.microsoft.com/office/drawing/2014/main" id="{00000000-0008-0000-0300-00002F06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74</xdr:row>
      <xdr:rowOff>0</xdr:rowOff>
    </xdr:from>
    <xdr:to>
      <xdr:col>4</xdr:col>
      <xdr:colOff>76200</xdr:colOff>
      <xdr:row>75</xdr:row>
      <xdr:rowOff>0</xdr:rowOff>
    </xdr:to>
    <xdr:sp macro="" textlink="">
      <xdr:nvSpPr>
        <xdr:cNvPr id="1584" name="Text Box 1">
          <a:extLst>
            <a:ext uri="{FF2B5EF4-FFF2-40B4-BE49-F238E27FC236}">
              <a16:creationId xmlns:a16="http://schemas.microsoft.com/office/drawing/2014/main" id="{00000000-0008-0000-0300-00003006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74</xdr:row>
      <xdr:rowOff>0</xdr:rowOff>
    </xdr:from>
    <xdr:to>
      <xdr:col>4</xdr:col>
      <xdr:colOff>76200</xdr:colOff>
      <xdr:row>75</xdr:row>
      <xdr:rowOff>0</xdr:rowOff>
    </xdr:to>
    <xdr:sp macro="" textlink="">
      <xdr:nvSpPr>
        <xdr:cNvPr id="1585" name="Text Box 1">
          <a:extLst>
            <a:ext uri="{FF2B5EF4-FFF2-40B4-BE49-F238E27FC236}">
              <a16:creationId xmlns:a16="http://schemas.microsoft.com/office/drawing/2014/main" id="{00000000-0008-0000-0300-00003106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74</xdr:row>
      <xdr:rowOff>0</xdr:rowOff>
    </xdr:from>
    <xdr:to>
      <xdr:col>4</xdr:col>
      <xdr:colOff>76200</xdr:colOff>
      <xdr:row>75</xdr:row>
      <xdr:rowOff>0</xdr:rowOff>
    </xdr:to>
    <xdr:sp macro="" textlink="">
      <xdr:nvSpPr>
        <xdr:cNvPr id="1586" name="Text Box 2">
          <a:extLst>
            <a:ext uri="{FF2B5EF4-FFF2-40B4-BE49-F238E27FC236}">
              <a16:creationId xmlns:a16="http://schemas.microsoft.com/office/drawing/2014/main" id="{00000000-0008-0000-0300-00003206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74</xdr:row>
      <xdr:rowOff>0</xdr:rowOff>
    </xdr:from>
    <xdr:to>
      <xdr:col>4</xdr:col>
      <xdr:colOff>76200</xdr:colOff>
      <xdr:row>75</xdr:row>
      <xdr:rowOff>0</xdr:rowOff>
    </xdr:to>
    <xdr:sp macro="" textlink="">
      <xdr:nvSpPr>
        <xdr:cNvPr id="1587" name="Text Box 1">
          <a:extLst>
            <a:ext uri="{FF2B5EF4-FFF2-40B4-BE49-F238E27FC236}">
              <a16:creationId xmlns:a16="http://schemas.microsoft.com/office/drawing/2014/main" id="{00000000-0008-0000-0300-00003306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74</xdr:row>
      <xdr:rowOff>0</xdr:rowOff>
    </xdr:from>
    <xdr:to>
      <xdr:col>4</xdr:col>
      <xdr:colOff>76200</xdr:colOff>
      <xdr:row>75</xdr:row>
      <xdr:rowOff>0</xdr:rowOff>
    </xdr:to>
    <xdr:sp macro="" textlink="">
      <xdr:nvSpPr>
        <xdr:cNvPr id="1588" name="Text Box 1">
          <a:extLst>
            <a:ext uri="{FF2B5EF4-FFF2-40B4-BE49-F238E27FC236}">
              <a16:creationId xmlns:a16="http://schemas.microsoft.com/office/drawing/2014/main" id="{00000000-0008-0000-0300-00003406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75</xdr:row>
      <xdr:rowOff>0</xdr:rowOff>
    </xdr:from>
    <xdr:to>
      <xdr:col>4</xdr:col>
      <xdr:colOff>76200</xdr:colOff>
      <xdr:row>76</xdr:row>
      <xdr:rowOff>0</xdr:rowOff>
    </xdr:to>
    <xdr:sp macro="" textlink="">
      <xdr:nvSpPr>
        <xdr:cNvPr id="1589" name="Text Box 1">
          <a:extLst>
            <a:ext uri="{FF2B5EF4-FFF2-40B4-BE49-F238E27FC236}">
              <a16:creationId xmlns:a16="http://schemas.microsoft.com/office/drawing/2014/main" id="{00000000-0008-0000-0300-00003506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75</xdr:row>
      <xdr:rowOff>0</xdr:rowOff>
    </xdr:from>
    <xdr:to>
      <xdr:col>4</xdr:col>
      <xdr:colOff>76200</xdr:colOff>
      <xdr:row>76</xdr:row>
      <xdr:rowOff>0</xdr:rowOff>
    </xdr:to>
    <xdr:sp macro="" textlink="">
      <xdr:nvSpPr>
        <xdr:cNvPr id="1590" name="Text Box 2">
          <a:extLst>
            <a:ext uri="{FF2B5EF4-FFF2-40B4-BE49-F238E27FC236}">
              <a16:creationId xmlns:a16="http://schemas.microsoft.com/office/drawing/2014/main" id="{00000000-0008-0000-0300-00003606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75</xdr:row>
      <xdr:rowOff>0</xdr:rowOff>
    </xdr:from>
    <xdr:to>
      <xdr:col>4</xdr:col>
      <xdr:colOff>76200</xdr:colOff>
      <xdr:row>76</xdr:row>
      <xdr:rowOff>0</xdr:rowOff>
    </xdr:to>
    <xdr:sp macro="" textlink="">
      <xdr:nvSpPr>
        <xdr:cNvPr id="1591" name="Text Box 1">
          <a:extLst>
            <a:ext uri="{FF2B5EF4-FFF2-40B4-BE49-F238E27FC236}">
              <a16:creationId xmlns:a16="http://schemas.microsoft.com/office/drawing/2014/main" id="{00000000-0008-0000-0300-00003706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75</xdr:row>
      <xdr:rowOff>0</xdr:rowOff>
    </xdr:from>
    <xdr:to>
      <xdr:col>4</xdr:col>
      <xdr:colOff>76200</xdr:colOff>
      <xdr:row>76</xdr:row>
      <xdr:rowOff>0</xdr:rowOff>
    </xdr:to>
    <xdr:sp macro="" textlink="">
      <xdr:nvSpPr>
        <xdr:cNvPr id="1592" name="Text Box 1">
          <a:extLst>
            <a:ext uri="{FF2B5EF4-FFF2-40B4-BE49-F238E27FC236}">
              <a16:creationId xmlns:a16="http://schemas.microsoft.com/office/drawing/2014/main" id="{00000000-0008-0000-0300-00003806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75</xdr:row>
      <xdr:rowOff>0</xdr:rowOff>
    </xdr:from>
    <xdr:to>
      <xdr:col>4</xdr:col>
      <xdr:colOff>76200</xdr:colOff>
      <xdr:row>76</xdr:row>
      <xdr:rowOff>0</xdr:rowOff>
    </xdr:to>
    <xdr:sp macro="" textlink="">
      <xdr:nvSpPr>
        <xdr:cNvPr id="1593" name="Text Box 1">
          <a:extLst>
            <a:ext uri="{FF2B5EF4-FFF2-40B4-BE49-F238E27FC236}">
              <a16:creationId xmlns:a16="http://schemas.microsoft.com/office/drawing/2014/main" id="{00000000-0008-0000-0300-00003906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75</xdr:row>
      <xdr:rowOff>0</xdr:rowOff>
    </xdr:from>
    <xdr:to>
      <xdr:col>4</xdr:col>
      <xdr:colOff>76200</xdr:colOff>
      <xdr:row>76</xdr:row>
      <xdr:rowOff>0</xdr:rowOff>
    </xdr:to>
    <xdr:sp macro="" textlink="">
      <xdr:nvSpPr>
        <xdr:cNvPr id="1594" name="Text Box 2">
          <a:extLst>
            <a:ext uri="{FF2B5EF4-FFF2-40B4-BE49-F238E27FC236}">
              <a16:creationId xmlns:a16="http://schemas.microsoft.com/office/drawing/2014/main" id="{00000000-0008-0000-0300-00003A06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75</xdr:row>
      <xdr:rowOff>0</xdr:rowOff>
    </xdr:from>
    <xdr:to>
      <xdr:col>4</xdr:col>
      <xdr:colOff>76200</xdr:colOff>
      <xdr:row>76</xdr:row>
      <xdr:rowOff>0</xdr:rowOff>
    </xdr:to>
    <xdr:sp macro="" textlink="">
      <xdr:nvSpPr>
        <xdr:cNvPr id="1595" name="Text Box 1">
          <a:extLst>
            <a:ext uri="{FF2B5EF4-FFF2-40B4-BE49-F238E27FC236}">
              <a16:creationId xmlns:a16="http://schemas.microsoft.com/office/drawing/2014/main" id="{00000000-0008-0000-0300-00003B06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75</xdr:row>
      <xdr:rowOff>0</xdr:rowOff>
    </xdr:from>
    <xdr:to>
      <xdr:col>4</xdr:col>
      <xdr:colOff>76200</xdr:colOff>
      <xdr:row>76</xdr:row>
      <xdr:rowOff>0</xdr:rowOff>
    </xdr:to>
    <xdr:sp macro="" textlink="">
      <xdr:nvSpPr>
        <xdr:cNvPr id="1596" name="Text Box 1">
          <a:extLst>
            <a:ext uri="{FF2B5EF4-FFF2-40B4-BE49-F238E27FC236}">
              <a16:creationId xmlns:a16="http://schemas.microsoft.com/office/drawing/2014/main" id="{00000000-0008-0000-0300-00003C06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75</xdr:row>
      <xdr:rowOff>0</xdr:rowOff>
    </xdr:from>
    <xdr:to>
      <xdr:col>4</xdr:col>
      <xdr:colOff>76200</xdr:colOff>
      <xdr:row>76</xdr:row>
      <xdr:rowOff>0</xdr:rowOff>
    </xdr:to>
    <xdr:sp macro="" textlink="">
      <xdr:nvSpPr>
        <xdr:cNvPr id="1597" name="Text Box 1">
          <a:extLst>
            <a:ext uri="{FF2B5EF4-FFF2-40B4-BE49-F238E27FC236}">
              <a16:creationId xmlns:a16="http://schemas.microsoft.com/office/drawing/2014/main" id="{00000000-0008-0000-0300-00003D06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75</xdr:row>
      <xdr:rowOff>0</xdr:rowOff>
    </xdr:from>
    <xdr:to>
      <xdr:col>4</xdr:col>
      <xdr:colOff>76200</xdr:colOff>
      <xdr:row>76</xdr:row>
      <xdr:rowOff>0</xdr:rowOff>
    </xdr:to>
    <xdr:sp macro="" textlink="">
      <xdr:nvSpPr>
        <xdr:cNvPr id="1598" name="Text Box 2">
          <a:extLst>
            <a:ext uri="{FF2B5EF4-FFF2-40B4-BE49-F238E27FC236}">
              <a16:creationId xmlns:a16="http://schemas.microsoft.com/office/drawing/2014/main" id="{00000000-0008-0000-0300-00003E06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75</xdr:row>
      <xdr:rowOff>0</xdr:rowOff>
    </xdr:from>
    <xdr:to>
      <xdr:col>4</xdr:col>
      <xdr:colOff>76200</xdr:colOff>
      <xdr:row>76</xdr:row>
      <xdr:rowOff>0</xdr:rowOff>
    </xdr:to>
    <xdr:sp macro="" textlink="">
      <xdr:nvSpPr>
        <xdr:cNvPr id="1599" name="Text Box 1">
          <a:extLst>
            <a:ext uri="{FF2B5EF4-FFF2-40B4-BE49-F238E27FC236}">
              <a16:creationId xmlns:a16="http://schemas.microsoft.com/office/drawing/2014/main" id="{00000000-0008-0000-0300-00003F06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75</xdr:row>
      <xdr:rowOff>0</xdr:rowOff>
    </xdr:from>
    <xdr:to>
      <xdr:col>4</xdr:col>
      <xdr:colOff>76200</xdr:colOff>
      <xdr:row>76</xdr:row>
      <xdr:rowOff>0</xdr:rowOff>
    </xdr:to>
    <xdr:sp macro="" textlink="">
      <xdr:nvSpPr>
        <xdr:cNvPr id="1600" name="Text Box 1">
          <a:extLst>
            <a:ext uri="{FF2B5EF4-FFF2-40B4-BE49-F238E27FC236}">
              <a16:creationId xmlns:a16="http://schemas.microsoft.com/office/drawing/2014/main" id="{00000000-0008-0000-0300-00004006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75</xdr:row>
      <xdr:rowOff>0</xdr:rowOff>
    </xdr:from>
    <xdr:to>
      <xdr:col>4</xdr:col>
      <xdr:colOff>76200</xdr:colOff>
      <xdr:row>76</xdr:row>
      <xdr:rowOff>0</xdr:rowOff>
    </xdr:to>
    <xdr:sp macro="" textlink="">
      <xdr:nvSpPr>
        <xdr:cNvPr id="1601" name="Text Box 1">
          <a:extLst>
            <a:ext uri="{FF2B5EF4-FFF2-40B4-BE49-F238E27FC236}">
              <a16:creationId xmlns:a16="http://schemas.microsoft.com/office/drawing/2014/main" id="{00000000-0008-0000-0300-00004106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75</xdr:row>
      <xdr:rowOff>0</xdr:rowOff>
    </xdr:from>
    <xdr:to>
      <xdr:col>4</xdr:col>
      <xdr:colOff>76200</xdr:colOff>
      <xdr:row>76</xdr:row>
      <xdr:rowOff>0</xdr:rowOff>
    </xdr:to>
    <xdr:sp macro="" textlink="">
      <xdr:nvSpPr>
        <xdr:cNvPr id="1602" name="Text Box 2">
          <a:extLst>
            <a:ext uri="{FF2B5EF4-FFF2-40B4-BE49-F238E27FC236}">
              <a16:creationId xmlns:a16="http://schemas.microsoft.com/office/drawing/2014/main" id="{00000000-0008-0000-0300-00004206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75</xdr:row>
      <xdr:rowOff>0</xdr:rowOff>
    </xdr:from>
    <xdr:to>
      <xdr:col>4</xdr:col>
      <xdr:colOff>76200</xdr:colOff>
      <xdr:row>76</xdr:row>
      <xdr:rowOff>0</xdr:rowOff>
    </xdr:to>
    <xdr:sp macro="" textlink="">
      <xdr:nvSpPr>
        <xdr:cNvPr id="1603" name="Text Box 1">
          <a:extLst>
            <a:ext uri="{FF2B5EF4-FFF2-40B4-BE49-F238E27FC236}">
              <a16:creationId xmlns:a16="http://schemas.microsoft.com/office/drawing/2014/main" id="{00000000-0008-0000-0300-00004306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75</xdr:row>
      <xdr:rowOff>0</xdr:rowOff>
    </xdr:from>
    <xdr:to>
      <xdr:col>4</xdr:col>
      <xdr:colOff>76200</xdr:colOff>
      <xdr:row>76</xdr:row>
      <xdr:rowOff>0</xdr:rowOff>
    </xdr:to>
    <xdr:sp macro="" textlink="">
      <xdr:nvSpPr>
        <xdr:cNvPr id="1604" name="Text Box 1">
          <a:extLst>
            <a:ext uri="{FF2B5EF4-FFF2-40B4-BE49-F238E27FC236}">
              <a16:creationId xmlns:a16="http://schemas.microsoft.com/office/drawing/2014/main" id="{00000000-0008-0000-0300-00004406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75</xdr:row>
      <xdr:rowOff>0</xdr:rowOff>
    </xdr:from>
    <xdr:to>
      <xdr:col>4</xdr:col>
      <xdr:colOff>76200</xdr:colOff>
      <xdr:row>76</xdr:row>
      <xdr:rowOff>0</xdr:rowOff>
    </xdr:to>
    <xdr:sp macro="" textlink="">
      <xdr:nvSpPr>
        <xdr:cNvPr id="1605" name="Text Box 2">
          <a:extLst>
            <a:ext uri="{FF2B5EF4-FFF2-40B4-BE49-F238E27FC236}">
              <a16:creationId xmlns:a16="http://schemas.microsoft.com/office/drawing/2014/main" id="{00000000-0008-0000-0300-00004506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75</xdr:row>
      <xdr:rowOff>0</xdr:rowOff>
    </xdr:from>
    <xdr:to>
      <xdr:col>4</xdr:col>
      <xdr:colOff>76200</xdr:colOff>
      <xdr:row>76</xdr:row>
      <xdr:rowOff>0</xdr:rowOff>
    </xdr:to>
    <xdr:sp macro="" textlink="">
      <xdr:nvSpPr>
        <xdr:cNvPr id="1606" name="Text Box 1">
          <a:extLst>
            <a:ext uri="{FF2B5EF4-FFF2-40B4-BE49-F238E27FC236}">
              <a16:creationId xmlns:a16="http://schemas.microsoft.com/office/drawing/2014/main" id="{00000000-0008-0000-0300-00004606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75</xdr:row>
      <xdr:rowOff>0</xdr:rowOff>
    </xdr:from>
    <xdr:to>
      <xdr:col>4</xdr:col>
      <xdr:colOff>76200</xdr:colOff>
      <xdr:row>76</xdr:row>
      <xdr:rowOff>0</xdr:rowOff>
    </xdr:to>
    <xdr:sp macro="" textlink="">
      <xdr:nvSpPr>
        <xdr:cNvPr id="1607" name="Text Box 1">
          <a:extLst>
            <a:ext uri="{FF2B5EF4-FFF2-40B4-BE49-F238E27FC236}">
              <a16:creationId xmlns:a16="http://schemas.microsoft.com/office/drawing/2014/main" id="{00000000-0008-0000-0300-00004706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75</xdr:row>
      <xdr:rowOff>0</xdr:rowOff>
    </xdr:from>
    <xdr:to>
      <xdr:col>4</xdr:col>
      <xdr:colOff>76200</xdr:colOff>
      <xdr:row>76</xdr:row>
      <xdr:rowOff>0</xdr:rowOff>
    </xdr:to>
    <xdr:sp macro="" textlink="">
      <xdr:nvSpPr>
        <xdr:cNvPr id="1608" name="Text Box 1">
          <a:extLst>
            <a:ext uri="{FF2B5EF4-FFF2-40B4-BE49-F238E27FC236}">
              <a16:creationId xmlns:a16="http://schemas.microsoft.com/office/drawing/2014/main" id="{00000000-0008-0000-0300-00004806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75</xdr:row>
      <xdr:rowOff>0</xdr:rowOff>
    </xdr:from>
    <xdr:to>
      <xdr:col>4</xdr:col>
      <xdr:colOff>76200</xdr:colOff>
      <xdr:row>76</xdr:row>
      <xdr:rowOff>0</xdr:rowOff>
    </xdr:to>
    <xdr:sp macro="" textlink="">
      <xdr:nvSpPr>
        <xdr:cNvPr id="1609" name="Text Box 2">
          <a:extLst>
            <a:ext uri="{FF2B5EF4-FFF2-40B4-BE49-F238E27FC236}">
              <a16:creationId xmlns:a16="http://schemas.microsoft.com/office/drawing/2014/main" id="{00000000-0008-0000-0300-00004906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75</xdr:row>
      <xdr:rowOff>0</xdr:rowOff>
    </xdr:from>
    <xdr:to>
      <xdr:col>4</xdr:col>
      <xdr:colOff>76200</xdr:colOff>
      <xdr:row>76</xdr:row>
      <xdr:rowOff>0</xdr:rowOff>
    </xdr:to>
    <xdr:sp macro="" textlink="">
      <xdr:nvSpPr>
        <xdr:cNvPr id="1610" name="Text Box 1">
          <a:extLst>
            <a:ext uri="{FF2B5EF4-FFF2-40B4-BE49-F238E27FC236}">
              <a16:creationId xmlns:a16="http://schemas.microsoft.com/office/drawing/2014/main" id="{00000000-0008-0000-0300-00004A06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75</xdr:row>
      <xdr:rowOff>0</xdr:rowOff>
    </xdr:from>
    <xdr:to>
      <xdr:col>4</xdr:col>
      <xdr:colOff>76200</xdr:colOff>
      <xdr:row>76</xdr:row>
      <xdr:rowOff>0</xdr:rowOff>
    </xdr:to>
    <xdr:sp macro="" textlink="">
      <xdr:nvSpPr>
        <xdr:cNvPr id="1611" name="Text Box 1">
          <a:extLst>
            <a:ext uri="{FF2B5EF4-FFF2-40B4-BE49-F238E27FC236}">
              <a16:creationId xmlns:a16="http://schemas.microsoft.com/office/drawing/2014/main" id="{00000000-0008-0000-0300-00004B06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76</xdr:row>
      <xdr:rowOff>0</xdr:rowOff>
    </xdr:from>
    <xdr:to>
      <xdr:col>4</xdr:col>
      <xdr:colOff>76200</xdr:colOff>
      <xdr:row>77</xdr:row>
      <xdr:rowOff>0</xdr:rowOff>
    </xdr:to>
    <xdr:sp macro="" textlink="">
      <xdr:nvSpPr>
        <xdr:cNvPr id="1612" name="Text Box 1">
          <a:extLst>
            <a:ext uri="{FF2B5EF4-FFF2-40B4-BE49-F238E27FC236}">
              <a16:creationId xmlns:a16="http://schemas.microsoft.com/office/drawing/2014/main" id="{00000000-0008-0000-0300-00004C06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76</xdr:row>
      <xdr:rowOff>0</xdr:rowOff>
    </xdr:from>
    <xdr:to>
      <xdr:col>4</xdr:col>
      <xdr:colOff>76200</xdr:colOff>
      <xdr:row>77</xdr:row>
      <xdr:rowOff>0</xdr:rowOff>
    </xdr:to>
    <xdr:sp macro="" textlink="">
      <xdr:nvSpPr>
        <xdr:cNvPr id="1613" name="Text Box 2">
          <a:extLst>
            <a:ext uri="{FF2B5EF4-FFF2-40B4-BE49-F238E27FC236}">
              <a16:creationId xmlns:a16="http://schemas.microsoft.com/office/drawing/2014/main" id="{00000000-0008-0000-0300-00004D06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76</xdr:row>
      <xdr:rowOff>0</xdr:rowOff>
    </xdr:from>
    <xdr:to>
      <xdr:col>4</xdr:col>
      <xdr:colOff>76200</xdr:colOff>
      <xdr:row>77</xdr:row>
      <xdr:rowOff>0</xdr:rowOff>
    </xdr:to>
    <xdr:sp macro="" textlink="">
      <xdr:nvSpPr>
        <xdr:cNvPr id="1614" name="Text Box 1">
          <a:extLst>
            <a:ext uri="{FF2B5EF4-FFF2-40B4-BE49-F238E27FC236}">
              <a16:creationId xmlns:a16="http://schemas.microsoft.com/office/drawing/2014/main" id="{00000000-0008-0000-0300-00004E06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76</xdr:row>
      <xdr:rowOff>0</xdr:rowOff>
    </xdr:from>
    <xdr:to>
      <xdr:col>4</xdr:col>
      <xdr:colOff>76200</xdr:colOff>
      <xdr:row>77</xdr:row>
      <xdr:rowOff>0</xdr:rowOff>
    </xdr:to>
    <xdr:sp macro="" textlink="">
      <xdr:nvSpPr>
        <xdr:cNvPr id="1615" name="Text Box 1">
          <a:extLst>
            <a:ext uri="{FF2B5EF4-FFF2-40B4-BE49-F238E27FC236}">
              <a16:creationId xmlns:a16="http://schemas.microsoft.com/office/drawing/2014/main" id="{00000000-0008-0000-0300-00004F06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76</xdr:row>
      <xdr:rowOff>0</xdr:rowOff>
    </xdr:from>
    <xdr:to>
      <xdr:col>4</xdr:col>
      <xdr:colOff>76200</xdr:colOff>
      <xdr:row>77</xdr:row>
      <xdr:rowOff>0</xdr:rowOff>
    </xdr:to>
    <xdr:sp macro="" textlink="">
      <xdr:nvSpPr>
        <xdr:cNvPr id="1616" name="Text Box 1">
          <a:extLst>
            <a:ext uri="{FF2B5EF4-FFF2-40B4-BE49-F238E27FC236}">
              <a16:creationId xmlns:a16="http://schemas.microsoft.com/office/drawing/2014/main" id="{00000000-0008-0000-0300-00005006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76</xdr:row>
      <xdr:rowOff>0</xdr:rowOff>
    </xdr:from>
    <xdr:to>
      <xdr:col>4</xdr:col>
      <xdr:colOff>76200</xdr:colOff>
      <xdr:row>77</xdr:row>
      <xdr:rowOff>0</xdr:rowOff>
    </xdr:to>
    <xdr:sp macro="" textlink="">
      <xdr:nvSpPr>
        <xdr:cNvPr id="1617" name="Text Box 2">
          <a:extLst>
            <a:ext uri="{FF2B5EF4-FFF2-40B4-BE49-F238E27FC236}">
              <a16:creationId xmlns:a16="http://schemas.microsoft.com/office/drawing/2014/main" id="{00000000-0008-0000-0300-00005106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76</xdr:row>
      <xdr:rowOff>0</xdr:rowOff>
    </xdr:from>
    <xdr:to>
      <xdr:col>4</xdr:col>
      <xdr:colOff>76200</xdr:colOff>
      <xdr:row>77</xdr:row>
      <xdr:rowOff>0</xdr:rowOff>
    </xdr:to>
    <xdr:sp macro="" textlink="">
      <xdr:nvSpPr>
        <xdr:cNvPr id="1618" name="Text Box 1">
          <a:extLst>
            <a:ext uri="{FF2B5EF4-FFF2-40B4-BE49-F238E27FC236}">
              <a16:creationId xmlns:a16="http://schemas.microsoft.com/office/drawing/2014/main" id="{00000000-0008-0000-0300-00005206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76</xdr:row>
      <xdr:rowOff>0</xdr:rowOff>
    </xdr:from>
    <xdr:to>
      <xdr:col>4</xdr:col>
      <xdr:colOff>76200</xdr:colOff>
      <xdr:row>77</xdr:row>
      <xdr:rowOff>0</xdr:rowOff>
    </xdr:to>
    <xdr:sp macro="" textlink="">
      <xdr:nvSpPr>
        <xdr:cNvPr id="1619" name="Text Box 1">
          <a:extLst>
            <a:ext uri="{FF2B5EF4-FFF2-40B4-BE49-F238E27FC236}">
              <a16:creationId xmlns:a16="http://schemas.microsoft.com/office/drawing/2014/main" id="{00000000-0008-0000-0300-00005306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76</xdr:row>
      <xdr:rowOff>0</xdr:rowOff>
    </xdr:from>
    <xdr:to>
      <xdr:col>4</xdr:col>
      <xdr:colOff>76200</xdr:colOff>
      <xdr:row>77</xdr:row>
      <xdr:rowOff>0</xdr:rowOff>
    </xdr:to>
    <xdr:sp macro="" textlink="">
      <xdr:nvSpPr>
        <xdr:cNvPr id="1620" name="Text Box 1">
          <a:extLst>
            <a:ext uri="{FF2B5EF4-FFF2-40B4-BE49-F238E27FC236}">
              <a16:creationId xmlns:a16="http://schemas.microsoft.com/office/drawing/2014/main" id="{00000000-0008-0000-0300-00005406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76</xdr:row>
      <xdr:rowOff>0</xdr:rowOff>
    </xdr:from>
    <xdr:to>
      <xdr:col>4</xdr:col>
      <xdr:colOff>76200</xdr:colOff>
      <xdr:row>77</xdr:row>
      <xdr:rowOff>0</xdr:rowOff>
    </xdr:to>
    <xdr:sp macro="" textlink="">
      <xdr:nvSpPr>
        <xdr:cNvPr id="1621" name="Text Box 2">
          <a:extLst>
            <a:ext uri="{FF2B5EF4-FFF2-40B4-BE49-F238E27FC236}">
              <a16:creationId xmlns:a16="http://schemas.microsoft.com/office/drawing/2014/main" id="{00000000-0008-0000-0300-00005506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76</xdr:row>
      <xdr:rowOff>0</xdr:rowOff>
    </xdr:from>
    <xdr:to>
      <xdr:col>4</xdr:col>
      <xdr:colOff>76200</xdr:colOff>
      <xdr:row>77</xdr:row>
      <xdr:rowOff>0</xdr:rowOff>
    </xdr:to>
    <xdr:sp macro="" textlink="">
      <xdr:nvSpPr>
        <xdr:cNvPr id="1622" name="Text Box 1">
          <a:extLst>
            <a:ext uri="{FF2B5EF4-FFF2-40B4-BE49-F238E27FC236}">
              <a16:creationId xmlns:a16="http://schemas.microsoft.com/office/drawing/2014/main" id="{00000000-0008-0000-0300-00005606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76</xdr:row>
      <xdr:rowOff>0</xdr:rowOff>
    </xdr:from>
    <xdr:to>
      <xdr:col>4</xdr:col>
      <xdr:colOff>76200</xdr:colOff>
      <xdr:row>77</xdr:row>
      <xdr:rowOff>0</xdr:rowOff>
    </xdr:to>
    <xdr:sp macro="" textlink="">
      <xdr:nvSpPr>
        <xdr:cNvPr id="1623" name="Text Box 1">
          <a:extLst>
            <a:ext uri="{FF2B5EF4-FFF2-40B4-BE49-F238E27FC236}">
              <a16:creationId xmlns:a16="http://schemas.microsoft.com/office/drawing/2014/main" id="{00000000-0008-0000-0300-00005706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76</xdr:row>
      <xdr:rowOff>0</xdr:rowOff>
    </xdr:from>
    <xdr:to>
      <xdr:col>4</xdr:col>
      <xdr:colOff>76200</xdr:colOff>
      <xdr:row>77</xdr:row>
      <xdr:rowOff>0</xdr:rowOff>
    </xdr:to>
    <xdr:sp macro="" textlink="">
      <xdr:nvSpPr>
        <xdr:cNvPr id="1624" name="Text Box 1">
          <a:extLst>
            <a:ext uri="{FF2B5EF4-FFF2-40B4-BE49-F238E27FC236}">
              <a16:creationId xmlns:a16="http://schemas.microsoft.com/office/drawing/2014/main" id="{00000000-0008-0000-0300-00005806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76</xdr:row>
      <xdr:rowOff>0</xdr:rowOff>
    </xdr:from>
    <xdr:to>
      <xdr:col>4</xdr:col>
      <xdr:colOff>76200</xdr:colOff>
      <xdr:row>77</xdr:row>
      <xdr:rowOff>0</xdr:rowOff>
    </xdr:to>
    <xdr:sp macro="" textlink="">
      <xdr:nvSpPr>
        <xdr:cNvPr id="1625" name="Text Box 2">
          <a:extLst>
            <a:ext uri="{FF2B5EF4-FFF2-40B4-BE49-F238E27FC236}">
              <a16:creationId xmlns:a16="http://schemas.microsoft.com/office/drawing/2014/main" id="{00000000-0008-0000-0300-00005906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76</xdr:row>
      <xdr:rowOff>0</xdr:rowOff>
    </xdr:from>
    <xdr:to>
      <xdr:col>4</xdr:col>
      <xdr:colOff>76200</xdr:colOff>
      <xdr:row>77</xdr:row>
      <xdr:rowOff>0</xdr:rowOff>
    </xdr:to>
    <xdr:sp macro="" textlink="">
      <xdr:nvSpPr>
        <xdr:cNvPr id="1626" name="Text Box 1">
          <a:extLst>
            <a:ext uri="{FF2B5EF4-FFF2-40B4-BE49-F238E27FC236}">
              <a16:creationId xmlns:a16="http://schemas.microsoft.com/office/drawing/2014/main" id="{00000000-0008-0000-0300-00005A06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76</xdr:row>
      <xdr:rowOff>0</xdr:rowOff>
    </xdr:from>
    <xdr:to>
      <xdr:col>4</xdr:col>
      <xdr:colOff>76200</xdr:colOff>
      <xdr:row>77</xdr:row>
      <xdr:rowOff>0</xdr:rowOff>
    </xdr:to>
    <xdr:sp macro="" textlink="">
      <xdr:nvSpPr>
        <xdr:cNvPr id="1627" name="Text Box 1">
          <a:extLst>
            <a:ext uri="{FF2B5EF4-FFF2-40B4-BE49-F238E27FC236}">
              <a16:creationId xmlns:a16="http://schemas.microsoft.com/office/drawing/2014/main" id="{00000000-0008-0000-0300-00005B06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76</xdr:row>
      <xdr:rowOff>0</xdr:rowOff>
    </xdr:from>
    <xdr:to>
      <xdr:col>4</xdr:col>
      <xdr:colOff>76200</xdr:colOff>
      <xdr:row>77</xdr:row>
      <xdr:rowOff>0</xdr:rowOff>
    </xdr:to>
    <xdr:sp macro="" textlink="">
      <xdr:nvSpPr>
        <xdr:cNvPr id="1628" name="Text Box 2">
          <a:extLst>
            <a:ext uri="{FF2B5EF4-FFF2-40B4-BE49-F238E27FC236}">
              <a16:creationId xmlns:a16="http://schemas.microsoft.com/office/drawing/2014/main" id="{00000000-0008-0000-0300-00005C06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76</xdr:row>
      <xdr:rowOff>0</xdr:rowOff>
    </xdr:from>
    <xdr:to>
      <xdr:col>4</xdr:col>
      <xdr:colOff>76200</xdr:colOff>
      <xdr:row>77</xdr:row>
      <xdr:rowOff>0</xdr:rowOff>
    </xdr:to>
    <xdr:sp macro="" textlink="">
      <xdr:nvSpPr>
        <xdr:cNvPr id="1629" name="Text Box 1">
          <a:extLst>
            <a:ext uri="{FF2B5EF4-FFF2-40B4-BE49-F238E27FC236}">
              <a16:creationId xmlns:a16="http://schemas.microsoft.com/office/drawing/2014/main" id="{00000000-0008-0000-0300-00005D06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76</xdr:row>
      <xdr:rowOff>0</xdr:rowOff>
    </xdr:from>
    <xdr:to>
      <xdr:col>4</xdr:col>
      <xdr:colOff>76200</xdr:colOff>
      <xdr:row>77</xdr:row>
      <xdr:rowOff>0</xdr:rowOff>
    </xdr:to>
    <xdr:sp macro="" textlink="">
      <xdr:nvSpPr>
        <xdr:cNvPr id="1630" name="Text Box 1">
          <a:extLst>
            <a:ext uri="{FF2B5EF4-FFF2-40B4-BE49-F238E27FC236}">
              <a16:creationId xmlns:a16="http://schemas.microsoft.com/office/drawing/2014/main" id="{00000000-0008-0000-0300-00005E06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76</xdr:row>
      <xdr:rowOff>0</xdr:rowOff>
    </xdr:from>
    <xdr:to>
      <xdr:col>4</xdr:col>
      <xdr:colOff>76200</xdr:colOff>
      <xdr:row>77</xdr:row>
      <xdr:rowOff>0</xdr:rowOff>
    </xdr:to>
    <xdr:sp macro="" textlink="">
      <xdr:nvSpPr>
        <xdr:cNvPr id="1631" name="Text Box 1">
          <a:extLst>
            <a:ext uri="{FF2B5EF4-FFF2-40B4-BE49-F238E27FC236}">
              <a16:creationId xmlns:a16="http://schemas.microsoft.com/office/drawing/2014/main" id="{00000000-0008-0000-0300-00005F06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76</xdr:row>
      <xdr:rowOff>0</xdr:rowOff>
    </xdr:from>
    <xdr:to>
      <xdr:col>4</xdr:col>
      <xdr:colOff>76200</xdr:colOff>
      <xdr:row>77</xdr:row>
      <xdr:rowOff>0</xdr:rowOff>
    </xdr:to>
    <xdr:sp macro="" textlink="">
      <xdr:nvSpPr>
        <xdr:cNvPr id="1632" name="Text Box 2">
          <a:extLst>
            <a:ext uri="{FF2B5EF4-FFF2-40B4-BE49-F238E27FC236}">
              <a16:creationId xmlns:a16="http://schemas.microsoft.com/office/drawing/2014/main" id="{00000000-0008-0000-0300-00006006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76</xdr:row>
      <xdr:rowOff>0</xdr:rowOff>
    </xdr:from>
    <xdr:to>
      <xdr:col>4</xdr:col>
      <xdr:colOff>76200</xdr:colOff>
      <xdr:row>77</xdr:row>
      <xdr:rowOff>0</xdr:rowOff>
    </xdr:to>
    <xdr:sp macro="" textlink="">
      <xdr:nvSpPr>
        <xdr:cNvPr id="1633" name="Text Box 1">
          <a:extLst>
            <a:ext uri="{FF2B5EF4-FFF2-40B4-BE49-F238E27FC236}">
              <a16:creationId xmlns:a16="http://schemas.microsoft.com/office/drawing/2014/main" id="{00000000-0008-0000-0300-00006106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76</xdr:row>
      <xdr:rowOff>0</xdr:rowOff>
    </xdr:from>
    <xdr:to>
      <xdr:col>4</xdr:col>
      <xdr:colOff>76200</xdr:colOff>
      <xdr:row>77</xdr:row>
      <xdr:rowOff>0</xdr:rowOff>
    </xdr:to>
    <xdr:sp macro="" textlink="">
      <xdr:nvSpPr>
        <xdr:cNvPr id="1634" name="Text Box 1">
          <a:extLst>
            <a:ext uri="{FF2B5EF4-FFF2-40B4-BE49-F238E27FC236}">
              <a16:creationId xmlns:a16="http://schemas.microsoft.com/office/drawing/2014/main" id="{00000000-0008-0000-0300-00006206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77</xdr:row>
      <xdr:rowOff>0</xdr:rowOff>
    </xdr:from>
    <xdr:to>
      <xdr:col>4</xdr:col>
      <xdr:colOff>76200</xdr:colOff>
      <xdr:row>78</xdr:row>
      <xdr:rowOff>0</xdr:rowOff>
    </xdr:to>
    <xdr:sp macro="" textlink="">
      <xdr:nvSpPr>
        <xdr:cNvPr id="1635" name="Text Box 1">
          <a:extLst>
            <a:ext uri="{FF2B5EF4-FFF2-40B4-BE49-F238E27FC236}">
              <a16:creationId xmlns:a16="http://schemas.microsoft.com/office/drawing/2014/main" id="{00000000-0008-0000-0300-00006306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77</xdr:row>
      <xdr:rowOff>0</xdr:rowOff>
    </xdr:from>
    <xdr:to>
      <xdr:col>4</xdr:col>
      <xdr:colOff>76200</xdr:colOff>
      <xdr:row>78</xdr:row>
      <xdr:rowOff>0</xdr:rowOff>
    </xdr:to>
    <xdr:sp macro="" textlink="">
      <xdr:nvSpPr>
        <xdr:cNvPr id="1636" name="Text Box 2">
          <a:extLst>
            <a:ext uri="{FF2B5EF4-FFF2-40B4-BE49-F238E27FC236}">
              <a16:creationId xmlns:a16="http://schemas.microsoft.com/office/drawing/2014/main" id="{00000000-0008-0000-0300-00006406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77</xdr:row>
      <xdr:rowOff>0</xdr:rowOff>
    </xdr:from>
    <xdr:to>
      <xdr:col>4</xdr:col>
      <xdr:colOff>76200</xdr:colOff>
      <xdr:row>78</xdr:row>
      <xdr:rowOff>0</xdr:rowOff>
    </xdr:to>
    <xdr:sp macro="" textlink="">
      <xdr:nvSpPr>
        <xdr:cNvPr id="1637" name="Text Box 1">
          <a:extLst>
            <a:ext uri="{FF2B5EF4-FFF2-40B4-BE49-F238E27FC236}">
              <a16:creationId xmlns:a16="http://schemas.microsoft.com/office/drawing/2014/main" id="{00000000-0008-0000-0300-00006506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77</xdr:row>
      <xdr:rowOff>0</xdr:rowOff>
    </xdr:from>
    <xdr:to>
      <xdr:col>4</xdr:col>
      <xdr:colOff>76200</xdr:colOff>
      <xdr:row>78</xdr:row>
      <xdr:rowOff>0</xdr:rowOff>
    </xdr:to>
    <xdr:sp macro="" textlink="">
      <xdr:nvSpPr>
        <xdr:cNvPr id="1638" name="Text Box 1">
          <a:extLst>
            <a:ext uri="{FF2B5EF4-FFF2-40B4-BE49-F238E27FC236}">
              <a16:creationId xmlns:a16="http://schemas.microsoft.com/office/drawing/2014/main" id="{00000000-0008-0000-0300-00006606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77</xdr:row>
      <xdr:rowOff>0</xdr:rowOff>
    </xdr:from>
    <xdr:to>
      <xdr:col>4</xdr:col>
      <xdr:colOff>76200</xdr:colOff>
      <xdr:row>78</xdr:row>
      <xdr:rowOff>0</xdr:rowOff>
    </xdr:to>
    <xdr:sp macro="" textlink="">
      <xdr:nvSpPr>
        <xdr:cNvPr id="1639" name="Text Box 1">
          <a:extLst>
            <a:ext uri="{FF2B5EF4-FFF2-40B4-BE49-F238E27FC236}">
              <a16:creationId xmlns:a16="http://schemas.microsoft.com/office/drawing/2014/main" id="{00000000-0008-0000-0300-00006706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77</xdr:row>
      <xdr:rowOff>0</xdr:rowOff>
    </xdr:from>
    <xdr:to>
      <xdr:col>4</xdr:col>
      <xdr:colOff>76200</xdr:colOff>
      <xdr:row>78</xdr:row>
      <xdr:rowOff>0</xdr:rowOff>
    </xdr:to>
    <xdr:sp macro="" textlink="">
      <xdr:nvSpPr>
        <xdr:cNvPr id="1640" name="Text Box 2">
          <a:extLst>
            <a:ext uri="{FF2B5EF4-FFF2-40B4-BE49-F238E27FC236}">
              <a16:creationId xmlns:a16="http://schemas.microsoft.com/office/drawing/2014/main" id="{00000000-0008-0000-0300-00006806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77</xdr:row>
      <xdr:rowOff>0</xdr:rowOff>
    </xdr:from>
    <xdr:to>
      <xdr:col>4</xdr:col>
      <xdr:colOff>76200</xdr:colOff>
      <xdr:row>78</xdr:row>
      <xdr:rowOff>0</xdr:rowOff>
    </xdr:to>
    <xdr:sp macro="" textlink="">
      <xdr:nvSpPr>
        <xdr:cNvPr id="1641" name="Text Box 1">
          <a:extLst>
            <a:ext uri="{FF2B5EF4-FFF2-40B4-BE49-F238E27FC236}">
              <a16:creationId xmlns:a16="http://schemas.microsoft.com/office/drawing/2014/main" id="{00000000-0008-0000-0300-00006906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77</xdr:row>
      <xdr:rowOff>0</xdr:rowOff>
    </xdr:from>
    <xdr:to>
      <xdr:col>4</xdr:col>
      <xdr:colOff>76200</xdr:colOff>
      <xdr:row>78</xdr:row>
      <xdr:rowOff>0</xdr:rowOff>
    </xdr:to>
    <xdr:sp macro="" textlink="">
      <xdr:nvSpPr>
        <xdr:cNvPr id="1642" name="Text Box 1">
          <a:extLst>
            <a:ext uri="{FF2B5EF4-FFF2-40B4-BE49-F238E27FC236}">
              <a16:creationId xmlns:a16="http://schemas.microsoft.com/office/drawing/2014/main" id="{00000000-0008-0000-0300-00006A06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77</xdr:row>
      <xdr:rowOff>0</xdr:rowOff>
    </xdr:from>
    <xdr:to>
      <xdr:col>4</xdr:col>
      <xdr:colOff>76200</xdr:colOff>
      <xdr:row>78</xdr:row>
      <xdr:rowOff>0</xdr:rowOff>
    </xdr:to>
    <xdr:sp macro="" textlink="">
      <xdr:nvSpPr>
        <xdr:cNvPr id="1643" name="Text Box 1">
          <a:extLst>
            <a:ext uri="{FF2B5EF4-FFF2-40B4-BE49-F238E27FC236}">
              <a16:creationId xmlns:a16="http://schemas.microsoft.com/office/drawing/2014/main" id="{00000000-0008-0000-0300-00006B06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77</xdr:row>
      <xdr:rowOff>0</xdr:rowOff>
    </xdr:from>
    <xdr:to>
      <xdr:col>4</xdr:col>
      <xdr:colOff>76200</xdr:colOff>
      <xdr:row>78</xdr:row>
      <xdr:rowOff>0</xdr:rowOff>
    </xdr:to>
    <xdr:sp macro="" textlink="">
      <xdr:nvSpPr>
        <xdr:cNvPr id="1644" name="Text Box 2">
          <a:extLst>
            <a:ext uri="{FF2B5EF4-FFF2-40B4-BE49-F238E27FC236}">
              <a16:creationId xmlns:a16="http://schemas.microsoft.com/office/drawing/2014/main" id="{00000000-0008-0000-0300-00006C06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77</xdr:row>
      <xdr:rowOff>0</xdr:rowOff>
    </xdr:from>
    <xdr:to>
      <xdr:col>4</xdr:col>
      <xdr:colOff>76200</xdr:colOff>
      <xdr:row>78</xdr:row>
      <xdr:rowOff>0</xdr:rowOff>
    </xdr:to>
    <xdr:sp macro="" textlink="">
      <xdr:nvSpPr>
        <xdr:cNvPr id="1645" name="Text Box 1">
          <a:extLst>
            <a:ext uri="{FF2B5EF4-FFF2-40B4-BE49-F238E27FC236}">
              <a16:creationId xmlns:a16="http://schemas.microsoft.com/office/drawing/2014/main" id="{00000000-0008-0000-0300-00006D06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77</xdr:row>
      <xdr:rowOff>0</xdr:rowOff>
    </xdr:from>
    <xdr:to>
      <xdr:col>4</xdr:col>
      <xdr:colOff>76200</xdr:colOff>
      <xdr:row>78</xdr:row>
      <xdr:rowOff>0</xdr:rowOff>
    </xdr:to>
    <xdr:sp macro="" textlink="">
      <xdr:nvSpPr>
        <xdr:cNvPr id="1646" name="Text Box 1">
          <a:extLst>
            <a:ext uri="{FF2B5EF4-FFF2-40B4-BE49-F238E27FC236}">
              <a16:creationId xmlns:a16="http://schemas.microsoft.com/office/drawing/2014/main" id="{00000000-0008-0000-0300-00006E06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77</xdr:row>
      <xdr:rowOff>0</xdr:rowOff>
    </xdr:from>
    <xdr:to>
      <xdr:col>4</xdr:col>
      <xdr:colOff>76200</xdr:colOff>
      <xdr:row>78</xdr:row>
      <xdr:rowOff>0</xdr:rowOff>
    </xdr:to>
    <xdr:sp macro="" textlink="">
      <xdr:nvSpPr>
        <xdr:cNvPr id="1647" name="Text Box 1">
          <a:extLst>
            <a:ext uri="{FF2B5EF4-FFF2-40B4-BE49-F238E27FC236}">
              <a16:creationId xmlns:a16="http://schemas.microsoft.com/office/drawing/2014/main" id="{00000000-0008-0000-0300-00006F06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77</xdr:row>
      <xdr:rowOff>0</xdr:rowOff>
    </xdr:from>
    <xdr:to>
      <xdr:col>4</xdr:col>
      <xdr:colOff>76200</xdr:colOff>
      <xdr:row>78</xdr:row>
      <xdr:rowOff>0</xdr:rowOff>
    </xdr:to>
    <xdr:sp macro="" textlink="">
      <xdr:nvSpPr>
        <xdr:cNvPr id="1648" name="Text Box 2">
          <a:extLst>
            <a:ext uri="{FF2B5EF4-FFF2-40B4-BE49-F238E27FC236}">
              <a16:creationId xmlns:a16="http://schemas.microsoft.com/office/drawing/2014/main" id="{00000000-0008-0000-0300-00007006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77</xdr:row>
      <xdr:rowOff>0</xdr:rowOff>
    </xdr:from>
    <xdr:to>
      <xdr:col>4</xdr:col>
      <xdr:colOff>76200</xdr:colOff>
      <xdr:row>78</xdr:row>
      <xdr:rowOff>0</xdr:rowOff>
    </xdr:to>
    <xdr:sp macro="" textlink="">
      <xdr:nvSpPr>
        <xdr:cNvPr id="1649" name="Text Box 1">
          <a:extLst>
            <a:ext uri="{FF2B5EF4-FFF2-40B4-BE49-F238E27FC236}">
              <a16:creationId xmlns:a16="http://schemas.microsoft.com/office/drawing/2014/main" id="{00000000-0008-0000-0300-00007106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77</xdr:row>
      <xdr:rowOff>0</xdr:rowOff>
    </xdr:from>
    <xdr:to>
      <xdr:col>4</xdr:col>
      <xdr:colOff>76200</xdr:colOff>
      <xdr:row>78</xdr:row>
      <xdr:rowOff>0</xdr:rowOff>
    </xdr:to>
    <xdr:sp macro="" textlink="">
      <xdr:nvSpPr>
        <xdr:cNvPr id="1650" name="Text Box 1">
          <a:extLst>
            <a:ext uri="{FF2B5EF4-FFF2-40B4-BE49-F238E27FC236}">
              <a16:creationId xmlns:a16="http://schemas.microsoft.com/office/drawing/2014/main" id="{00000000-0008-0000-0300-00007206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77</xdr:row>
      <xdr:rowOff>0</xdr:rowOff>
    </xdr:from>
    <xdr:to>
      <xdr:col>4</xdr:col>
      <xdr:colOff>76200</xdr:colOff>
      <xdr:row>78</xdr:row>
      <xdr:rowOff>0</xdr:rowOff>
    </xdr:to>
    <xdr:sp macro="" textlink="">
      <xdr:nvSpPr>
        <xdr:cNvPr id="1651" name="Text Box 2">
          <a:extLst>
            <a:ext uri="{FF2B5EF4-FFF2-40B4-BE49-F238E27FC236}">
              <a16:creationId xmlns:a16="http://schemas.microsoft.com/office/drawing/2014/main" id="{00000000-0008-0000-0300-00007306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77</xdr:row>
      <xdr:rowOff>0</xdr:rowOff>
    </xdr:from>
    <xdr:to>
      <xdr:col>4</xdr:col>
      <xdr:colOff>76200</xdr:colOff>
      <xdr:row>78</xdr:row>
      <xdr:rowOff>0</xdr:rowOff>
    </xdr:to>
    <xdr:sp macro="" textlink="">
      <xdr:nvSpPr>
        <xdr:cNvPr id="1652" name="Text Box 1">
          <a:extLst>
            <a:ext uri="{FF2B5EF4-FFF2-40B4-BE49-F238E27FC236}">
              <a16:creationId xmlns:a16="http://schemas.microsoft.com/office/drawing/2014/main" id="{00000000-0008-0000-0300-00007406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77</xdr:row>
      <xdr:rowOff>0</xdr:rowOff>
    </xdr:from>
    <xdr:to>
      <xdr:col>4</xdr:col>
      <xdr:colOff>76200</xdr:colOff>
      <xdr:row>78</xdr:row>
      <xdr:rowOff>0</xdr:rowOff>
    </xdr:to>
    <xdr:sp macro="" textlink="">
      <xdr:nvSpPr>
        <xdr:cNvPr id="1653" name="Text Box 1">
          <a:extLst>
            <a:ext uri="{FF2B5EF4-FFF2-40B4-BE49-F238E27FC236}">
              <a16:creationId xmlns:a16="http://schemas.microsoft.com/office/drawing/2014/main" id="{00000000-0008-0000-0300-00007506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77</xdr:row>
      <xdr:rowOff>0</xdr:rowOff>
    </xdr:from>
    <xdr:to>
      <xdr:col>4</xdr:col>
      <xdr:colOff>76200</xdr:colOff>
      <xdr:row>78</xdr:row>
      <xdr:rowOff>0</xdr:rowOff>
    </xdr:to>
    <xdr:sp macro="" textlink="">
      <xdr:nvSpPr>
        <xdr:cNvPr id="1654" name="Text Box 1">
          <a:extLst>
            <a:ext uri="{FF2B5EF4-FFF2-40B4-BE49-F238E27FC236}">
              <a16:creationId xmlns:a16="http://schemas.microsoft.com/office/drawing/2014/main" id="{00000000-0008-0000-0300-00007606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77</xdr:row>
      <xdr:rowOff>0</xdr:rowOff>
    </xdr:from>
    <xdr:to>
      <xdr:col>4</xdr:col>
      <xdr:colOff>76200</xdr:colOff>
      <xdr:row>78</xdr:row>
      <xdr:rowOff>0</xdr:rowOff>
    </xdr:to>
    <xdr:sp macro="" textlink="">
      <xdr:nvSpPr>
        <xdr:cNvPr id="1655" name="Text Box 2">
          <a:extLst>
            <a:ext uri="{FF2B5EF4-FFF2-40B4-BE49-F238E27FC236}">
              <a16:creationId xmlns:a16="http://schemas.microsoft.com/office/drawing/2014/main" id="{00000000-0008-0000-0300-00007706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77</xdr:row>
      <xdr:rowOff>0</xdr:rowOff>
    </xdr:from>
    <xdr:to>
      <xdr:col>4</xdr:col>
      <xdr:colOff>76200</xdr:colOff>
      <xdr:row>78</xdr:row>
      <xdr:rowOff>0</xdr:rowOff>
    </xdr:to>
    <xdr:sp macro="" textlink="">
      <xdr:nvSpPr>
        <xdr:cNvPr id="1656" name="Text Box 1">
          <a:extLst>
            <a:ext uri="{FF2B5EF4-FFF2-40B4-BE49-F238E27FC236}">
              <a16:creationId xmlns:a16="http://schemas.microsoft.com/office/drawing/2014/main" id="{00000000-0008-0000-0300-00007806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77</xdr:row>
      <xdr:rowOff>0</xdr:rowOff>
    </xdr:from>
    <xdr:to>
      <xdr:col>4</xdr:col>
      <xdr:colOff>76200</xdr:colOff>
      <xdr:row>78</xdr:row>
      <xdr:rowOff>0</xdr:rowOff>
    </xdr:to>
    <xdr:sp macro="" textlink="">
      <xdr:nvSpPr>
        <xdr:cNvPr id="1657" name="Text Box 1">
          <a:extLst>
            <a:ext uri="{FF2B5EF4-FFF2-40B4-BE49-F238E27FC236}">
              <a16:creationId xmlns:a16="http://schemas.microsoft.com/office/drawing/2014/main" id="{00000000-0008-0000-0300-00007906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78</xdr:row>
      <xdr:rowOff>0</xdr:rowOff>
    </xdr:from>
    <xdr:to>
      <xdr:col>4</xdr:col>
      <xdr:colOff>76200</xdr:colOff>
      <xdr:row>79</xdr:row>
      <xdr:rowOff>0</xdr:rowOff>
    </xdr:to>
    <xdr:sp macro="" textlink="">
      <xdr:nvSpPr>
        <xdr:cNvPr id="1658" name="Text Box 1">
          <a:extLst>
            <a:ext uri="{FF2B5EF4-FFF2-40B4-BE49-F238E27FC236}">
              <a16:creationId xmlns:a16="http://schemas.microsoft.com/office/drawing/2014/main" id="{00000000-0008-0000-0300-00007A06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78</xdr:row>
      <xdr:rowOff>0</xdr:rowOff>
    </xdr:from>
    <xdr:to>
      <xdr:col>4</xdr:col>
      <xdr:colOff>76200</xdr:colOff>
      <xdr:row>79</xdr:row>
      <xdr:rowOff>0</xdr:rowOff>
    </xdr:to>
    <xdr:sp macro="" textlink="">
      <xdr:nvSpPr>
        <xdr:cNvPr id="1659" name="Text Box 2">
          <a:extLst>
            <a:ext uri="{FF2B5EF4-FFF2-40B4-BE49-F238E27FC236}">
              <a16:creationId xmlns:a16="http://schemas.microsoft.com/office/drawing/2014/main" id="{00000000-0008-0000-0300-00007B06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78</xdr:row>
      <xdr:rowOff>0</xdr:rowOff>
    </xdr:from>
    <xdr:to>
      <xdr:col>4</xdr:col>
      <xdr:colOff>76200</xdr:colOff>
      <xdr:row>79</xdr:row>
      <xdr:rowOff>0</xdr:rowOff>
    </xdr:to>
    <xdr:sp macro="" textlink="">
      <xdr:nvSpPr>
        <xdr:cNvPr id="1660" name="Text Box 1">
          <a:extLst>
            <a:ext uri="{FF2B5EF4-FFF2-40B4-BE49-F238E27FC236}">
              <a16:creationId xmlns:a16="http://schemas.microsoft.com/office/drawing/2014/main" id="{00000000-0008-0000-0300-00007C06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78</xdr:row>
      <xdr:rowOff>0</xdr:rowOff>
    </xdr:from>
    <xdr:to>
      <xdr:col>4</xdr:col>
      <xdr:colOff>76200</xdr:colOff>
      <xdr:row>79</xdr:row>
      <xdr:rowOff>0</xdr:rowOff>
    </xdr:to>
    <xdr:sp macro="" textlink="">
      <xdr:nvSpPr>
        <xdr:cNvPr id="1661" name="Text Box 1">
          <a:extLst>
            <a:ext uri="{FF2B5EF4-FFF2-40B4-BE49-F238E27FC236}">
              <a16:creationId xmlns:a16="http://schemas.microsoft.com/office/drawing/2014/main" id="{00000000-0008-0000-0300-00007D06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78</xdr:row>
      <xdr:rowOff>0</xdr:rowOff>
    </xdr:from>
    <xdr:to>
      <xdr:col>4</xdr:col>
      <xdr:colOff>76200</xdr:colOff>
      <xdr:row>79</xdr:row>
      <xdr:rowOff>0</xdr:rowOff>
    </xdr:to>
    <xdr:sp macro="" textlink="">
      <xdr:nvSpPr>
        <xdr:cNvPr id="1662" name="Text Box 1">
          <a:extLst>
            <a:ext uri="{FF2B5EF4-FFF2-40B4-BE49-F238E27FC236}">
              <a16:creationId xmlns:a16="http://schemas.microsoft.com/office/drawing/2014/main" id="{00000000-0008-0000-0300-00007E06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78</xdr:row>
      <xdr:rowOff>0</xdr:rowOff>
    </xdr:from>
    <xdr:to>
      <xdr:col>4</xdr:col>
      <xdr:colOff>76200</xdr:colOff>
      <xdr:row>79</xdr:row>
      <xdr:rowOff>0</xdr:rowOff>
    </xdr:to>
    <xdr:sp macro="" textlink="">
      <xdr:nvSpPr>
        <xdr:cNvPr id="1663" name="Text Box 2">
          <a:extLst>
            <a:ext uri="{FF2B5EF4-FFF2-40B4-BE49-F238E27FC236}">
              <a16:creationId xmlns:a16="http://schemas.microsoft.com/office/drawing/2014/main" id="{00000000-0008-0000-0300-00007F06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78</xdr:row>
      <xdr:rowOff>0</xdr:rowOff>
    </xdr:from>
    <xdr:to>
      <xdr:col>4</xdr:col>
      <xdr:colOff>76200</xdr:colOff>
      <xdr:row>79</xdr:row>
      <xdr:rowOff>0</xdr:rowOff>
    </xdr:to>
    <xdr:sp macro="" textlink="">
      <xdr:nvSpPr>
        <xdr:cNvPr id="1664" name="Text Box 1">
          <a:extLst>
            <a:ext uri="{FF2B5EF4-FFF2-40B4-BE49-F238E27FC236}">
              <a16:creationId xmlns:a16="http://schemas.microsoft.com/office/drawing/2014/main" id="{00000000-0008-0000-0300-00008006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78</xdr:row>
      <xdr:rowOff>0</xdr:rowOff>
    </xdr:from>
    <xdr:to>
      <xdr:col>4</xdr:col>
      <xdr:colOff>76200</xdr:colOff>
      <xdr:row>79</xdr:row>
      <xdr:rowOff>0</xdr:rowOff>
    </xdr:to>
    <xdr:sp macro="" textlink="">
      <xdr:nvSpPr>
        <xdr:cNvPr id="1665" name="Text Box 1">
          <a:extLst>
            <a:ext uri="{FF2B5EF4-FFF2-40B4-BE49-F238E27FC236}">
              <a16:creationId xmlns:a16="http://schemas.microsoft.com/office/drawing/2014/main" id="{00000000-0008-0000-0300-00008106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78</xdr:row>
      <xdr:rowOff>0</xdr:rowOff>
    </xdr:from>
    <xdr:to>
      <xdr:col>4</xdr:col>
      <xdr:colOff>76200</xdr:colOff>
      <xdr:row>79</xdr:row>
      <xdr:rowOff>0</xdr:rowOff>
    </xdr:to>
    <xdr:sp macro="" textlink="">
      <xdr:nvSpPr>
        <xdr:cNvPr id="1666" name="Text Box 1">
          <a:extLst>
            <a:ext uri="{FF2B5EF4-FFF2-40B4-BE49-F238E27FC236}">
              <a16:creationId xmlns:a16="http://schemas.microsoft.com/office/drawing/2014/main" id="{00000000-0008-0000-0300-00008206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78</xdr:row>
      <xdr:rowOff>0</xdr:rowOff>
    </xdr:from>
    <xdr:to>
      <xdr:col>4</xdr:col>
      <xdr:colOff>76200</xdr:colOff>
      <xdr:row>79</xdr:row>
      <xdr:rowOff>0</xdr:rowOff>
    </xdr:to>
    <xdr:sp macro="" textlink="">
      <xdr:nvSpPr>
        <xdr:cNvPr id="1667" name="Text Box 2">
          <a:extLst>
            <a:ext uri="{FF2B5EF4-FFF2-40B4-BE49-F238E27FC236}">
              <a16:creationId xmlns:a16="http://schemas.microsoft.com/office/drawing/2014/main" id="{00000000-0008-0000-0300-00008306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78</xdr:row>
      <xdr:rowOff>0</xdr:rowOff>
    </xdr:from>
    <xdr:to>
      <xdr:col>4</xdr:col>
      <xdr:colOff>76200</xdr:colOff>
      <xdr:row>79</xdr:row>
      <xdr:rowOff>0</xdr:rowOff>
    </xdr:to>
    <xdr:sp macro="" textlink="">
      <xdr:nvSpPr>
        <xdr:cNvPr id="1668" name="Text Box 1">
          <a:extLst>
            <a:ext uri="{FF2B5EF4-FFF2-40B4-BE49-F238E27FC236}">
              <a16:creationId xmlns:a16="http://schemas.microsoft.com/office/drawing/2014/main" id="{00000000-0008-0000-0300-00008406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78</xdr:row>
      <xdr:rowOff>0</xdr:rowOff>
    </xdr:from>
    <xdr:to>
      <xdr:col>4</xdr:col>
      <xdr:colOff>76200</xdr:colOff>
      <xdr:row>79</xdr:row>
      <xdr:rowOff>0</xdr:rowOff>
    </xdr:to>
    <xdr:sp macro="" textlink="">
      <xdr:nvSpPr>
        <xdr:cNvPr id="1669" name="Text Box 1">
          <a:extLst>
            <a:ext uri="{FF2B5EF4-FFF2-40B4-BE49-F238E27FC236}">
              <a16:creationId xmlns:a16="http://schemas.microsoft.com/office/drawing/2014/main" id="{00000000-0008-0000-0300-00008506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78</xdr:row>
      <xdr:rowOff>0</xdr:rowOff>
    </xdr:from>
    <xdr:to>
      <xdr:col>4</xdr:col>
      <xdr:colOff>76200</xdr:colOff>
      <xdr:row>79</xdr:row>
      <xdr:rowOff>0</xdr:rowOff>
    </xdr:to>
    <xdr:sp macro="" textlink="">
      <xdr:nvSpPr>
        <xdr:cNvPr id="1670" name="Text Box 1">
          <a:extLst>
            <a:ext uri="{FF2B5EF4-FFF2-40B4-BE49-F238E27FC236}">
              <a16:creationId xmlns:a16="http://schemas.microsoft.com/office/drawing/2014/main" id="{00000000-0008-0000-0300-00008606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78</xdr:row>
      <xdr:rowOff>0</xdr:rowOff>
    </xdr:from>
    <xdr:to>
      <xdr:col>4</xdr:col>
      <xdr:colOff>76200</xdr:colOff>
      <xdr:row>79</xdr:row>
      <xdr:rowOff>0</xdr:rowOff>
    </xdr:to>
    <xdr:sp macro="" textlink="">
      <xdr:nvSpPr>
        <xdr:cNvPr id="1671" name="Text Box 2">
          <a:extLst>
            <a:ext uri="{FF2B5EF4-FFF2-40B4-BE49-F238E27FC236}">
              <a16:creationId xmlns:a16="http://schemas.microsoft.com/office/drawing/2014/main" id="{00000000-0008-0000-0300-00008706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78</xdr:row>
      <xdr:rowOff>0</xdr:rowOff>
    </xdr:from>
    <xdr:to>
      <xdr:col>4</xdr:col>
      <xdr:colOff>76200</xdr:colOff>
      <xdr:row>79</xdr:row>
      <xdr:rowOff>0</xdr:rowOff>
    </xdr:to>
    <xdr:sp macro="" textlink="">
      <xdr:nvSpPr>
        <xdr:cNvPr id="1672" name="Text Box 1">
          <a:extLst>
            <a:ext uri="{FF2B5EF4-FFF2-40B4-BE49-F238E27FC236}">
              <a16:creationId xmlns:a16="http://schemas.microsoft.com/office/drawing/2014/main" id="{00000000-0008-0000-0300-00008806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78</xdr:row>
      <xdr:rowOff>0</xdr:rowOff>
    </xdr:from>
    <xdr:to>
      <xdr:col>4</xdr:col>
      <xdr:colOff>76200</xdr:colOff>
      <xdr:row>79</xdr:row>
      <xdr:rowOff>0</xdr:rowOff>
    </xdr:to>
    <xdr:sp macro="" textlink="">
      <xdr:nvSpPr>
        <xdr:cNvPr id="1673" name="Text Box 1">
          <a:extLst>
            <a:ext uri="{FF2B5EF4-FFF2-40B4-BE49-F238E27FC236}">
              <a16:creationId xmlns:a16="http://schemas.microsoft.com/office/drawing/2014/main" id="{00000000-0008-0000-0300-00008906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78</xdr:row>
      <xdr:rowOff>0</xdr:rowOff>
    </xdr:from>
    <xdr:to>
      <xdr:col>4</xdr:col>
      <xdr:colOff>76200</xdr:colOff>
      <xdr:row>79</xdr:row>
      <xdr:rowOff>0</xdr:rowOff>
    </xdr:to>
    <xdr:sp macro="" textlink="">
      <xdr:nvSpPr>
        <xdr:cNvPr id="1674" name="Text Box 2">
          <a:extLst>
            <a:ext uri="{FF2B5EF4-FFF2-40B4-BE49-F238E27FC236}">
              <a16:creationId xmlns:a16="http://schemas.microsoft.com/office/drawing/2014/main" id="{00000000-0008-0000-0300-00008A06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78</xdr:row>
      <xdr:rowOff>0</xdr:rowOff>
    </xdr:from>
    <xdr:to>
      <xdr:col>4</xdr:col>
      <xdr:colOff>76200</xdr:colOff>
      <xdr:row>79</xdr:row>
      <xdr:rowOff>0</xdr:rowOff>
    </xdr:to>
    <xdr:sp macro="" textlink="">
      <xdr:nvSpPr>
        <xdr:cNvPr id="1675" name="Text Box 1">
          <a:extLst>
            <a:ext uri="{FF2B5EF4-FFF2-40B4-BE49-F238E27FC236}">
              <a16:creationId xmlns:a16="http://schemas.microsoft.com/office/drawing/2014/main" id="{00000000-0008-0000-0300-00008B06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78</xdr:row>
      <xdr:rowOff>0</xdr:rowOff>
    </xdr:from>
    <xdr:to>
      <xdr:col>4</xdr:col>
      <xdr:colOff>76200</xdr:colOff>
      <xdr:row>79</xdr:row>
      <xdr:rowOff>0</xdr:rowOff>
    </xdr:to>
    <xdr:sp macro="" textlink="">
      <xdr:nvSpPr>
        <xdr:cNvPr id="1676" name="Text Box 1">
          <a:extLst>
            <a:ext uri="{FF2B5EF4-FFF2-40B4-BE49-F238E27FC236}">
              <a16:creationId xmlns:a16="http://schemas.microsoft.com/office/drawing/2014/main" id="{00000000-0008-0000-0300-00008C06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78</xdr:row>
      <xdr:rowOff>0</xdr:rowOff>
    </xdr:from>
    <xdr:to>
      <xdr:col>4</xdr:col>
      <xdr:colOff>76200</xdr:colOff>
      <xdr:row>79</xdr:row>
      <xdr:rowOff>0</xdr:rowOff>
    </xdr:to>
    <xdr:sp macro="" textlink="">
      <xdr:nvSpPr>
        <xdr:cNvPr id="1677" name="Text Box 1">
          <a:extLst>
            <a:ext uri="{FF2B5EF4-FFF2-40B4-BE49-F238E27FC236}">
              <a16:creationId xmlns:a16="http://schemas.microsoft.com/office/drawing/2014/main" id="{00000000-0008-0000-0300-00008D06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78</xdr:row>
      <xdr:rowOff>0</xdr:rowOff>
    </xdr:from>
    <xdr:to>
      <xdr:col>4</xdr:col>
      <xdr:colOff>76200</xdr:colOff>
      <xdr:row>79</xdr:row>
      <xdr:rowOff>0</xdr:rowOff>
    </xdr:to>
    <xdr:sp macro="" textlink="">
      <xdr:nvSpPr>
        <xdr:cNvPr id="1678" name="Text Box 2">
          <a:extLst>
            <a:ext uri="{FF2B5EF4-FFF2-40B4-BE49-F238E27FC236}">
              <a16:creationId xmlns:a16="http://schemas.microsoft.com/office/drawing/2014/main" id="{00000000-0008-0000-0300-00008E06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78</xdr:row>
      <xdr:rowOff>0</xdr:rowOff>
    </xdr:from>
    <xdr:to>
      <xdr:col>4</xdr:col>
      <xdr:colOff>76200</xdr:colOff>
      <xdr:row>79</xdr:row>
      <xdr:rowOff>0</xdr:rowOff>
    </xdr:to>
    <xdr:sp macro="" textlink="">
      <xdr:nvSpPr>
        <xdr:cNvPr id="1679" name="Text Box 1">
          <a:extLst>
            <a:ext uri="{FF2B5EF4-FFF2-40B4-BE49-F238E27FC236}">
              <a16:creationId xmlns:a16="http://schemas.microsoft.com/office/drawing/2014/main" id="{00000000-0008-0000-0300-00008F06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78</xdr:row>
      <xdr:rowOff>0</xdr:rowOff>
    </xdr:from>
    <xdr:to>
      <xdr:col>4</xdr:col>
      <xdr:colOff>76200</xdr:colOff>
      <xdr:row>79</xdr:row>
      <xdr:rowOff>0</xdr:rowOff>
    </xdr:to>
    <xdr:sp macro="" textlink="">
      <xdr:nvSpPr>
        <xdr:cNvPr id="1680" name="Text Box 1">
          <a:extLst>
            <a:ext uri="{FF2B5EF4-FFF2-40B4-BE49-F238E27FC236}">
              <a16:creationId xmlns:a16="http://schemas.microsoft.com/office/drawing/2014/main" id="{00000000-0008-0000-0300-00009006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79</xdr:row>
      <xdr:rowOff>0</xdr:rowOff>
    </xdr:from>
    <xdr:to>
      <xdr:col>4</xdr:col>
      <xdr:colOff>76200</xdr:colOff>
      <xdr:row>80</xdr:row>
      <xdr:rowOff>0</xdr:rowOff>
    </xdr:to>
    <xdr:sp macro="" textlink="">
      <xdr:nvSpPr>
        <xdr:cNvPr id="1681" name="Text Box 1">
          <a:extLst>
            <a:ext uri="{FF2B5EF4-FFF2-40B4-BE49-F238E27FC236}">
              <a16:creationId xmlns:a16="http://schemas.microsoft.com/office/drawing/2014/main" id="{00000000-0008-0000-0300-00009106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79</xdr:row>
      <xdr:rowOff>0</xdr:rowOff>
    </xdr:from>
    <xdr:to>
      <xdr:col>4</xdr:col>
      <xdr:colOff>76200</xdr:colOff>
      <xdr:row>80</xdr:row>
      <xdr:rowOff>0</xdr:rowOff>
    </xdr:to>
    <xdr:sp macro="" textlink="">
      <xdr:nvSpPr>
        <xdr:cNvPr id="1682" name="Text Box 2">
          <a:extLst>
            <a:ext uri="{FF2B5EF4-FFF2-40B4-BE49-F238E27FC236}">
              <a16:creationId xmlns:a16="http://schemas.microsoft.com/office/drawing/2014/main" id="{00000000-0008-0000-0300-00009206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79</xdr:row>
      <xdr:rowOff>0</xdr:rowOff>
    </xdr:from>
    <xdr:to>
      <xdr:col>4</xdr:col>
      <xdr:colOff>76200</xdr:colOff>
      <xdr:row>80</xdr:row>
      <xdr:rowOff>0</xdr:rowOff>
    </xdr:to>
    <xdr:sp macro="" textlink="">
      <xdr:nvSpPr>
        <xdr:cNvPr id="1683" name="Text Box 1">
          <a:extLst>
            <a:ext uri="{FF2B5EF4-FFF2-40B4-BE49-F238E27FC236}">
              <a16:creationId xmlns:a16="http://schemas.microsoft.com/office/drawing/2014/main" id="{00000000-0008-0000-0300-00009306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79</xdr:row>
      <xdr:rowOff>0</xdr:rowOff>
    </xdr:from>
    <xdr:to>
      <xdr:col>4</xdr:col>
      <xdr:colOff>76200</xdr:colOff>
      <xdr:row>80</xdr:row>
      <xdr:rowOff>0</xdr:rowOff>
    </xdr:to>
    <xdr:sp macro="" textlink="">
      <xdr:nvSpPr>
        <xdr:cNvPr id="1684" name="Text Box 1">
          <a:extLst>
            <a:ext uri="{FF2B5EF4-FFF2-40B4-BE49-F238E27FC236}">
              <a16:creationId xmlns:a16="http://schemas.microsoft.com/office/drawing/2014/main" id="{00000000-0008-0000-0300-00009406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79</xdr:row>
      <xdr:rowOff>0</xdr:rowOff>
    </xdr:from>
    <xdr:to>
      <xdr:col>4</xdr:col>
      <xdr:colOff>76200</xdr:colOff>
      <xdr:row>80</xdr:row>
      <xdr:rowOff>0</xdr:rowOff>
    </xdr:to>
    <xdr:sp macro="" textlink="">
      <xdr:nvSpPr>
        <xdr:cNvPr id="1685" name="Text Box 1">
          <a:extLst>
            <a:ext uri="{FF2B5EF4-FFF2-40B4-BE49-F238E27FC236}">
              <a16:creationId xmlns:a16="http://schemas.microsoft.com/office/drawing/2014/main" id="{00000000-0008-0000-0300-00009506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79</xdr:row>
      <xdr:rowOff>0</xdr:rowOff>
    </xdr:from>
    <xdr:to>
      <xdr:col>4</xdr:col>
      <xdr:colOff>76200</xdr:colOff>
      <xdr:row>80</xdr:row>
      <xdr:rowOff>0</xdr:rowOff>
    </xdr:to>
    <xdr:sp macro="" textlink="">
      <xdr:nvSpPr>
        <xdr:cNvPr id="1686" name="Text Box 2">
          <a:extLst>
            <a:ext uri="{FF2B5EF4-FFF2-40B4-BE49-F238E27FC236}">
              <a16:creationId xmlns:a16="http://schemas.microsoft.com/office/drawing/2014/main" id="{00000000-0008-0000-0300-00009606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79</xdr:row>
      <xdr:rowOff>0</xdr:rowOff>
    </xdr:from>
    <xdr:to>
      <xdr:col>4</xdr:col>
      <xdr:colOff>76200</xdr:colOff>
      <xdr:row>80</xdr:row>
      <xdr:rowOff>0</xdr:rowOff>
    </xdr:to>
    <xdr:sp macro="" textlink="">
      <xdr:nvSpPr>
        <xdr:cNvPr id="1687" name="Text Box 1">
          <a:extLst>
            <a:ext uri="{FF2B5EF4-FFF2-40B4-BE49-F238E27FC236}">
              <a16:creationId xmlns:a16="http://schemas.microsoft.com/office/drawing/2014/main" id="{00000000-0008-0000-0300-00009706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79</xdr:row>
      <xdr:rowOff>0</xdr:rowOff>
    </xdr:from>
    <xdr:to>
      <xdr:col>4</xdr:col>
      <xdr:colOff>76200</xdr:colOff>
      <xdr:row>80</xdr:row>
      <xdr:rowOff>0</xdr:rowOff>
    </xdr:to>
    <xdr:sp macro="" textlink="">
      <xdr:nvSpPr>
        <xdr:cNvPr id="1688" name="Text Box 1">
          <a:extLst>
            <a:ext uri="{FF2B5EF4-FFF2-40B4-BE49-F238E27FC236}">
              <a16:creationId xmlns:a16="http://schemas.microsoft.com/office/drawing/2014/main" id="{00000000-0008-0000-0300-00009806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79</xdr:row>
      <xdr:rowOff>0</xdr:rowOff>
    </xdr:from>
    <xdr:to>
      <xdr:col>4</xdr:col>
      <xdr:colOff>76200</xdr:colOff>
      <xdr:row>80</xdr:row>
      <xdr:rowOff>0</xdr:rowOff>
    </xdr:to>
    <xdr:sp macro="" textlink="">
      <xdr:nvSpPr>
        <xdr:cNvPr id="1689" name="Text Box 1">
          <a:extLst>
            <a:ext uri="{FF2B5EF4-FFF2-40B4-BE49-F238E27FC236}">
              <a16:creationId xmlns:a16="http://schemas.microsoft.com/office/drawing/2014/main" id="{00000000-0008-0000-0300-00009906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79</xdr:row>
      <xdr:rowOff>0</xdr:rowOff>
    </xdr:from>
    <xdr:to>
      <xdr:col>4</xdr:col>
      <xdr:colOff>76200</xdr:colOff>
      <xdr:row>80</xdr:row>
      <xdr:rowOff>0</xdr:rowOff>
    </xdr:to>
    <xdr:sp macro="" textlink="">
      <xdr:nvSpPr>
        <xdr:cNvPr id="1690" name="Text Box 2">
          <a:extLst>
            <a:ext uri="{FF2B5EF4-FFF2-40B4-BE49-F238E27FC236}">
              <a16:creationId xmlns:a16="http://schemas.microsoft.com/office/drawing/2014/main" id="{00000000-0008-0000-0300-00009A06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79</xdr:row>
      <xdr:rowOff>0</xdr:rowOff>
    </xdr:from>
    <xdr:to>
      <xdr:col>4</xdr:col>
      <xdr:colOff>76200</xdr:colOff>
      <xdr:row>80</xdr:row>
      <xdr:rowOff>0</xdr:rowOff>
    </xdr:to>
    <xdr:sp macro="" textlink="">
      <xdr:nvSpPr>
        <xdr:cNvPr id="1691" name="Text Box 1">
          <a:extLst>
            <a:ext uri="{FF2B5EF4-FFF2-40B4-BE49-F238E27FC236}">
              <a16:creationId xmlns:a16="http://schemas.microsoft.com/office/drawing/2014/main" id="{00000000-0008-0000-0300-00009B06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79</xdr:row>
      <xdr:rowOff>0</xdr:rowOff>
    </xdr:from>
    <xdr:to>
      <xdr:col>4</xdr:col>
      <xdr:colOff>76200</xdr:colOff>
      <xdr:row>80</xdr:row>
      <xdr:rowOff>0</xdr:rowOff>
    </xdr:to>
    <xdr:sp macro="" textlink="">
      <xdr:nvSpPr>
        <xdr:cNvPr id="1692" name="Text Box 1">
          <a:extLst>
            <a:ext uri="{FF2B5EF4-FFF2-40B4-BE49-F238E27FC236}">
              <a16:creationId xmlns:a16="http://schemas.microsoft.com/office/drawing/2014/main" id="{00000000-0008-0000-0300-00009C06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79</xdr:row>
      <xdr:rowOff>0</xdr:rowOff>
    </xdr:from>
    <xdr:to>
      <xdr:col>4</xdr:col>
      <xdr:colOff>76200</xdr:colOff>
      <xdr:row>80</xdr:row>
      <xdr:rowOff>0</xdr:rowOff>
    </xdr:to>
    <xdr:sp macro="" textlink="">
      <xdr:nvSpPr>
        <xdr:cNvPr id="1693" name="Text Box 1">
          <a:extLst>
            <a:ext uri="{FF2B5EF4-FFF2-40B4-BE49-F238E27FC236}">
              <a16:creationId xmlns:a16="http://schemas.microsoft.com/office/drawing/2014/main" id="{00000000-0008-0000-0300-00009D06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79</xdr:row>
      <xdr:rowOff>0</xdr:rowOff>
    </xdr:from>
    <xdr:to>
      <xdr:col>4</xdr:col>
      <xdr:colOff>76200</xdr:colOff>
      <xdr:row>80</xdr:row>
      <xdr:rowOff>0</xdr:rowOff>
    </xdr:to>
    <xdr:sp macro="" textlink="">
      <xdr:nvSpPr>
        <xdr:cNvPr id="1694" name="Text Box 2">
          <a:extLst>
            <a:ext uri="{FF2B5EF4-FFF2-40B4-BE49-F238E27FC236}">
              <a16:creationId xmlns:a16="http://schemas.microsoft.com/office/drawing/2014/main" id="{00000000-0008-0000-0300-00009E06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79</xdr:row>
      <xdr:rowOff>0</xdr:rowOff>
    </xdr:from>
    <xdr:to>
      <xdr:col>4</xdr:col>
      <xdr:colOff>76200</xdr:colOff>
      <xdr:row>80</xdr:row>
      <xdr:rowOff>0</xdr:rowOff>
    </xdr:to>
    <xdr:sp macro="" textlink="">
      <xdr:nvSpPr>
        <xdr:cNvPr id="1695" name="Text Box 1">
          <a:extLst>
            <a:ext uri="{FF2B5EF4-FFF2-40B4-BE49-F238E27FC236}">
              <a16:creationId xmlns:a16="http://schemas.microsoft.com/office/drawing/2014/main" id="{00000000-0008-0000-0300-00009F06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79</xdr:row>
      <xdr:rowOff>0</xdr:rowOff>
    </xdr:from>
    <xdr:to>
      <xdr:col>4</xdr:col>
      <xdr:colOff>76200</xdr:colOff>
      <xdr:row>80</xdr:row>
      <xdr:rowOff>0</xdr:rowOff>
    </xdr:to>
    <xdr:sp macro="" textlink="">
      <xdr:nvSpPr>
        <xdr:cNvPr id="1696" name="Text Box 1">
          <a:extLst>
            <a:ext uri="{FF2B5EF4-FFF2-40B4-BE49-F238E27FC236}">
              <a16:creationId xmlns:a16="http://schemas.microsoft.com/office/drawing/2014/main" id="{00000000-0008-0000-0300-0000A006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79</xdr:row>
      <xdr:rowOff>0</xdr:rowOff>
    </xdr:from>
    <xdr:to>
      <xdr:col>4</xdr:col>
      <xdr:colOff>76200</xdr:colOff>
      <xdr:row>80</xdr:row>
      <xdr:rowOff>0</xdr:rowOff>
    </xdr:to>
    <xdr:sp macro="" textlink="">
      <xdr:nvSpPr>
        <xdr:cNvPr id="1697" name="Text Box 2">
          <a:extLst>
            <a:ext uri="{FF2B5EF4-FFF2-40B4-BE49-F238E27FC236}">
              <a16:creationId xmlns:a16="http://schemas.microsoft.com/office/drawing/2014/main" id="{00000000-0008-0000-0300-0000A106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79</xdr:row>
      <xdr:rowOff>0</xdr:rowOff>
    </xdr:from>
    <xdr:to>
      <xdr:col>4</xdr:col>
      <xdr:colOff>76200</xdr:colOff>
      <xdr:row>80</xdr:row>
      <xdr:rowOff>0</xdr:rowOff>
    </xdr:to>
    <xdr:sp macro="" textlink="">
      <xdr:nvSpPr>
        <xdr:cNvPr id="1698" name="Text Box 1">
          <a:extLst>
            <a:ext uri="{FF2B5EF4-FFF2-40B4-BE49-F238E27FC236}">
              <a16:creationId xmlns:a16="http://schemas.microsoft.com/office/drawing/2014/main" id="{00000000-0008-0000-0300-0000A206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79</xdr:row>
      <xdr:rowOff>0</xdr:rowOff>
    </xdr:from>
    <xdr:to>
      <xdr:col>4</xdr:col>
      <xdr:colOff>76200</xdr:colOff>
      <xdr:row>80</xdr:row>
      <xdr:rowOff>0</xdr:rowOff>
    </xdr:to>
    <xdr:sp macro="" textlink="">
      <xdr:nvSpPr>
        <xdr:cNvPr id="1699" name="Text Box 1">
          <a:extLst>
            <a:ext uri="{FF2B5EF4-FFF2-40B4-BE49-F238E27FC236}">
              <a16:creationId xmlns:a16="http://schemas.microsoft.com/office/drawing/2014/main" id="{00000000-0008-0000-0300-0000A306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79</xdr:row>
      <xdr:rowOff>0</xdr:rowOff>
    </xdr:from>
    <xdr:to>
      <xdr:col>4</xdr:col>
      <xdr:colOff>76200</xdr:colOff>
      <xdr:row>80</xdr:row>
      <xdr:rowOff>0</xdr:rowOff>
    </xdr:to>
    <xdr:sp macro="" textlink="">
      <xdr:nvSpPr>
        <xdr:cNvPr id="1700" name="Text Box 1">
          <a:extLst>
            <a:ext uri="{FF2B5EF4-FFF2-40B4-BE49-F238E27FC236}">
              <a16:creationId xmlns:a16="http://schemas.microsoft.com/office/drawing/2014/main" id="{00000000-0008-0000-0300-0000A406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79</xdr:row>
      <xdr:rowOff>0</xdr:rowOff>
    </xdr:from>
    <xdr:to>
      <xdr:col>4</xdr:col>
      <xdr:colOff>76200</xdr:colOff>
      <xdr:row>80</xdr:row>
      <xdr:rowOff>0</xdr:rowOff>
    </xdr:to>
    <xdr:sp macro="" textlink="">
      <xdr:nvSpPr>
        <xdr:cNvPr id="1701" name="Text Box 2">
          <a:extLst>
            <a:ext uri="{FF2B5EF4-FFF2-40B4-BE49-F238E27FC236}">
              <a16:creationId xmlns:a16="http://schemas.microsoft.com/office/drawing/2014/main" id="{00000000-0008-0000-0300-0000A506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79</xdr:row>
      <xdr:rowOff>0</xdr:rowOff>
    </xdr:from>
    <xdr:to>
      <xdr:col>4</xdr:col>
      <xdr:colOff>76200</xdr:colOff>
      <xdr:row>80</xdr:row>
      <xdr:rowOff>0</xdr:rowOff>
    </xdr:to>
    <xdr:sp macro="" textlink="">
      <xdr:nvSpPr>
        <xdr:cNvPr id="1702" name="Text Box 1">
          <a:extLst>
            <a:ext uri="{FF2B5EF4-FFF2-40B4-BE49-F238E27FC236}">
              <a16:creationId xmlns:a16="http://schemas.microsoft.com/office/drawing/2014/main" id="{00000000-0008-0000-0300-0000A606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79</xdr:row>
      <xdr:rowOff>0</xdr:rowOff>
    </xdr:from>
    <xdr:to>
      <xdr:col>4</xdr:col>
      <xdr:colOff>76200</xdr:colOff>
      <xdr:row>80</xdr:row>
      <xdr:rowOff>0</xdr:rowOff>
    </xdr:to>
    <xdr:sp macro="" textlink="">
      <xdr:nvSpPr>
        <xdr:cNvPr id="1703" name="Text Box 1">
          <a:extLst>
            <a:ext uri="{FF2B5EF4-FFF2-40B4-BE49-F238E27FC236}">
              <a16:creationId xmlns:a16="http://schemas.microsoft.com/office/drawing/2014/main" id="{00000000-0008-0000-0300-0000A706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80</xdr:row>
      <xdr:rowOff>0</xdr:rowOff>
    </xdr:from>
    <xdr:to>
      <xdr:col>4</xdr:col>
      <xdr:colOff>76200</xdr:colOff>
      <xdr:row>81</xdr:row>
      <xdr:rowOff>0</xdr:rowOff>
    </xdr:to>
    <xdr:sp macro="" textlink="">
      <xdr:nvSpPr>
        <xdr:cNvPr id="1704" name="Text Box 1">
          <a:extLst>
            <a:ext uri="{FF2B5EF4-FFF2-40B4-BE49-F238E27FC236}">
              <a16:creationId xmlns:a16="http://schemas.microsoft.com/office/drawing/2014/main" id="{00000000-0008-0000-0300-0000A806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80</xdr:row>
      <xdr:rowOff>0</xdr:rowOff>
    </xdr:from>
    <xdr:to>
      <xdr:col>4</xdr:col>
      <xdr:colOff>76200</xdr:colOff>
      <xdr:row>81</xdr:row>
      <xdr:rowOff>0</xdr:rowOff>
    </xdr:to>
    <xdr:sp macro="" textlink="">
      <xdr:nvSpPr>
        <xdr:cNvPr id="1705" name="Text Box 2">
          <a:extLst>
            <a:ext uri="{FF2B5EF4-FFF2-40B4-BE49-F238E27FC236}">
              <a16:creationId xmlns:a16="http://schemas.microsoft.com/office/drawing/2014/main" id="{00000000-0008-0000-0300-0000A906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80</xdr:row>
      <xdr:rowOff>0</xdr:rowOff>
    </xdr:from>
    <xdr:to>
      <xdr:col>4</xdr:col>
      <xdr:colOff>76200</xdr:colOff>
      <xdr:row>81</xdr:row>
      <xdr:rowOff>0</xdr:rowOff>
    </xdr:to>
    <xdr:sp macro="" textlink="">
      <xdr:nvSpPr>
        <xdr:cNvPr id="1706" name="Text Box 1">
          <a:extLst>
            <a:ext uri="{FF2B5EF4-FFF2-40B4-BE49-F238E27FC236}">
              <a16:creationId xmlns:a16="http://schemas.microsoft.com/office/drawing/2014/main" id="{00000000-0008-0000-0300-0000AA06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80</xdr:row>
      <xdr:rowOff>0</xdr:rowOff>
    </xdr:from>
    <xdr:to>
      <xdr:col>4</xdr:col>
      <xdr:colOff>76200</xdr:colOff>
      <xdr:row>81</xdr:row>
      <xdr:rowOff>0</xdr:rowOff>
    </xdr:to>
    <xdr:sp macro="" textlink="">
      <xdr:nvSpPr>
        <xdr:cNvPr id="1707" name="Text Box 1">
          <a:extLst>
            <a:ext uri="{FF2B5EF4-FFF2-40B4-BE49-F238E27FC236}">
              <a16:creationId xmlns:a16="http://schemas.microsoft.com/office/drawing/2014/main" id="{00000000-0008-0000-0300-0000AB06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80</xdr:row>
      <xdr:rowOff>0</xdr:rowOff>
    </xdr:from>
    <xdr:to>
      <xdr:col>4</xdr:col>
      <xdr:colOff>76200</xdr:colOff>
      <xdr:row>81</xdr:row>
      <xdr:rowOff>0</xdr:rowOff>
    </xdr:to>
    <xdr:sp macro="" textlink="">
      <xdr:nvSpPr>
        <xdr:cNvPr id="1708" name="Text Box 1">
          <a:extLst>
            <a:ext uri="{FF2B5EF4-FFF2-40B4-BE49-F238E27FC236}">
              <a16:creationId xmlns:a16="http://schemas.microsoft.com/office/drawing/2014/main" id="{00000000-0008-0000-0300-0000AC06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80</xdr:row>
      <xdr:rowOff>0</xdr:rowOff>
    </xdr:from>
    <xdr:to>
      <xdr:col>4</xdr:col>
      <xdr:colOff>76200</xdr:colOff>
      <xdr:row>81</xdr:row>
      <xdr:rowOff>0</xdr:rowOff>
    </xdr:to>
    <xdr:sp macro="" textlink="">
      <xdr:nvSpPr>
        <xdr:cNvPr id="1709" name="Text Box 2">
          <a:extLst>
            <a:ext uri="{FF2B5EF4-FFF2-40B4-BE49-F238E27FC236}">
              <a16:creationId xmlns:a16="http://schemas.microsoft.com/office/drawing/2014/main" id="{00000000-0008-0000-0300-0000AD06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80</xdr:row>
      <xdr:rowOff>0</xdr:rowOff>
    </xdr:from>
    <xdr:to>
      <xdr:col>4</xdr:col>
      <xdr:colOff>76200</xdr:colOff>
      <xdr:row>81</xdr:row>
      <xdr:rowOff>0</xdr:rowOff>
    </xdr:to>
    <xdr:sp macro="" textlink="">
      <xdr:nvSpPr>
        <xdr:cNvPr id="1710" name="Text Box 1">
          <a:extLst>
            <a:ext uri="{FF2B5EF4-FFF2-40B4-BE49-F238E27FC236}">
              <a16:creationId xmlns:a16="http://schemas.microsoft.com/office/drawing/2014/main" id="{00000000-0008-0000-0300-0000AE06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80</xdr:row>
      <xdr:rowOff>0</xdr:rowOff>
    </xdr:from>
    <xdr:to>
      <xdr:col>4</xdr:col>
      <xdr:colOff>76200</xdr:colOff>
      <xdr:row>81</xdr:row>
      <xdr:rowOff>0</xdr:rowOff>
    </xdr:to>
    <xdr:sp macro="" textlink="">
      <xdr:nvSpPr>
        <xdr:cNvPr id="1711" name="Text Box 1">
          <a:extLst>
            <a:ext uri="{FF2B5EF4-FFF2-40B4-BE49-F238E27FC236}">
              <a16:creationId xmlns:a16="http://schemas.microsoft.com/office/drawing/2014/main" id="{00000000-0008-0000-0300-0000AF06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80</xdr:row>
      <xdr:rowOff>0</xdr:rowOff>
    </xdr:from>
    <xdr:to>
      <xdr:col>4</xdr:col>
      <xdr:colOff>76200</xdr:colOff>
      <xdr:row>81</xdr:row>
      <xdr:rowOff>0</xdr:rowOff>
    </xdr:to>
    <xdr:sp macro="" textlink="">
      <xdr:nvSpPr>
        <xdr:cNvPr id="1712" name="Text Box 1">
          <a:extLst>
            <a:ext uri="{FF2B5EF4-FFF2-40B4-BE49-F238E27FC236}">
              <a16:creationId xmlns:a16="http://schemas.microsoft.com/office/drawing/2014/main" id="{00000000-0008-0000-0300-0000B006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80</xdr:row>
      <xdr:rowOff>0</xdr:rowOff>
    </xdr:from>
    <xdr:to>
      <xdr:col>4</xdr:col>
      <xdr:colOff>76200</xdr:colOff>
      <xdr:row>81</xdr:row>
      <xdr:rowOff>0</xdr:rowOff>
    </xdr:to>
    <xdr:sp macro="" textlink="">
      <xdr:nvSpPr>
        <xdr:cNvPr id="1713" name="Text Box 2">
          <a:extLst>
            <a:ext uri="{FF2B5EF4-FFF2-40B4-BE49-F238E27FC236}">
              <a16:creationId xmlns:a16="http://schemas.microsoft.com/office/drawing/2014/main" id="{00000000-0008-0000-0300-0000B106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80</xdr:row>
      <xdr:rowOff>0</xdr:rowOff>
    </xdr:from>
    <xdr:to>
      <xdr:col>4</xdr:col>
      <xdr:colOff>76200</xdr:colOff>
      <xdr:row>81</xdr:row>
      <xdr:rowOff>0</xdr:rowOff>
    </xdr:to>
    <xdr:sp macro="" textlink="">
      <xdr:nvSpPr>
        <xdr:cNvPr id="1714" name="Text Box 1">
          <a:extLst>
            <a:ext uri="{FF2B5EF4-FFF2-40B4-BE49-F238E27FC236}">
              <a16:creationId xmlns:a16="http://schemas.microsoft.com/office/drawing/2014/main" id="{00000000-0008-0000-0300-0000B206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80</xdr:row>
      <xdr:rowOff>0</xdr:rowOff>
    </xdr:from>
    <xdr:to>
      <xdr:col>4</xdr:col>
      <xdr:colOff>76200</xdr:colOff>
      <xdr:row>81</xdr:row>
      <xdr:rowOff>0</xdr:rowOff>
    </xdr:to>
    <xdr:sp macro="" textlink="">
      <xdr:nvSpPr>
        <xdr:cNvPr id="1715" name="Text Box 1">
          <a:extLst>
            <a:ext uri="{FF2B5EF4-FFF2-40B4-BE49-F238E27FC236}">
              <a16:creationId xmlns:a16="http://schemas.microsoft.com/office/drawing/2014/main" id="{00000000-0008-0000-0300-0000B306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80</xdr:row>
      <xdr:rowOff>0</xdr:rowOff>
    </xdr:from>
    <xdr:to>
      <xdr:col>4</xdr:col>
      <xdr:colOff>76200</xdr:colOff>
      <xdr:row>81</xdr:row>
      <xdr:rowOff>0</xdr:rowOff>
    </xdr:to>
    <xdr:sp macro="" textlink="">
      <xdr:nvSpPr>
        <xdr:cNvPr id="1716" name="Text Box 1">
          <a:extLst>
            <a:ext uri="{FF2B5EF4-FFF2-40B4-BE49-F238E27FC236}">
              <a16:creationId xmlns:a16="http://schemas.microsoft.com/office/drawing/2014/main" id="{00000000-0008-0000-0300-0000B406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80</xdr:row>
      <xdr:rowOff>0</xdr:rowOff>
    </xdr:from>
    <xdr:to>
      <xdr:col>4</xdr:col>
      <xdr:colOff>76200</xdr:colOff>
      <xdr:row>81</xdr:row>
      <xdr:rowOff>0</xdr:rowOff>
    </xdr:to>
    <xdr:sp macro="" textlink="">
      <xdr:nvSpPr>
        <xdr:cNvPr id="1717" name="Text Box 2">
          <a:extLst>
            <a:ext uri="{FF2B5EF4-FFF2-40B4-BE49-F238E27FC236}">
              <a16:creationId xmlns:a16="http://schemas.microsoft.com/office/drawing/2014/main" id="{00000000-0008-0000-0300-0000B506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80</xdr:row>
      <xdr:rowOff>0</xdr:rowOff>
    </xdr:from>
    <xdr:to>
      <xdr:col>4</xdr:col>
      <xdr:colOff>76200</xdr:colOff>
      <xdr:row>81</xdr:row>
      <xdr:rowOff>0</xdr:rowOff>
    </xdr:to>
    <xdr:sp macro="" textlink="">
      <xdr:nvSpPr>
        <xdr:cNvPr id="1718" name="Text Box 1">
          <a:extLst>
            <a:ext uri="{FF2B5EF4-FFF2-40B4-BE49-F238E27FC236}">
              <a16:creationId xmlns:a16="http://schemas.microsoft.com/office/drawing/2014/main" id="{00000000-0008-0000-0300-0000B606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80</xdr:row>
      <xdr:rowOff>0</xdr:rowOff>
    </xdr:from>
    <xdr:to>
      <xdr:col>4</xdr:col>
      <xdr:colOff>76200</xdr:colOff>
      <xdr:row>81</xdr:row>
      <xdr:rowOff>0</xdr:rowOff>
    </xdr:to>
    <xdr:sp macro="" textlink="">
      <xdr:nvSpPr>
        <xdr:cNvPr id="1719" name="Text Box 1">
          <a:extLst>
            <a:ext uri="{FF2B5EF4-FFF2-40B4-BE49-F238E27FC236}">
              <a16:creationId xmlns:a16="http://schemas.microsoft.com/office/drawing/2014/main" id="{00000000-0008-0000-0300-0000B706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80</xdr:row>
      <xdr:rowOff>0</xdr:rowOff>
    </xdr:from>
    <xdr:to>
      <xdr:col>4</xdr:col>
      <xdr:colOff>76200</xdr:colOff>
      <xdr:row>81</xdr:row>
      <xdr:rowOff>0</xdr:rowOff>
    </xdr:to>
    <xdr:sp macro="" textlink="">
      <xdr:nvSpPr>
        <xdr:cNvPr id="1720" name="Text Box 2">
          <a:extLst>
            <a:ext uri="{FF2B5EF4-FFF2-40B4-BE49-F238E27FC236}">
              <a16:creationId xmlns:a16="http://schemas.microsoft.com/office/drawing/2014/main" id="{00000000-0008-0000-0300-0000B806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80</xdr:row>
      <xdr:rowOff>0</xdr:rowOff>
    </xdr:from>
    <xdr:to>
      <xdr:col>4</xdr:col>
      <xdr:colOff>76200</xdr:colOff>
      <xdr:row>81</xdr:row>
      <xdr:rowOff>0</xdr:rowOff>
    </xdr:to>
    <xdr:sp macro="" textlink="">
      <xdr:nvSpPr>
        <xdr:cNvPr id="1721" name="Text Box 1">
          <a:extLst>
            <a:ext uri="{FF2B5EF4-FFF2-40B4-BE49-F238E27FC236}">
              <a16:creationId xmlns:a16="http://schemas.microsoft.com/office/drawing/2014/main" id="{00000000-0008-0000-0300-0000B906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80</xdr:row>
      <xdr:rowOff>0</xdr:rowOff>
    </xdr:from>
    <xdr:to>
      <xdr:col>4</xdr:col>
      <xdr:colOff>76200</xdr:colOff>
      <xdr:row>81</xdr:row>
      <xdr:rowOff>0</xdr:rowOff>
    </xdr:to>
    <xdr:sp macro="" textlink="">
      <xdr:nvSpPr>
        <xdr:cNvPr id="1722" name="Text Box 1">
          <a:extLst>
            <a:ext uri="{FF2B5EF4-FFF2-40B4-BE49-F238E27FC236}">
              <a16:creationId xmlns:a16="http://schemas.microsoft.com/office/drawing/2014/main" id="{00000000-0008-0000-0300-0000BA06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80</xdr:row>
      <xdr:rowOff>0</xdr:rowOff>
    </xdr:from>
    <xdr:to>
      <xdr:col>4</xdr:col>
      <xdr:colOff>76200</xdr:colOff>
      <xdr:row>81</xdr:row>
      <xdr:rowOff>0</xdr:rowOff>
    </xdr:to>
    <xdr:sp macro="" textlink="">
      <xdr:nvSpPr>
        <xdr:cNvPr id="1723" name="Text Box 1">
          <a:extLst>
            <a:ext uri="{FF2B5EF4-FFF2-40B4-BE49-F238E27FC236}">
              <a16:creationId xmlns:a16="http://schemas.microsoft.com/office/drawing/2014/main" id="{00000000-0008-0000-0300-0000BB06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80</xdr:row>
      <xdr:rowOff>0</xdr:rowOff>
    </xdr:from>
    <xdr:to>
      <xdr:col>4</xdr:col>
      <xdr:colOff>76200</xdr:colOff>
      <xdr:row>81</xdr:row>
      <xdr:rowOff>0</xdr:rowOff>
    </xdr:to>
    <xdr:sp macro="" textlink="">
      <xdr:nvSpPr>
        <xdr:cNvPr id="1724" name="Text Box 2">
          <a:extLst>
            <a:ext uri="{FF2B5EF4-FFF2-40B4-BE49-F238E27FC236}">
              <a16:creationId xmlns:a16="http://schemas.microsoft.com/office/drawing/2014/main" id="{00000000-0008-0000-0300-0000BC06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80</xdr:row>
      <xdr:rowOff>0</xdr:rowOff>
    </xdr:from>
    <xdr:to>
      <xdr:col>4</xdr:col>
      <xdr:colOff>76200</xdr:colOff>
      <xdr:row>81</xdr:row>
      <xdr:rowOff>0</xdr:rowOff>
    </xdr:to>
    <xdr:sp macro="" textlink="">
      <xdr:nvSpPr>
        <xdr:cNvPr id="1725" name="Text Box 1">
          <a:extLst>
            <a:ext uri="{FF2B5EF4-FFF2-40B4-BE49-F238E27FC236}">
              <a16:creationId xmlns:a16="http://schemas.microsoft.com/office/drawing/2014/main" id="{00000000-0008-0000-0300-0000BD06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80</xdr:row>
      <xdr:rowOff>0</xdr:rowOff>
    </xdr:from>
    <xdr:to>
      <xdr:col>4</xdr:col>
      <xdr:colOff>76200</xdr:colOff>
      <xdr:row>81</xdr:row>
      <xdr:rowOff>0</xdr:rowOff>
    </xdr:to>
    <xdr:sp macro="" textlink="">
      <xdr:nvSpPr>
        <xdr:cNvPr id="1726" name="Text Box 1">
          <a:extLst>
            <a:ext uri="{FF2B5EF4-FFF2-40B4-BE49-F238E27FC236}">
              <a16:creationId xmlns:a16="http://schemas.microsoft.com/office/drawing/2014/main" id="{00000000-0008-0000-0300-0000BE06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81</xdr:row>
      <xdr:rowOff>0</xdr:rowOff>
    </xdr:from>
    <xdr:to>
      <xdr:col>4</xdr:col>
      <xdr:colOff>76200</xdr:colOff>
      <xdr:row>82</xdr:row>
      <xdr:rowOff>0</xdr:rowOff>
    </xdr:to>
    <xdr:sp macro="" textlink="">
      <xdr:nvSpPr>
        <xdr:cNvPr id="1727" name="Text Box 1">
          <a:extLst>
            <a:ext uri="{FF2B5EF4-FFF2-40B4-BE49-F238E27FC236}">
              <a16:creationId xmlns:a16="http://schemas.microsoft.com/office/drawing/2014/main" id="{00000000-0008-0000-0300-0000BF06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81</xdr:row>
      <xdr:rowOff>0</xdr:rowOff>
    </xdr:from>
    <xdr:to>
      <xdr:col>4</xdr:col>
      <xdr:colOff>76200</xdr:colOff>
      <xdr:row>82</xdr:row>
      <xdr:rowOff>0</xdr:rowOff>
    </xdr:to>
    <xdr:sp macro="" textlink="">
      <xdr:nvSpPr>
        <xdr:cNvPr id="1728" name="Text Box 2">
          <a:extLst>
            <a:ext uri="{FF2B5EF4-FFF2-40B4-BE49-F238E27FC236}">
              <a16:creationId xmlns:a16="http://schemas.microsoft.com/office/drawing/2014/main" id="{00000000-0008-0000-0300-0000C006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81</xdr:row>
      <xdr:rowOff>0</xdr:rowOff>
    </xdr:from>
    <xdr:to>
      <xdr:col>4</xdr:col>
      <xdr:colOff>76200</xdr:colOff>
      <xdr:row>82</xdr:row>
      <xdr:rowOff>0</xdr:rowOff>
    </xdr:to>
    <xdr:sp macro="" textlink="">
      <xdr:nvSpPr>
        <xdr:cNvPr id="1729" name="Text Box 1">
          <a:extLst>
            <a:ext uri="{FF2B5EF4-FFF2-40B4-BE49-F238E27FC236}">
              <a16:creationId xmlns:a16="http://schemas.microsoft.com/office/drawing/2014/main" id="{00000000-0008-0000-0300-0000C106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81</xdr:row>
      <xdr:rowOff>0</xdr:rowOff>
    </xdr:from>
    <xdr:to>
      <xdr:col>4</xdr:col>
      <xdr:colOff>76200</xdr:colOff>
      <xdr:row>82</xdr:row>
      <xdr:rowOff>0</xdr:rowOff>
    </xdr:to>
    <xdr:sp macro="" textlink="">
      <xdr:nvSpPr>
        <xdr:cNvPr id="1730" name="Text Box 1">
          <a:extLst>
            <a:ext uri="{FF2B5EF4-FFF2-40B4-BE49-F238E27FC236}">
              <a16:creationId xmlns:a16="http://schemas.microsoft.com/office/drawing/2014/main" id="{00000000-0008-0000-0300-0000C206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81</xdr:row>
      <xdr:rowOff>0</xdr:rowOff>
    </xdr:from>
    <xdr:to>
      <xdr:col>4</xdr:col>
      <xdr:colOff>76200</xdr:colOff>
      <xdr:row>82</xdr:row>
      <xdr:rowOff>0</xdr:rowOff>
    </xdr:to>
    <xdr:sp macro="" textlink="">
      <xdr:nvSpPr>
        <xdr:cNvPr id="1731" name="Text Box 1">
          <a:extLst>
            <a:ext uri="{FF2B5EF4-FFF2-40B4-BE49-F238E27FC236}">
              <a16:creationId xmlns:a16="http://schemas.microsoft.com/office/drawing/2014/main" id="{00000000-0008-0000-0300-0000C306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81</xdr:row>
      <xdr:rowOff>0</xdr:rowOff>
    </xdr:from>
    <xdr:to>
      <xdr:col>4</xdr:col>
      <xdr:colOff>76200</xdr:colOff>
      <xdr:row>82</xdr:row>
      <xdr:rowOff>0</xdr:rowOff>
    </xdr:to>
    <xdr:sp macro="" textlink="">
      <xdr:nvSpPr>
        <xdr:cNvPr id="1732" name="Text Box 2">
          <a:extLst>
            <a:ext uri="{FF2B5EF4-FFF2-40B4-BE49-F238E27FC236}">
              <a16:creationId xmlns:a16="http://schemas.microsoft.com/office/drawing/2014/main" id="{00000000-0008-0000-0300-0000C406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81</xdr:row>
      <xdr:rowOff>0</xdr:rowOff>
    </xdr:from>
    <xdr:to>
      <xdr:col>4</xdr:col>
      <xdr:colOff>76200</xdr:colOff>
      <xdr:row>82</xdr:row>
      <xdr:rowOff>0</xdr:rowOff>
    </xdr:to>
    <xdr:sp macro="" textlink="">
      <xdr:nvSpPr>
        <xdr:cNvPr id="1733" name="Text Box 1">
          <a:extLst>
            <a:ext uri="{FF2B5EF4-FFF2-40B4-BE49-F238E27FC236}">
              <a16:creationId xmlns:a16="http://schemas.microsoft.com/office/drawing/2014/main" id="{00000000-0008-0000-0300-0000C506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81</xdr:row>
      <xdr:rowOff>0</xdr:rowOff>
    </xdr:from>
    <xdr:to>
      <xdr:col>4</xdr:col>
      <xdr:colOff>76200</xdr:colOff>
      <xdr:row>82</xdr:row>
      <xdr:rowOff>0</xdr:rowOff>
    </xdr:to>
    <xdr:sp macro="" textlink="">
      <xdr:nvSpPr>
        <xdr:cNvPr id="1734" name="Text Box 1">
          <a:extLst>
            <a:ext uri="{FF2B5EF4-FFF2-40B4-BE49-F238E27FC236}">
              <a16:creationId xmlns:a16="http://schemas.microsoft.com/office/drawing/2014/main" id="{00000000-0008-0000-0300-0000C606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81</xdr:row>
      <xdr:rowOff>0</xdr:rowOff>
    </xdr:from>
    <xdr:to>
      <xdr:col>4</xdr:col>
      <xdr:colOff>76200</xdr:colOff>
      <xdr:row>82</xdr:row>
      <xdr:rowOff>0</xdr:rowOff>
    </xdr:to>
    <xdr:sp macro="" textlink="">
      <xdr:nvSpPr>
        <xdr:cNvPr id="1735" name="Text Box 1">
          <a:extLst>
            <a:ext uri="{FF2B5EF4-FFF2-40B4-BE49-F238E27FC236}">
              <a16:creationId xmlns:a16="http://schemas.microsoft.com/office/drawing/2014/main" id="{00000000-0008-0000-0300-0000C706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81</xdr:row>
      <xdr:rowOff>0</xdr:rowOff>
    </xdr:from>
    <xdr:to>
      <xdr:col>4</xdr:col>
      <xdr:colOff>76200</xdr:colOff>
      <xdr:row>82</xdr:row>
      <xdr:rowOff>0</xdr:rowOff>
    </xdr:to>
    <xdr:sp macro="" textlink="">
      <xdr:nvSpPr>
        <xdr:cNvPr id="1736" name="Text Box 2">
          <a:extLst>
            <a:ext uri="{FF2B5EF4-FFF2-40B4-BE49-F238E27FC236}">
              <a16:creationId xmlns:a16="http://schemas.microsoft.com/office/drawing/2014/main" id="{00000000-0008-0000-0300-0000C806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81</xdr:row>
      <xdr:rowOff>0</xdr:rowOff>
    </xdr:from>
    <xdr:to>
      <xdr:col>4</xdr:col>
      <xdr:colOff>76200</xdr:colOff>
      <xdr:row>82</xdr:row>
      <xdr:rowOff>0</xdr:rowOff>
    </xdr:to>
    <xdr:sp macro="" textlink="">
      <xdr:nvSpPr>
        <xdr:cNvPr id="1737" name="Text Box 1">
          <a:extLst>
            <a:ext uri="{FF2B5EF4-FFF2-40B4-BE49-F238E27FC236}">
              <a16:creationId xmlns:a16="http://schemas.microsoft.com/office/drawing/2014/main" id="{00000000-0008-0000-0300-0000C906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81</xdr:row>
      <xdr:rowOff>0</xdr:rowOff>
    </xdr:from>
    <xdr:to>
      <xdr:col>4</xdr:col>
      <xdr:colOff>76200</xdr:colOff>
      <xdr:row>82</xdr:row>
      <xdr:rowOff>0</xdr:rowOff>
    </xdr:to>
    <xdr:sp macro="" textlink="">
      <xdr:nvSpPr>
        <xdr:cNvPr id="1738" name="Text Box 1">
          <a:extLst>
            <a:ext uri="{FF2B5EF4-FFF2-40B4-BE49-F238E27FC236}">
              <a16:creationId xmlns:a16="http://schemas.microsoft.com/office/drawing/2014/main" id="{00000000-0008-0000-0300-0000CA06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81</xdr:row>
      <xdr:rowOff>0</xdr:rowOff>
    </xdr:from>
    <xdr:to>
      <xdr:col>4</xdr:col>
      <xdr:colOff>76200</xdr:colOff>
      <xdr:row>82</xdr:row>
      <xdr:rowOff>0</xdr:rowOff>
    </xdr:to>
    <xdr:sp macro="" textlink="">
      <xdr:nvSpPr>
        <xdr:cNvPr id="1739" name="Text Box 1">
          <a:extLst>
            <a:ext uri="{FF2B5EF4-FFF2-40B4-BE49-F238E27FC236}">
              <a16:creationId xmlns:a16="http://schemas.microsoft.com/office/drawing/2014/main" id="{00000000-0008-0000-0300-0000CB06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81</xdr:row>
      <xdr:rowOff>0</xdr:rowOff>
    </xdr:from>
    <xdr:to>
      <xdr:col>4</xdr:col>
      <xdr:colOff>76200</xdr:colOff>
      <xdr:row>82</xdr:row>
      <xdr:rowOff>0</xdr:rowOff>
    </xdr:to>
    <xdr:sp macro="" textlink="">
      <xdr:nvSpPr>
        <xdr:cNvPr id="1740" name="Text Box 2">
          <a:extLst>
            <a:ext uri="{FF2B5EF4-FFF2-40B4-BE49-F238E27FC236}">
              <a16:creationId xmlns:a16="http://schemas.microsoft.com/office/drawing/2014/main" id="{00000000-0008-0000-0300-0000CC06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81</xdr:row>
      <xdr:rowOff>0</xdr:rowOff>
    </xdr:from>
    <xdr:to>
      <xdr:col>4</xdr:col>
      <xdr:colOff>76200</xdr:colOff>
      <xdr:row>82</xdr:row>
      <xdr:rowOff>0</xdr:rowOff>
    </xdr:to>
    <xdr:sp macro="" textlink="">
      <xdr:nvSpPr>
        <xdr:cNvPr id="1741" name="Text Box 1">
          <a:extLst>
            <a:ext uri="{FF2B5EF4-FFF2-40B4-BE49-F238E27FC236}">
              <a16:creationId xmlns:a16="http://schemas.microsoft.com/office/drawing/2014/main" id="{00000000-0008-0000-0300-0000CD06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81</xdr:row>
      <xdr:rowOff>0</xdr:rowOff>
    </xdr:from>
    <xdr:to>
      <xdr:col>4</xdr:col>
      <xdr:colOff>76200</xdr:colOff>
      <xdr:row>82</xdr:row>
      <xdr:rowOff>0</xdr:rowOff>
    </xdr:to>
    <xdr:sp macro="" textlink="">
      <xdr:nvSpPr>
        <xdr:cNvPr id="1742" name="Text Box 1">
          <a:extLst>
            <a:ext uri="{FF2B5EF4-FFF2-40B4-BE49-F238E27FC236}">
              <a16:creationId xmlns:a16="http://schemas.microsoft.com/office/drawing/2014/main" id="{00000000-0008-0000-0300-0000CE06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81</xdr:row>
      <xdr:rowOff>0</xdr:rowOff>
    </xdr:from>
    <xdr:to>
      <xdr:col>4</xdr:col>
      <xdr:colOff>76200</xdr:colOff>
      <xdr:row>82</xdr:row>
      <xdr:rowOff>0</xdr:rowOff>
    </xdr:to>
    <xdr:sp macro="" textlink="">
      <xdr:nvSpPr>
        <xdr:cNvPr id="1743" name="Text Box 2">
          <a:extLst>
            <a:ext uri="{FF2B5EF4-FFF2-40B4-BE49-F238E27FC236}">
              <a16:creationId xmlns:a16="http://schemas.microsoft.com/office/drawing/2014/main" id="{00000000-0008-0000-0300-0000CF06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81</xdr:row>
      <xdr:rowOff>0</xdr:rowOff>
    </xdr:from>
    <xdr:to>
      <xdr:col>4</xdr:col>
      <xdr:colOff>76200</xdr:colOff>
      <xdr:row>82</xdr:row>
      <xdr:rowOff>0</xdr:rowOff>
    </xdr:to>
    <xdr:sp macro="" textlink="">
      <xdr:nvSpPr>
        <xdr:cNvPr id="1744" name="Text Box 1">
          <a:extLst>
            <a:ext uri="{FF2B5EF4-FFF2-40B4-BE49-F238E27FC236}">
              <a16:creationId xmlns:a16="http://schemas.microsoft.com/office/drawing/2014/main" id="{00000000-0008-0000-0300-0000D006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81</xdr:row>
      <xdr:rowOff>0</xdr:rowOff>
    </xdr:from>
    <xdr:to>
      <xdr:col>4</xdr:col>
      <xdr:colOff>76200</xdr:colOff>
      <xdr:row>82</xdr:row>
      <xdr:rowOff>0</xdr:rowOff>
    </xdr:to>
    <xdr:sp macro="" textlink="">
      <xdr:nvSpPr>
        <xdr:cNvPr id="1745" name="Text Box 1">
          <a:extLst>
            <a:ext uri="{FF2B5EF4-FFF2-40B4-BE49-F238E27FC236}">
              <a16:creationId xmlns:a16="http://schemas.microsoft.com/office/drawing/2014/main" id="{00000000-0008-0000-0300-0000D106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81</xdr:row>
      <xdr:rowOff>0</xdr:rowOff>
    </xdr:from>
    <xdr:to>
      <xdr:col>4</xdr:col>
      <xdr:colOff>76200</xdr:colOff>
      <xdr:row>82</xdr:row>
      <xdr:rowOff>0</xdr:rowOff>
    </xdr:to>
    <xdr:sp macro="" textlink="">
      <xdr:nvSpPr>
        <xdr:cNvPr id="1746" name="Text Box 1">
          <a:extLst>
            <a:ext uri="{FF2B5EF4-FFF2-40B4-BE49-F238E27FC236}">
              <a16:creationId xmlns:a16="http://schemas.microsoft.com/office/drawing/2014/main" id="{00000000-0008-0000-0300-0000D206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81</xdr:row>
      <xdr:rowOff>0</xdr:rowOff>
    </xdr:from>
    <xdr:to>
      <xdr:col>4</xdr:col>
      <xdr:colOff>76200</xdr:colOff>
      <xdr:row>82</xdr:row>
      <xdr:rowOff>0</xdr:rowOff>
    </xdr:to>
    <xdr:sp macro="" textlink="">
      <xdr:nvSpPr>
        <xdr:cNvPr id="1747" name="Text Box 2">
          <a:extLst>
            <a:ext uri="{FF2B5EF4-FFF2-40B4-BE49-F238E27FC236}">
              <a16:creationId xmlns:a16="http://schemas.microsoft.com/office/drawing/2014/main" id="{00000000-0008-0000-0300-0000D306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81</xdr:row>
      <xdr:rowOff>0</xdr:rowOff>
    </xdr:from>
    <xdr:to>
      <xdr:col>4</xdr:col>
      <xdr:colOff>76200</xdr:colOff>
      <xdr:row>82</xdr:row>
      <xdr:rowOff>0</xdr:rowOff>
    </xdr:to>
    <xdr:sp macro="" textlink="">
      <xdr:nvSpPr>
        <xdr:cNvPr id="1748" name="Text Box 1">
          <a:extLst>
            <a:ext uri="{FF2B5EF4-FFF2-40B4-BE49-F238E27FC236}">
              <a16:creationId xmlns:a16="http://schemas.microsoft.com/office/drawing/2014/main" id="{00000000-0008-0000-0300-0000D406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81</xdr:row>
      <xdr:rowOff>0</xdr:rowOff>
    </xdr:from>
    <xdr:to>
      <xdr:col>4</xdr:col>
      <xdr:colOff>76200</xdr:colOff>
      <xdr:row>82</xdr:row>
      <xdr:rowOff>0</xdr:rowOff>
    </xdr:to>
    <xdr:sp macro="" textlink="">
      <xdr:nvSpPr>
        <xdr:cNvPr id="1749" name="Text Box 1">
          <a:extLst>
            <a:ext uri="{FF2B5EF4-FFF2-40B4-BE49-F238E27FC236}">
              <a16:creationId xmlns:a16="http://schemas.microsoft.com/office/drawing/2014/main" id="{00000000-0008-0000-0300-0000D506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82</xdr:row>
      <xdr:rowOff>0</xdr:rowOff>
    </xdr:from>
    <xdr:to>
      <xdr:col>4</xdr:col>
      <xdr:colOff>76200</xdr:colOff>
      <xdr:row>83</xdr:row>
      <xdr:rowOff>0</xdr:rowOff>
    </xdr:to>
    <xdr:sp macro="" textlink="">
      <xdr:nvSpPr>
        <xdr:cNvPr id="1750" name="Text Box 1">
          <a:extLst>
            <a:ext uri="{FF2B5EF4-FFF2-40B4-BE49-F238E27FC236}">
              <a16:creationId xmlns:a16="http://schemas.microsoft.com/office/drawing/2014/main" id="{00000000-0008-0000-0300-0000D606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82</xdr:row>
      <xdr:rowOff>0</xdr:rowOff>
    </xdr:from>
    <xdr:to>
      <xdr:col>4</xdr:col>
      <xdr:colOff>76200</xdr:colOff>
      <xdr:row>83</xdr:row>
      <xdr:rowOff>0</xdr:rowOff>
    </xdr:to>
    <xdr:sp macro="" textlink="">
      <xdr:nvSpPr>
        <xdr:cNvPr id="1751" name="Text Box 2">
          <a:extLst>
            <a:ext uri="{FF2B5EF4-FFF2-40B4-BE49-F238E27FC236}">
              <a16:creationId xmlns:a16="http://schemas.microsoft.com/office/drawing/2014/main" id="{00000000-0008-0000-0300-0000D706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82</xdr:row>
      <xdr:rowOff>0</xdr:rowOff>
    </xdr:from>
    <xdr:to>
      <xdr:col>4</xdr:col>
      <xdr:colOff>76200</xdr:colOff>
      <xdr:row>83</xdr:row>
      <xdr:rowOff>0</xdr:rowOff>
    </xdr:to>
    <xdr:sp macro="" textlink="">
      <xdr:nvSpPr>
        <xdr:cNvPr id="1752" name="Text Box 1">
          <a:extLst>
            <a:ext uri="{FF2B5EF4-FFF2-40B4-BE49-F238E27FC236}">
              <a16:creationId xmlns:a16="http://schemas.microsoft.com/office/drawing/2014/main" id="{00000000-0008-0000-0300-0000D806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82</xdr:row>
      <xdr:rowOff>0</xdr:rowOff>
    </xdr:from>
    <xdr:to>
      <xdr:col>4</xdr:col>
      <xdr:colOff>76200</xdr:colOff>
      <xdr:row>83</xdr:row>
      <xdr:rowOff>0</xdr:rowOff>
    </xdr:to>
    <xdr:sp macro="" textlink="">
      <xdr:nvSpPr>
        <xdr:cNvPr id="1753" name="Text Box 1">
          <a:extLst>
            <a:ext uri="{FF2B5EF4-FFF2-40B4-BE49-F238E27FC236}">
              <a16:creationId xmlns:a16="http://schemas.microsoft.com/office/drawing/2014/main" id="{00000000-0008-0000-0300-0000D906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82</xdr:row>
      <xdr:rowOff>0</xdr:rowOff>
    </xdr:from>
    <xdr:to>
      <xdr:col>4</xdr:col>
      <xdr:colOff>76200</xdr:colOff>
      <xdr:row>83</xdr:row>
      <xdr:rowOff>0</xdr:rowOff>
    </xdr:to>
    <xdr:sp macro="" textlink="">
      <xdr:nvSpPr>
        <xdr:cNvPr id="1754" name="Text Box 1">
          <a:extLst>
            <a:ext uri="{FF2B5EF4-FFF2-40B4-BE49-F238E27FC236}">
              <a16:creationId xmlns:a16="http://schemas.microsoft.com/office/drawing/2014/main" id="{00000000-0008-0000-0300-0000DA06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82</xdr:row>
      <xdr:rowOff>0</xdr:rowOff>
    </xdr:from>
    <xdr:to>
      <xdr:col>4</xdr:col>
      <xdr:colOff>76200</xdr:colOff>
      <xdr:row>83</xdr:row>
      <xdr:rowOff>0</xdr:rowOff>
    </xdr:to>
    <xdr:sp macro="" textlink="">
      <xdr:nvSpPr>
        <xdr:cNvPr id="1755" name="Text Box 2">
          <a:extLst>
            <a:ext uri="{FF2B5EF4-FFF2-40B4-BE49-F238E27FC236}">
              <a16:creationId xmlns:a16="http://schemas.microsoft.com/office/drawing/2014/main" id="{00000000-0008-0000-0300-0000DB06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82</xdr:row>
      <xdr:rowOff>0</xdr:rowOff>
    </xdr:from>
    <xdr:to>
      <xdr:col>4</xdr:col>
      <xdr:colOff>76200</xdr:colOff>
      <xdr:row>83</xdr:row>
      <xdr:rowOff>0</xdr:rowOff>
    </xdr:to>
    <xdr:sp macro="" textlink="">
      <xdr:nvSpPr>
        <xdr:cNvPr id="1756" name="Text Box 1">
          <a:extLst>
            <a:ext uri="{FF2B5EF4-FFF2-40B4-BE49-F238E27FC236}">
              <a16:creationId xmlns:a16="http://schemas.microsoft.com/office/drawing/2014/main" id="{00000000-0008-0000-0300-0000DC06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82</xdr:row>
      <xdr:rowOff>0</xdr:rowOff>
    </xdr:from>
    <xdr:to>
      <xdr:col>4</xdr:col>
      <xdr:colOff>76200</xdr:colOff>
      <xdr:row>83</xdr:row>
      <xdr:rowOff>0</xdr:rowOff>
    </xdr:to>
    <xdr:sp macro="" textlink="">
      <xdr:nvSpPr>
        <xdr:cNvPr id="1757" name="Text Box 1">
          <a:extLst>
            <a:ext uri="{FF2B5EF4-FFF2-40B4-BE49-F238E27FC236}">
              <a16:creationId xmlns:a16="http://schemas.microsoft.com/office/drawing/2014/main" id="{00000000-0008-0000-0300-0000DD06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82</xdr:row>
      <xdr:rowOff>0</xdr:rowOff>
    </xdr:from>
    <xdr:to>
      <xdr:col>4</xdr:col>
      <xdr:colOff>76200</xdr:colOff>
      <xdr:row>83</xdr:row>
      <xdr:rowOff>0</xdr:rowOff>
    </xdr:to>
    <xdr:sp macro="" textlink="">
      <xdr:nvSpPr>
        <xdr:cNvPr id="1758" name="Text Box 1">
          <a:extLst>
            <a:ext uri="{FF2B5EF4-FFF2-40B4-BE49-F238E27FC236}">
              <a16:creationId xmlns:a16="http://schemas.microsoft.com/office/drawing/2014/main" id="{00000000-0008-0000-0300-0000DE06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82</xdr:row>
      <xdr:rowOff>0</xdr:rowOff>
    </xdr:from>
    <xdr:to>
      <xdr:col>4</xdr:col>
      <xdr:colOff>76200</xdr:colOff>
      <xdr:row>83</xdr:row>
      <xdr:rowOff>0</xdr:rowOff>
    </xdr:to>
    <xdr:sp macro="" textlink="">
      <xdr:nvSpPr>
        <xdr:cNvPr id="1759" name="Text Box 2">
          <a:extLst>
            <a:ext uri="{FF2B5EF4-FFF2-40B4-BE49-F238E27FC236}">
              <a16:creationId xmlns:a16="http://schemas.microsoft.com/office/drawing/2014/main" id="{00000000-0008-0000-0300-0000DF06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82</xdr:row>
      <xdr:rowOff>0</xdr:rowOff>
    </xdr:from>
    <xdr:to>
      <xdr:col>4</xdr:col>
      <xdr:colOff>76200</xdr:colOff>
      <xdr:row>83</xdr:row>
      <xdr:rowOff>0</xdr:rowOff>
    </xdr:to>
    <xdr:sp macro="" textlink="">
      <xdr:nvSpPr>
        <xdr:cNvPr id="1760" name="Text Box 1">
          <a:extLst>
            <a:ext uri="{FF2B5EF4-FFF2-40B4-BE49-F238E27FC236}">
              <a16:creationId xmlns:a16="http://schemas.microsoft.com/office/drawing/2014/main" id="{00000000-0008-0000-0300-0000E006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82</xdr:row>
      <xdr:rowOff>0</xdr:rowOff>
    </xdr:from>
    <xdr:to>
      <xdr:col>4</xdr:col>
      <xdr:colOff>76200</xdr:colOff>
      <xdr:row>83</xdr:row>
      <xdr:rowOff>0</xdr:rowOff>
    </xdr:to>
    <xdr:sp macro="" textlink="">
      <xdr:nvSpPr>
        <xdr:cNvPr id="1761" name="Text Box 1">
          <a:extLst>
            <a:ext uri="{FF2B5EF4-FFF2-40B4-BE49-F238E27FC236}">
              <a16:creationId xmlns:a16="http://schemas.microsoft.com/office/drawing/2014/main" id="{00000000-0008-0000-0300-0000E106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82</xdr:row>
      <xdr:rowOff>0</xdr:rowOff>
    </xdr:from>
    <xdr:to>
      <xdr:col>4</xdr:col>
      <xdr:colOff>76200</xdr:colOff>
      <xdr:row>83</xdr:row>
      <xdr:rowOff>0</xdr:rowOff>
    </xdr:to>
    <xdr:sp macro="" textlink="">
      <xdr:nvSpPr>
        <xdr:cNvPr id="1762" name="Text Box 1">
          <a:extLst>
            <a:ext uri="{FF2B5EF4-FFF2-40B4-BE49-F238E27FC236}">
              <a16:creationId xmlns:a16="http://schemas.microsoft.com/office/drawing/2014/main" id="{00000000-0008-0000-0300-0000E206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82</xdr:row>
      <xdr:rowOff>0</xdr:rowOff>
    </xdr:from>
    <xdr:to>
      <xdr:col>4</xdr:col>
      <xdr:colOff>76200</xdr:colOff>
      <xdr:row>83</xdr:row>
      <xdr:rowOff>0</xdr:rowOff>
    </xdr:to>
    <xdr:sp macro="" textlink="">
      <xdr:nvSpPr>
        <xdr:cNvPr id="1763" name="Text Box 2">
          <a:extLst>
            <a:ext uri="{FF2B5EF4-FFF2-40B4-BE49-F238E27FC236}">
              <a16:creationId xmlns:a16="http://schemas.microsoft.com/office/drawing/2014/main" id="{00000000-0008-0000-0300-0000E306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82</xdr:row>
      <xdr:rowOff>0</xdr:rowOff>
    </xdr:from>
    <xdr:to>
      <xdr:col>4</xdr:col>
      <xdr:colOff>76200</xdr:colOff>
      <xdr:row>83</xdr:row>
      <xdr:rowOff>0</xdr:rowOff>
    </xdr:to>
    <xdr:sp macro="" textlink="">
      <xdr:nvSpPr>
        <xdr:cNvPr id="1764" name="Text Box 1">
          <a:extLst>
            <a:ext uri="{FF2B5EF4-FFF2-40B4-BE49-F238E27FC236}">
              <a16:creationId xmlns:a16="http://schemas.microsoft.com/office/drawing/2014/main" id="{00000000-0008-0000-0300-0000E406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82</xdr:row>
      <xdr:rowOff>0</xdr:rowOff>
    </xdr:from>
    <xdr:to>
      <xdr:col>4</xdr:col>
      <xdr:colOff>76200</xdr:colOff>
      <xdr:row>83</xdr:row>
      <xdr:rowOff>0</xdr:rowOff>
    </xdr:to>
    <xdr:sp macro="" textlink="">
      <xdr:nvSpPr>
        <xdr:cNvPr id="1765" name="Text Box 1">
          <a:extLst>
            <a:ext uri="{FF2B5EF4-FFF2-40B4-BE49-F238E27FC236}">
              <a16:creationId xmlns:a16="http://schemas.microsoft.com/office/drawing/2014/main" id="{00000000-0008-0000-0300-0000E506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82</xdr:row>
      <xdr:rowOff>0</xdr:rowOff>
    </xdr:from>
    <xdr:to>
      <xdr:col>4</xdr:col>
      <xdr:colOff>76200</xdr:colOff>
      <xdr:row>83</xdr:row>
      <xdr:rowOff>0</xdr:rowOff>
    </xdr:to>
    <xdr:sp macro="" textlink="">
      <xdr:nvSpPr>
        <xdr:cNvPr id="1766" name="Text Box 2">
          <a:extLst>
            <a:ext uri="{FF2B5EF4-FFF2-40B4-BE49-F238E27FC236}">
              <a16:creationId xmlns:a16="http://schemas.microsoft.com/office/drawing/2014/main" id="{00000000-0008-0000-0300-0000E606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82</xdr:row>
      <xdr:rowOff>0</xdr:rowOff>
    </xdr:from>
    <xdr:to>
      <xdr:col>4</xdr:col>
      <xdr:colOff>76200</xdr:colOff>
      <xdr:row>83</xdr:row>
      <xdr:rowOff>0</xdr:rowOff>
    </xdr:to>
    <xdr:sp macro="" textlink="">
      <xdr:nvSpPr>
        <xdr:cNvPr id="1767" name="Text Box 1">
          <a:extLst>
            <a:ext uri="{FF2B5EF4-FFF2-40B4-BE49-F238E27FC236}">
              <a16:creationId xmlns:a16="http://schemas.microsoft.com/office/drawing/2014/main" id="{00000000-0008-0000-0300-0000E706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82</xdr:row>
      <xdr:rowOff>0</xdr:rowOff>
    </xdr:from>
    <xdr:to>
      <xdr:col>4</xdr:col>
      <xdr:colOff>76200</xdr:colOff>
      <xdr:row>83</xdr:row>
      <xdr:rowOff>0</xdr:rowOff>
    </xdr:to>
    <xdr:sp macro="" textlink="">
      <xdr:nvSpPr>
        <xdr:cNvPr id="1768" name="Text Box 1">
          <a:extLst>
            <a:ext uri="{FF2B5EF4-FFF2-40B4-BE49-F238E27FC236}">
              <a16:creationId xmlns:a16="http://schemas.microsoft.com/office/drawing/2014/main" id="{00000000-0008-0000-0300-0000E806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82</xdr:row>
      <xdr:rowOff>0</xdr:rowOff>
    </xdr:from>
    <xdr:to>
      <xdr:col>4</xdr:col>
      <xdr:colOff>76200</xdr:colOff>
      <xdr:row>83</xdr:row>
      <xdr:rowOff>0</xdr:rowOff>
    </xdr:to>
    <xdr:sp macro="" textlink="">
      <xdr:nvSpPr>
        <xdr:cNvPr id="1769" name="Text Box 1">
          <a:extLst>
            <a:ext uri="{FF2B5EF4-FFF2-40B4-BE49-F238E27FC236}">
              <a16:creationId xmlns:a16="http://schemas.microsoft.com/office/drawing/2014/main" id="{00000000-0008-0000-0300-0000E906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82</xdr:row>
      <xdr:rowOff>0</xdr:rowOff>
    </xdr:from>
    <xdr:to>
      <xdr:col>4</xdr:col>
      <xdr:colOff>76200</xdr:colOff>
      <xdr:row>83</xdr:row>
      <xdr:rowOff>0</xdr:rowOff>
    </xdr:to>
    <xdr:sp macro="" textlink="">
      <xdr:nvSpPr>
        <xdr:cNvPr id="1770" name="Text Box 2">
          <a:extLst>
            <a:ext uri="{FF2B5EF4-FFF2-40B4-BE49-F238E27FC236}">
              <a16:creationId xmlns:a16="http://schemas.microsoft.com/office/drawing/2014/main" id="{00000000-0008-0000-0300-0000EA06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82</xdr:row>
      <xdr:rowOff>0</xdr:rowOff>
    </xdr:from>
    <xdr:to>
      <xdr:col>4</xdr:col>
      <xdr:colOff>76200</xdr:colOff>
      <xdr:row>83</xdr:row>
      <xdr:rowOff>0</xdr:rowOff>
    </xdr:to>
    <xdr:sp macro="" textlink="">
      <xdr:nvSpPr>
        <xdr:cNvPr id="1771" name="Text Box 1">
          <a:extLst>
            <a:ext uri="{FF2B5EF4-FFF2-40B4-BE49-F238E27FC236}">
              <a16:creationId xmlns:a16="http://schemas.microsoft.com/office/drawing/2014/main" id="{00000000-0008-0000-0300-0000EB06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82</xdr:row>
      <xdr:rowOff>0</xdr:rowOff>
    </xdr:from>
    <xdr:to>
      <xdr:col>4</xdr:col>
      <xdr:colOff>76200</xdr:colOff>
      <xdr:row>83</xdr:row>
      <xdr:rowOff>0</xdr:rowOff>
    </xdr:to>
    <xdr:sp macro="" textlink="">
      <xdr:nvSpPr>
        <xdr:cNvPr id="1772" name="Text Box 1">
          <a:extLst>
            <a:ext uri="{FF2B5EF4-FFF2-40B4-BE49-F238E27FC236}">
              <a16:creationId xmlns:a16="http://schemas.microsoft.com/office/drawing/2014/main" id="{00000000-0008-0000-0300-0000EC06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83</xdr:row>
      <xdr:rowOff>0</xdr:rowOff>
    </xdr:from>
    <xdr:to>
      <xdr:col>4</xdr:col>
      <xdr:colOff>76200</xdr:colOff>
      <xdr:row>84</xdr:row>
      <xdr:rowOff>0</xdr:rowOff>
    </xdr:to>
    <xdr:sp macro="" textlink="">
      <xdr:nvSpPr>
        <xdr:cNvPr id="1773" name="Text Box 1">
          <a:extLst>
            <a:ext uri="{FF2B5EF4-FFF2-40B4-BE49-F238E27FC236}">
              <a16:creationId xmlns:a16="http://schemas.microsoft.com/office/drawing/2014/main" id="{00000000-0008-0000-0300-0000ED06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83</xdr:row>
      <xdr:rowOff>0</xdr:rowOff>
    </xdr:from>
    <xdr:to>
      <xdr:col>4</xdr:col>
      <xdr:colOff>76200</xdr:colOff>
      <xdr:row>84</xdr:row>
      <xdr:rowOff>0</xdr:rowOff>
    </xdr:to>
    <xdr:sp macro="" textlink="">
      <xdr:nvSpPr>
        <xdr:cNvPr id="1774" name="Text Box 2">
          <a:extLst>
            <a:ext uri="{FF2B5EF4-FFF2-40B4-BE49-F238E27FC236}">
              <a16:creationId xmlns:a16="http://schemas.microsoft.com/office/drawing/2014/main" id="{00000000-0008-0000-0300-0000EE06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83</xdr:row>
      <xdr:rowOff>0</xdr:rowOff>
    </xdr:from>
    <xdr:to>
      <xdr:col>4</xdr:col>
      <xdr:colOff>76200</xdr:colOff>
      <xdr:row>84</xdr:row>
      <xdr:rowOff>0</xdr:rowOff>
    </xdr:to>
    <xdr:sp macro="" textlink="">
      <xdr:nvSpPr>
        <xdr:cNvPr id="1775" name="Text Box 1">
          <a:extLst>
            <a:ext uri="{FF2B5EF4-FFF2-40B4-BE49-F238E27FC236}">
              <a16:creationId xmlns:a16="http://schemas.microsoft.com/office/drawing/2014/main" id="{00000000-0008-0000-0300-0000EF06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83</xdr:row>
      <xdr:rowOff>0</xdr:rowOff>
    </xdr:from>
    <xdr:to>
      <xdr:col>4</xdr:col>
      <xdr:colOff>76200</xdr:colOff>
      <xdr:row>84</xdr:row>
      <xdr:rowOff>0</xdr:rowOff>
    </xdr:to>
    <xdr:sp macro="" textlink="">
      <xdr:nvSpPr>
        <xdr:cNvPr id="1776" name="Text Box 1">
          <a:extLst>
            <a:ext uri="{FF2B5EF4-FFF2-40B4-BE49-F238E27FC236}">
              <a16:creationId xmlns:a16="http://schemas.microsoft.com/office/drawing/2014/main" id="{00000000-0008-0000-0300-0000F006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83</xdr:row>
      <xdr:rowOff>0</xdr:rowOff>
    </xdr:from>
    <xdr:to>
      <xdr:col>4</xdr:col>
      <xdr:colOff>76200</xdr:colOff>
      <xdr:row>84</xdr:row>
      <xdr:rowOff>0</xdr:rowOff>
    </xdr:to>
    <xdr:sp macro="" textlink="">
      <xdr:nvSpPr>
        <xdr:cNvPr id="1777" name="Text Box 1">
          <a:extLst>
            <a:ext uri="{FF2B5EF4-FFF2-40B4-BE49-F238E27FC236}">
              <a16:creationId xmlns:a16="http://schemas.microsoft.com/office/drawing/2014/main" id="{00000000-0008-0000-0300-0000F106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83</xdr:row>
      <xdr:rowOff>0</xdr:rowOff>
    </xdr:from>
    <xdr:to>
      <xdr:col>4</xdr:col>
      <xdr:colOff>76200</xdr:colOff>
      <xdr:row>84</xdr:row>
      <xdr:rowOff>0</xdr:rowOff>
    </xdr:to>
    <xdr:sp macro="" textlink="">
      <xdr:nvSpPr>
        <xdr:cNvPr id="1778" name="Text Box 2">
          <a:extLst>
            <a:ext uri="{FF2B5EF4-FFF2-40B4-BE49-F238E27FC236}">
              <a16:creationId xmlns:a16="http://schemas.microsoft.com/office/drawing/2014/main" id="{00000000-0008-0000-0300-0000F206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83</xdr:row>
      <xdr:rowOff>0</xdr:rowOff>
    </xdr:from>
    <xdr:to>
      <xdr:col>4</xdr:col>
      <xdr:colOff>76200</xdr:colOff>
      <xdr:row>84</xdr:row>
      <xdr:rowOff>0</xdr:rowOff>
    </xdr:to>
    <xdr:sp macro="" textlink="">
      <xdr:nvSpPr>
        <xdr:cNvPr id="1779" name="Text Box 1">
          <a:extLst>
            <a:ext uri="{FF2B5EF4-FFF2-40B4-BE49-F238E27FC236}">
              <a16:creationId xmlns:a16="http://schemas.microsoft.com/office/drawing/2014/main" id="{00000000-0008-0000-0300-0000F306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83</xdr:row>
      <xdr:rowOff>0</xdr:rowOff>
    </xdr:from>
    <xdr:to>
      <xdr:col>4</xdr:col>
      <xdr:colOff>76200</xdr:colOff>
      <xdr:row>84</xdr:row>
      <xdr:rowOff>0</xdr:rowOff>
    </xdr:to>
    <xdr:sp macro="" textlink="">
      <xdr:nvSpPr>
        <xdr:cNvPr id="1780" name="Text Box 1">
          <a:extLst>
            <a:ext uri="{FF2B5EF4-FFF2-40B4-BE49-F238E27FC236}">
              <a16:creationId xmlns:a16="http://schemas.microsoft.com/office/drawing/2014/main" id="{00000000-0008-0000-0300-0000F406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83</xdr:row>
      <xdr:rowOff>0</xdr:rowOff>
    </xdr:from>
    <xdr:to>
      <xdr:col>4</xdr:col>
      <xdr:colOff>76200</xdr:colOff>
      <xdr:row>84</xdr:row>
      <xdr:rowOff>0</xdr:rowOff>
    </xdr:to>
    <xdr:sp macro="" textlink="">
      <xdr:nvSpPr>
        <xdr:cNvPr id="1781" name="Text Box 1">
          <a:extLst>
            <a:ext uri="{FF2B5EF4-FFF2-40B4-BE49-F238E27FC236}">
              <a16:creationId xmlns:a16="http://schemas.microsoft.com/office/drawing/2014/main" id="{00000000-0008-0000-0300-0000F506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83</xdr:row>
      <xdr:rowOff>0</xdr:rowOff>
    </xdr:from>
    <xdr:to>
      <xdr:col>4</xdr:col>
      <xdr:colOff>76200</xdr:colOff>
      <xdr:row>84</xdr:row>
      <xdr:rowOff>0</xdr:rowOff>
    </xdr:to>
    <xdr:sp macro="" textlink="">
      <xdr:nvSpPr>
        <xdr:cNvPr id="1782" name="Text Box 2">
          <a:extLst>
            <a:ext uri="{FF2B5EF4-FFF2-40B4-BE49-F238E27FC236}">
              <a16:creationId xmlns:a16="http://schemas.microsoft.com/office/drawing/2014/main" id="{00000000-0008-0000-0300-0000F606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83</xdr:row>
      <xdr:rowOff>0</xdr:rowOff>
    </xdr:from>
    <xdr:to>
      <xdr:col>4</xdr:col>
      <xdr:colOff>76200</xdr:colOff>
      <xdr:row>84</xdr:row>
      <xdr:rowOff>0</xdr:rowOff>
    </xdr:to>
    <xdr:sp macro="" textlink="">
      <xdr:nvSpPr>
        <xdr:cNvPr id="1783" name="Text Box 1">
          <a:extLst>
            <a:ext uri="{FF2B5EF4-FFF2-40B4-BE49-F238E27FC236}">
              <a16:creationId xmlns:a16="http://schemas.microsoft.com/office/drawing/2014/main" id="{00000000-0008-0000-0300-0000F706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83</xdr:row>
      <xdr:rowOff>0</xdr:rowOff>
    </xdr:from>
    <xdr:to>
      <xdr:col>4</xdr:col>
      <xdr:colOff>76200</xdr:colOff>
      <xdr:row>84</xdr:row>
      <xdr:rowOff>0</xdr:rowOff>
    </xdr:to>
    <xdr:sp macro="" textlink="">
      <xdr:nvSpPr>
        <xdr:cNvPr id="1784" name="Text Box 1">
          <a:extLst>
            <a:ext uri="{FF2B5EF4-FFF2-40B4-BE49-F238E27FC236}">
              <a16:creationId xmlns:a16="http://schemas.microsoft.com/office/drawing/2014/main" id="{00000000-0008-0000-0300-0000F806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83</xdr:row>
      <xdr:rowOff>0</xdr:rowOff>
    </xdr:from>
    <xdr:to>
      <xdr:col>4</xdr:col>
      <xdr:colOff>76200</xdr:colOff>
      <xdr:row>84</xdr:row>
      <xdr:rowOff>0</xdr:rowOff>
    </xdr:to>
    <xdr:sp macro="" textlink="">
      <xdr:nvSpPr>
        <xdr:cNvPr id="1785" name="Text Box 1">
          <a:extLst>
            <a:ext uri="{FF2B5EF4-FFF2-40B4-BE49-F238E27FC236}">
              <a16:creationId xmlns:a16="http://schemas.microsoft.com/office/drawing/2014/main" id="{00000000-0008-0000-0300-0000F906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83</xdr:row>
      <xdr:rowOff>0</xdr:rowOff>
    </xdr:from>
    <xdr:to>
      <xdr:col>4</xdr:col>
      <xdr:colOff>76200</xdr:colOff>
      <xdr:row>84</xdr:row>
      <xdr:rowOff>0</xdr:rowOff>
    </xdr:to>
    <xdr:sp macro="" textlink="">
      <xdr:nvSpPr>
        <xdr:cNvPr id="1786" name="Text Box 2">
          <a:extLst>
            <a:ext uri="{FF2B5EF4-FFF2-40B4-BE49-F238E27FC236}">
              <a16:creationId xmlns:a16="http://schemas.microsoft.com/office/drawing/2014/main" id="{00000000-0008-0000-0300-0000FA06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83</xdr:row>
      <xdr:rowOff>0</xdr:rowOff>
    </xdr:from>
    <xdr:to>
      <xdr:col>4</xdr:col>
      <xdr:colOff>76200</xdr:colOff>
      <xdr:row>84</xdr:row>
      <xdr:rowOff>0</xdr:rowOff>
    </xdr:to>
    <xdr:sp macro="" textlink="">
      <xdr:nvSpPr>
        <xdr:cNvPr id="1787" name="Text Box 1">
          <a:extLst>
            <a:ext uri="{FF2B5EF4-FFF2-40B4-BE49-F238E27FC236}">
              <a16:creationId xmlns:a16="http://schemas.microsoft.com/office/drawing/2014/main" id="{00000000-0008-0000-0300-0000FB06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83</xdr:row>
      <xdr:rowOff>0</xdr:rowOff>
    </xdr:from>
    <xdr:to>
      <xdr:col>4</xdr:col>
      <xdr:colOff>76200</xdr:colOff>
      <xdr:row>84</xdr:row>
      <xdr:rowOff>0</xdr:rowOff>
    </xdr:to>
    <xdr:sp macro="" textlink="">
      <xdr:nvSpPr>
        <xdr:cNvPr id="1788" name="Text Box 1">
          <a:extLst>
            <a:ext uri="{FF2B5EF4-FFF2-40B4-BE49-F238E27FC236}">
              <a16:creationId xmlns:a16="http://schemas.microsoft.com/office/drawing/2014/main" id="{00000000-0008-0000-0300-0000FC06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83</xdr:row>
      <xdr:rowOff>0</xdr:rowOff>
    </xdr:from>
    <xdr:to>
      <xdr:col>4</xdr:col>
      <xdr:colOff>76200</xdr:colOff>
      <xdr:row>84</xdr:row>
      <xdr:rowOff>0</xdr:rowOff>
    </xdr:to>
    <xdr:sp macro="" textlink="">
      <xdr:nvSpPr>
        <xdr:cNvPr id="1789" name="Text Box 2">
          <a:extLst>
            <a:ext uri="{FF2B5EF4-FFF2-40B4-BE49-F238E27FC236}">
              <a16:creationId xmlns:a16="http://schemas.microsoft.com/office/drawing/2014/main" id="{00000000-0008-0000-0300-0000FD06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83</xdr:row>
      <xdr:rowOff>0</xdr:rowOff>
    </xdr:from>
    <xdr:to>
      <xdr:col>4</xdr:col>
      <xdr:colOff>76200</xdr:colOff>
      <xdr:row>84</xdr:row>
      <xdr:rowOff>0</xdr:rowOff>
    </xdr:to>
    <xdr:sp macro="" textlink="">
      <xdr:nvSpPr>
        <xdr:cNvPr id="1790" name="Text Box 1">
          <a:extLst>
            <a:ext uri="{FF2B5EF4-FFF2-40B4-BE49-F238E27FC236}">
              <a16:creationId xmlns:a16="http://schemas.microsoft.com/office/drawing/2014/main" id="{00000000-0008-0000-0300-0000FE06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83</xdr:row>
      <xdr:rowOff>0</xdr:rowOff>
    </xdr:from>
    <xdr:to>
      <xdr:col>4</xdr:col>
      <xdr:colOff>76200</xdr:colOff>
      <xdr:row>84</xdr:row>
      <xdr:rowOff>0</xdr:rowOff>
    </xdr:to>
    <xdr:sp macro="" textlink="">
      <xdr:nvSpPr>
        <xdr:cNvPr id="1791" name="Text Box 1">
          <a:extLst>
            <a:ext uri="{FF2B5EF4-FFF2-40B4-BE49-F238E27FC236}">
              <a16:creationId xmlns:a16="http://schemas.microsoft.com/office/drawing/2014/main" id="{00000000-0008-0000-0300-0000FF06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83</xdr:row>
      <xdr:rowOff>0</xdr:rowOff>
    </xdr:from>
    <xdr:to>
      <xdr:col>4</xdr:col>
      <xdr:colOff>76200</xdr:colOff>
      <xdr:row>84</xdr:row>
      <xdr:rowOff>0</xdr:rowOff>
    </xdr:to>
    <xdr:sp macro="" textlink="">
      <xdr:nvSpPr>
        <xdr:cNvPr id="1792" name="Text Box 1">
          <a:extLst>
            <a:ext uri="{FF2B5EF4-FFF2-40B4-BE49-F238E27FC236}">
              <a16:creationId xmlns:a16="http://schemas.microsoft.com/office/drawing/2014/main" id="{00000000-0008-0000-0300-00000007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83</xdr:row>
      <xdr:rowOff>0</xdr:rowOff>
    </xdr:from>
    <xdr:to>
      <xdr:col>4</xdr:col>
      <xdr:colOff>76200</xdr:colOff>
      <xdr:row>84</xdr:row>
      <xdr:rowOff>0</xdr:rowOff>
    </xdr:to>
    <xdr:sp macro="" textlink="">
      <xdr:nvSpPr>
        <xdr:cNvPr id="1793" name="Text Box 2">
          <a:extLst>
            <a:ext uri="{FF2B5EF4-FFF2-40B4-BE49-F238E27FC236}">
              <a16:creationId xmlns:a16="http://schemas.microsoft.com/office/drawing/2014/main" id="{00000000-0008-0000-0300-00000107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83</xdr:row>
      <xdr:rowOff>0</xdr:rowOff>
    </xdr:from>
    <xdr:to>
      <xdr:col>4</xdr:col>
      <xdr:colOff>76200</xdr:colOff>
      <xdr:row>84</xdr:row>
      <xdr:rowOff>0</xdr:rowOff>
    </xdr:to>
    <xdr:sp macro="" textlink="">
      <xdr:nvSpPr>
        <xdr:cNvPr id="1794" name="Text Box 1">
          <a:extLst>
            <a:ext uri="{FF2B5EF4-FFF2-40B4-BE49-F238E27FC236}">
              <a16:creationId xmlns:a16="http://schemas.microsoft.com/office/drawing/2014/main" id="{00000000-0008-0000-0300-00000207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83</xdr:row>
      <xdr:rowOff>0</xdr:rowOff>
    </xdr:from>
    <xdr:to>
      <xdr:col>4</xdr:col>
      <xdr:colOff>76200</xdr:colOff>
      <xdr:row>84</xdr:row>
      <xdr:rowOff>0</xdr:rowOff>
    </xdr:to>
    <xdr:sp macro="" textlink="">
      <xdr:nvSpPr>
        <xdr:cNvPr id="1795" name="Text Box 1">
          <a:extLst>
            <a:ext uri="{FF2B5EF4-FFF2-40B4-BE49-F238E27FC236}">
              <a16:creationId xmlns:a16="http://schemas.microsoft.com/office/drawing/2014/main" id="{00000000-0008-0000-0300-00000307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84</xdr:row>
      <xdr:rowOff>0</xdr:rowOff>
    </xdr:from>
    <xdr:to>
      <xdr:col>4</xdr:col>
      <xdr:colOff>76200</xdr:colOff>
      <xdr:row>85</xdr:row>
      <xdr:rowOff>0</xdr:rowOff>
    </xdr:to>
    <xdr:sp macro="" textlink="">
      <xdr:nvSpPr>
        <xdr:cNvPr id="1796" name="Text Box 1">
          <a:extLst>
            <a:ext uri="{FF2B5EF4-FFF2-40B4-BE49-F238E27FC236}">
              <a16:creationId xmlns:a16="http://schemas.microsoft.com/office/drawing/2014/main" id="{00000000-0008-0000-0300-00000407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84</xdr:row>
      <xdr:rowOff>0</xdr:rowOff>
    </xdr:from>
    <xdr:to>
      <xdr:col>4</xdr:col>
      <xdr:colOff>76200</xdr:colOff>
      <xdr:row>85</xdr:row>
      <xdr:rowOff>0</xdr:rowOff>
    </xdr:to>
    <xdr:sp macro="" textlink="">
      <xdr:nvSpPr>
        <xdr:cNvPr id="1797" name="Text Box 2">
          <a:extLst>
            <a:ext uri="{FF2B5EF4-FFF2-40B4-BE49-F238E27FC236}">
              <a16:creationId xmlns:a16="http://schemas.microsoft.com/office/drawing/2014/main" id="{00000000-0008-0000-0300-00000507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84</xdr:row>
      <xdr:rowOff>0</xdr:rowOff>
    </xdr:from>
    <xdr:to>
      <xdr:col>4</xdr:col>
      <xdr:colOff>76200</xdr:colOff>
      <xdr:row>85</xdr:row>
      <xdr:rowOff>0</xdr:rowOff>
    </xdr:to>
    <xdr:sp macro="" textlink="">
      <xdr:nvSpPr>
        <xdr:cNvPr id="1798" name="Text Box 1">
          <a:extLst>
            <a:ext uri="{FF2B5EF4-FFF2-40B4-BE49-F238E27FC236}">
              <a16:creationId xmlns:a16="http://schemas.microsoft.com/office/drawing/2014/main" id="{00000000-0008-0000-0300-00000607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84</xdr:row>
      <xdr:rowOff>0</xdr:rowOff>
    </xdr:from>
    <xdr:to>
      <xdr:col>4</xdr:col>
      <xdr:colOff>76200</xdr:colOff>
      <xdr:row>85</xdr:row>
      <xdr:rowOff>0</xdr:rowOff>
    </xdr:to>
    <xdr:sp macro="" textlink="">
      <xdr:nvSpPr>
        <xdr:cNvPr id="1799" name="Text Box 1">
          <a:extLst>
            <a:ext uri="{FF2B5EF4-FFF2-40B4-BE49-F238E27FC236}">
              <a16:creationId xmlns:a16="http://schemas.microsoft.com/office/drawing/2014/main" id="{00000000-0008-0000-0300-00000707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84</xdr:row>
      <xdr:rowOff>0</xdr:rowOff>
    </xdr:from>
    <xdr:to>
      <xdr:col>4</xdr:col>
      <xdr:colOff>76200</xdr:colOff>
      <xdr:row>85</xdr:row>
      <xdr:rowOff>0</xdr:rowOff>
    </xdr:to>
    <xdr:sp macro="" textlink="">
      <xdr:nvSpPr>
        <xdr:cNvPr id="1800" name="Text Box 1">
          <a:extLst>
            <a:ext uri="{FF2B5EF4-FFF2-40B4-BE49-F238E27FC236}">
              <a16:creationId xmlns:a16="http://schemas.microsoft.com/office/drawing/2014/main" id="{00000000-0008-0000-0300-00000807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84</xdr:row>
      <xdr:rowOff>0</xdr:rowOff>
    </xdr:from>
    <xdr:to>
      <xdr:col>4</xdr:col>
      <xdr:colOff>76200</xdr:colOff>
      <xdr:row>85</xdr:row>
      <xdr:rowOff>0</xdr:rowOff>
    </xdr:to>
    <xdr:sp macro="" textlink="">
      <xdr:nvSpPr>
        <xdr:cNvPr id="1801" name="Text Box 2">
          <a:extLst>
            <a:ext uri="{FF2B5EF4-FFF2-40B4-BE49-F238E27FC236}">
              <a16:creationId xmlns:a16="http://schemas.microsoft.com/office/drawing/2014/main" id="{00000000-0008-0000-0300-00000907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84</xdr:row>
      <xdr:rowOff>0</xdr:rowOff>
    </xdr:from>
    <xdr:to>
      <xdr:col>4</xdr:col>
      <xdr:colOff>76200</xdr:colOff>
      <xdr:row>85</xdr:row>
      <xdr:rowOff>0</xdr:rowOff>
    </xdr:to>
    <xdr:sp macro="" textlink="">
      <xdr:nvSpPr>
        <xdr:cNvPr id="1802" name="Text Box 1">
          <a:extLst>
            <a:ext uri="{FF2B5EF4-FFF2-40B4-BE49-F238E27FC236}">
              <a16:creationId xmlns:a16="http://schemas.microsoft.com/office/drawing/2014/main" id="{00000000-0008-0000-0300-00000A07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84</xdr:row>
      <xdr:rowOff>0</xdr:rowOff>
    </xdr:from>
    <xdr:to>
      <xdr:col>4</xdr:col>
      <xdr:colOff>76200</xdr:colOff>
      <xdr:row>85</xdr:row>
      <xdr:rowOff>0</xdr:rowOff>
    </xdr:to>
    <xdr:sp macro="" textlink="">
      <xdr:nvSpPr>
        <xdr:cNvPr id="1803" name="Text Box 1">
          <a:extLst>
            <a:ext uri="{FF2B5EF4-FFF2-40B4-BE49-F238E27FC236}">
              <a16:creationId xmlns:a16="http://schemas.microsoft.com/office/drawing/2014/main" id="{00000000-0008-0000-0300-00000B07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84</xdr:row>
      <xdr:rowOff>0</xdr:rowOff>
    </xdr:from>
    <xdr:to>
      <xdr:col>4</xdr:col>
      <xdr:colOff>76200</xdr:colOff>
      <xdr:row>85</xdr:row>
      <xdr:rowOff>0</xdr:rowOff>
    </xdr:to>
    <xdr:sp macro="" textlink="">
      <xdr:nvSpPr>
        <xdr:cNvPr id="1804" name="Text Box 1">
          <a:extLst>
            <a:ext uri="{FF2B5EF4-FFF2-40B4-BE49-F238E27FC236}">
              <a16:creationId xmlns:a16="http://schemas.microsoft.com/office/drawing/2014/main" id="{00000000-0008-0000-0300-00000C07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84</xdr:row>
      <xdr:rowOff>0</xdr:rowOff>
    </xdr:from>
    <xdr:to>
      <xdr:col>4</xdr:col>
      <xdr:colOff>76200</xdr:colOff>
      <xdr:row>85</xdr:row>
      <xdr:rowOff>0</xdr:rowOff>
    </xdr:to>
    <xdr:sp macro="" textlink="">
      <xdr:nvSpPr>
        <xdr:cNvPr id="1805" name="Text Box 2">
          <a:extLst>
            <a:ext uri="{FF2B5EF4-FFF2-40B4-BE49-F238E27FC236}">
              <a16:creationId xmlns:a16="http://schemas.microsoft.com/office/drawing/2014/main" id="{00000000-0008-0000-0300-00000D07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84</xdr:row>
      <xdr:rowOff>0</xdr:rowOff>
    </xdr:from>
    <xdr:to>
      <xdr:col>4</xdr:col>
      <xdr:colOff>76200</xdr:colOff>
      <xdr:row>85</xdr:row>
      <xdr:rowOff>0</xdr:rowOff>
    </xdr:to>
    <xdr:sp macro="" textlink="">
      <xdr:nvSpPr>
        <xdr:cNvPr id="1806" name="Text Box 1">
          <a:extLst>
            <a:ext uri="{FF2B5EF4-FFF2-40B4-BE49-F238E27FC236}">
              <a16:creationId xmlns:a16="http://schemas.microsoft.com/office/drawing/2014/main" id="{00000000-0008-0000-0300-00000E07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84</xdr:row>
      <xdr:rowOff>0</xdr:rowOff>
    </xdr:from>
    <xdr:to>
      <xdr:col>4</xdr:col>
      <xdr:colOff>76200</xdr:colOff>
      <xdr:row>85</xdr:row>
      <xdr:rowOff>0</xdr:rowOff>
    </xdr:to>
    <xdr:sp macro="" textlink="">
      <xdr:nvSpPr>
        <xdr:cNvPr id="1807" name="Text Box 1">
          <a:extLst>
            <a:ext uri="{FF2B5EF4-FFF2-40B4-BE49-F238E27FC236}">
              <a16:creationId xmlns:a16="http://schemas.microsoft.com/office/drawing/2014/main" id="{00000000-0008-0000-0300-00000F07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84</xdr:row>
      <xdr:rowOff>0</xdr:rowOff>
    </xdr:from>
    <xdr:to>
      <xdr:col>4</xdr:col>
      <xdr:colOff>76200</xdr:colOff>
      <xdr:row>85</xdr:row>
      <xdr:rowOff>0</xdr:rowOff>
    </xdr:to>
    <xdr:sp macro="" textlink="">
      <xdr:nvSpPr>
        <xdr:cNvPr id="1808" name="Text Box 1">
          <a:extLst>
            <a:ext uri="{FF2B5EF4-FFF2-40B4-BE49-F238E27FC236}">
              <a16:creationId xmlns:a16="http://schemas.microsoft.com/office/drawing/2014/main" id="{00000000-0008-0000-0300-00001007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84</xdr:row>
      <xdr:rowOff>0</xdr:rowOff>
    </xdr:from>
    <xdr:to>
      <xdr:col>4</xdr:col>
      <xdr:colOff>76200</xdr:colOff>
      <xdr:row>85</xdr:row>
      <xdr:rowOff>0</xdr:rowOff>
    </xdr:to>
    <xdr:sp macro="" textlink="">
      <xdr:nvSpPr>
        <xdr:cNvPr id="1809" name="Text Box 2">
          <a:extLst>
            <a:ext uri="{FF2B5EF4-FFF2-40B4-BE49-F238E27FC236}">
              <a16:creationId xmlns:a16="http://schemas.microsoft.com/office/drawing/2014/main" id="{00000000-0008-0000-0300-00001107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84</xdr:row>
      <xdr:rowOff>0</xdr:rowOff>
    </xdr:from>
    <xdr:to>
      <xdr:col>4</xdr:col>
      <xdr:colOff>76200</xdr:colOff>
      <xdr:row>85</xdr:row>
      <xdr:rowOff>0</xdr:rowOff>
    </xdr:to>
    <xdr:sp macro="" textlink="">
      <xdr:nvSpPr>
        <xdr:cNvPr id="1810" name="Text Box 1">
          <a:extLst>
            <a:ext uri="{FF2B5EF4-FFF2-40B4-BE49-F238E27FC236}">
              <a16:creationId xmlns:a16="http://schemas.microsoft.com/office/drawing/2014/main" id="{00000000-0008-0000-0300-00001207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84</xdr:row>
      <xdr:rowOff>0</xdr:rowOff>
    </xdr:from>
    <xdr:to>
      <xdr:col>4</xdr:col>
      <xdr:colOff>76200</xdr:colOff>
      <xdr:row>85</xdr:row>
      <xdr:rowOff>0</xdr:rowOff>
    </xdr:to>
    <xdr:sp macro="" textlink="">
      <xdr:nvSpPr>
        <xdr:cNvPr id="1811" name="Text Box 1">
          <a:extLst>
            <a:ext uri="{FF2B5EF4-FFF2-40B4-BE49-F238E27FC236}">
              <a16:creationId xmlns:a16="http://schemas.microsoft.com/office/drawing/2014/main" id="{00000000-0008-0000-0300-00001307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84</xdr:row>
      <xdr:rowOff>0</xdr:rowOff>
    </xdr:from>
    <xdr:to>
      <xdr:col>4</xdr:col>
      <xdr:colOff>76200</xdr:colOff>
      <xdr:row>85</xdr:row>
      <xdr:rowOff>0</xdr:rowOff>
    </xdr:to>
    <xdr:sp macro="" textlink="">
      <xdr:nvSpPr>
        <xdr:cNvPr id="1812" name="Text Box 2">
          <a:extLst>
            <a:ext uri="{FF2B5EF4-FFF2-40B4-BE49-F238E27FC236}">
              <a16:creationId xmlns:a16="http://schemas.microsoft.com/office/drawing/2014/main" id="{00000000-0008-0000-0300-00001407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84</xdr:row>
      <xdr:rowOff>0</xdr:rowOff>
    </xdr:from>
    <xdr:to>
      <xdr:col>4</xdr:col>
      <xdr:colOff>76200</xdr:colOff>
      <xdr:row>85</xdr:row>
      <xdr:rowOff>0</xdr:rowOff>
    </xdr:to>
    <xdr:sp macro="" textlink="">
      <xdr:nvSpPr>
        <xdr:cNvPr id="1813" name="Text Box 1">
          <a:extLst>
            <a:ext uri="{FF2B5EF4-FFF2-40B4-BE49-F238E27FC236}">
              <a16:creationId xmlns:a16="http://schemas.microsoft.com/office/drawing/2014/main" id="{00000000-0008-0000-0300-00001507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84</xdr:row>
      <xdr:rowOff>0</xdr:rowOff>
    </xdr:from>
    <xdr:to>
      <xdr:col>4</xdr:col>
      <xdr:colOff>76200</xdr:colOff>
      <xdr:row>85</xdr:row>
      <xdr:rowOff>0</xdr:rowOff>
    </xdr:to>
    <xdr:sp macro="" textlink="">
      <xdr:nvSpPr>
        <xdr:cNvPr id="1814" name="Text Box 1">
          <a:extLst>
            <a:ext uri="{FF2B5EF4-FFF2-40B4-BE49-F238E27FC236}">
              <a16:creationId xmlns:a16="http://schemas.microsoft.com/office/drawing/2014/main" id="{00000000-0008-0000-0300-00001607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84</xdr:row>
      <xdr:rowOff>0</xdr:rowOff>
    </xdr:from>
    <xdr:to>
      <xdr:col>4</xdr:col>
      <xdr:colOff>76200</xdr:colOff>
      <xdr:row>85</xdr:row>
      <xdr:rowOff>0</xdr:rowOff>
    </xdr:to>
    <xdr:sp macro="" textlink="">
      <xdr:nvSpPr>
        <xdr:cNvPr id="1815" name="Text Box 1">
          <a:extLst>
            <a:ext uri="{FF2B5EF4-FFF2-40B4-BE49-F238E27FC236}">
              <a16:creationId xmlns:a16="http://schemas.microsoft.com/office/drawing/2014/main" id="{00000000-0008-0000-0300-00001707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84</xdr:row>
      <xdr:rowOff>0</xdr:rowOff>
    </xdr:from>
    <xdr:to>
      <xdr:col>4</xdr:col>
      <xdr:colOff>76200</xdr:colOff>
      <xdr:row>85</xdr:row>
      <xdr:rowOff>0</xdr:rowOff>
    </xdr:to>
    <xdr:sp macro="" textlink="">
      <xdr:nvSpPr>
        <xdr:cNvPr id="1816" name="Text Box 2">
          <a:extLst>
            <a:ext uri="{FF2B5EF4-FFF2-40B4-BE49-F238E27FC236}">
              <a16:creationId xmlns:a16="http://schemas.microsoft.com/office/drawing/2014/main" id="{00000000-0008-0000-0300-00001807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84</xdr:row>
      <xdr:rowOff>0</xdr:rowOff>
    </xdr:from>
    <xdr:to>
      <xdr:col>4</xdr:col>
      <xdr:colOff>76200</xdr:colOff>
      <xdr:row>85</xdr:row>
      <xdr:rowOff>0</xdr:rowOff>
    </xdr:to>
    <xdr:sp macro="" textlink="">
      <xdr:nvSpPr>
        <xdr:cNvPr id="1817" name="Text Box 1">
          <a:extLst>
            <a:ext uri="{FF2B5EF4-FFF2-40B4-BE49-F238E27FC236}">
              <a16:creationId xmlns:a16="http://schemas.microsoft.com/office/drawing/2014/main" id="{00000000-0008-0000-0300-00001907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84</xdr:row>
      <xdr:rowOff>0</xdr:rowOff>
    </xdr:from>
    <xdr:to>
      <xdr:col>4</xdr:col>
      <xdr:colOff>76200</xdr:colOff>
      <xdr:row>85</xdr:row>
      <xdr:rowOff>0</xdr:rowOff>
    </xdr:to>
    <xdr:sp macro="" textlink="">
      <xdr:nvSpPr>
        <xdr:cNvPr id="1818" name="Text Box 1">
          <a:extLst>
            <a:ext uri="{FF2B5EF4-FFF2-40B4-BE49-F238E27FC236}">
              <a16:creationId xmlns:a16="http://schemas.microsoft.com/office/drawing/2014/main" id="{00000000-0008-0000-0300-00001A07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85</xdr:row>
      <xdr:rowOff>0</xdr:rowOff>
    </xdr:from>
    <xdr:to>
      <xdr:col>4</xdr:col>
      <xdr:colOff>76200</xdr:colOff>
      <xdr:row>86</xdr:row>
      <xdr:rowOff>0</xdr:rowOff>
    </xdr:to>
    <xdr:sp macro="" textlink="">
      <xdr:nvSpPr>
        <xdr:cNvPr id="1819" name="Text Box 1">
          <a:extLst>
            <a:ext uri="{FF2B5EF4-FFF2-40B4-BE49-F238E27FC236}">
              <a16:creationId xmlns:a16="http://schemas.microsoft.com/office/drawing/2014/main" id="{00000000-0008-0000-0300-00001B07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85</xdr:row>
      <xdr:rowOff>0</xdr:rowOff>
    </xdr:from>
    <xdr:to>
      <xdr:col>4</xdr:col>
      <xdr:colOff>76200</xdr:colOff>
      <xdr:row>86</xdr:row>
      <xdr:rowOff>0</xdr:rowOff>
    </xdr:to>
    <xdr:sp macro="" textlink="">
      <xdr:nvSpPr>
        <xdr:cNvPr id="1820" name="Text Box 2">
          <a:extLst>
            <a:ext uri="{FF2B5EF4-FFF2-40B4-BE49-F238E27FC236}">
              <a16:creationId xmlns:a16="http://schemas.microsoft.com/office/drawing/2014/main" id="{00000000-0008-0000-0300-00001C07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85</xdr:row>
      <xdr:rowOff>0</xdr:rowOff>
    </xdr:from>
    <xdr:to>
      <xdr:col>4</xdr:col>
      <xdr:colOff>76200</xdr:colOff>
      <xdr:row>86</xdr:row>
      <xdr:rowOff>0</xdr:rowOff>
    </xdr:to>
    <xdr:sp macro="" textlink="">
      <xdr:nvSpPr>
        <xdr:cNvPr id="1821" name="Text Box 1">
          <a:extLst>
            <a:ext uri="{FF2B5EF4-FFF2-40B4-BE49-F238E27FC236}">
              <a16:creationId xmlns:a16="http://schemas.microsoft.com/office/drawing/2014/main" id="{00000000-0008-0000-0300-00001D07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85</xdr:row>
      <xdr:rowOff>0</xdr:rowOff>
    </xdr:from>
    <xdr:to>
      <xdr:col>4</xdr:col>
      <xdr:colOff>76200</xdr:colOff>
      <xdr:row>86</xdr:row>
      <xdr:rowOff>0</xdr:rowOff>
    </xdr:to>
    <xdr:sp macro="" textlink="">
      <xdr:nvSpPr>
        <xdr:cNvPr id="1822" name="Text Box 1">
          <a:extLst>
            <a:ext uri="{FF2B5EF4-FFF2-40B4-BE49-F238E27FC236}">
              <a16:creationId xmlns:a16="http://schemas.microsoft.com/office/drawing/2014/main" id="{00000000-0008-0000-0300-00001E07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85</xdr:row>
      <xdr:rowOff>0</xdr:rowOff>
    </xdr:from>
    <xdr:to>
      <xdr:col>4</xdr:col>
      <xdr:colOff>76200</xdr:colOff>
      <xdr:row>86</xdr:row>
      <xdr:rowOff>0</xdr:rowOff>
    </xdr:to>
    <xdr:sp macro="" textlink="">
      <xdr:nvSpPr>
        <xdr:cNvPr id="1823" name="Text Box 1">
          <a:extLst>
            <a:ext uri="{FF2B5EF4-FFF2-40B4-BE49-F238E27FC236}">
              <a16:creationId xmlns:a16="http://schemas.microsoft.com/office/drawing/2014/main" id="{00000000-0008-0000-0300-00001F07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85</xdr:row>
      <xdr:rowOff>0</xdr:rowOff>
    </xdr:from>
    <xdr:to>
      <xdr:col>4</xdr:col>
      <xdr:colOff>76200</xdr:colOff>
      <xdr:row>86</xdr:row>
      <xdr:rowOff>0</xdr:rowOff>
    </xdr:to>
    <xdr:sp macro="" textlink="">
      <xdr:nvSpPr>
        <xdr:cNvPr id="1824" name="Text Box 2">
          <a:extLst>
            <a:ext uri="{FF2B5EF4-FFF2-40B4-BE49-F238E27FC236}">
              <a16:creationId xmlns:a16="http://schemas.microsoft.com/office/drawing/2014/main" id="{00000000-0008-0000-0300-00002007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85</xdr:row>
      <xdr:rowOff>0</xdr:rowOff>
    </xdr:from>
    <xdr:to>
      <xdr:col>4</xdr:col>
      <xdr:colOff>76200</xdr:colOff>
      <xdr:row>86</xdr:row>
      <xdr:rowOff>0</xdr:rowOff>
    </xdr:to>
    <xdr:sp macro="" textlink="">
      <xdr:nvSpPr>
        <xdr:cNvPr id="1825" name="Text Box 1">
          <a:extLst>
            <a:ext uri="{FF2B5EF4-FFF2-40B4-BE49-F238E27FC236}">
              <a16:creationId xmlns:a16="http://schemas.microsoft.com/office/drawing/2014/main" id="{00000000-0008-0000-0300-00002107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85</xdr:row>
      <xdr:rowOff>0</xdr:rowOff>
    </xdr:from>
    <xdr:to>
      <xdr:col>4</xdr:col>
      <xdr:colOff>76200</xdr:colOff>
      <xdr:row>86</xdr:row>
      <xdr:rowOff>0</xdr:rowOff>
    </xdr:to>
    <xdr:sp macro="" textlink="">
      <xdr:nvSpPr>
        <xdr:cNvPr id="1826" name="Text Box 1">
          <a:extLst>
            <a:ext uri="{FF2B5EF4-FFF2-40B4-BE49-F238E27FC236}">
              <a16:creationId xmlns:a16="http://schemas.microsoft.com/office/drawing/2014/main" id="{00000000-0008-0000-0300-00002207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85</xdr:row>
      <xdr:rowOff>0</xdr:rowOff>
    </xdr:from>
    <xdr:to>
      <xdr:col>4</xdr:col>
      <xdr:colOff>76200</xdr:colOff>
      <xdr:row>86</xdr:row>
      <xdr:rowOff>0</xdr:rowOff>
    </xdr:to>
    <xdr:sp macro="" textlink="">
      <xdr:nvSpPr>
        <xdr:cNvPr id="1827" name="Text Box 1">
          <a:extLst>
            <a:ext uri="{FF2B5EF4-FFF2-40B4-BE49-F238E27FC236}">
              <a16:creationId xmlns:a16="http://schemas.microsoft.com/office/drawing/2014/main" id="{00000000-0008-0000-0300-00002307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85</xdr:row>
      <xdr:rowOff>0</xdr:rowOff>
    </xdr:from>
    <xdr:to>
      <xdr:col>4</xdr:col>
      <xdr:colOff>76200</xdr:colOff>
      <xdr:row>86</xdr:row>
      <xdr:rowOff>0</xdr:rowOff>
    </xdr:to>
    <xdr:sp macro="" textlink="">
      <xdr:nvSpPr>
        <xdr:cNvPr id="1828" name="Text Box 2">
          <a:extLst>
            <a:ext uri="{FF2B5EF4-FFF2-40B4-BE49-F238E27FC236}">
              <a16:creationId xmlns:a16="http://schemas.microsoft.com/office/drawing/2014/main" id="{00000000-0008-0000-0300-00002407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85</xdr:row>
      <xdr:rowOff>0</xdr:rowOff>
    </xdr:from>
    <xdr:to>
      <xdr:col>4</xdr:col>
      <xdr:colOff>76200</xdr:colOff>
      <xdr:row>86</xdr:row>
      <xdr:rowOff>0</xdr:rowOff>
    </xdr:to>
    <xdr:sp macro="" textlink="">
      <xdr:nvSpPr>
        <xdr:cNvPr id="1829" name="Text Box 1">
          <a:extLst>
            <a:ext uri="{FF2B5EF4-FFF2-40B4-BE49-F238E27FC236}">
              <a16:creationId xmlns:a16="http://schemas.microsoft.com/office/drawing/2014/main" id="{00000000-0008-0000-0300-00002507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85</xdr:row>
      <xdr:rowOff>0</xdr:rowOff>
    </xdr:from>
    <xdr:to>
      <xdr:col>4</xdr:col>
      <xdr:colOff>76200</xdr:colOff>
      <xdr:row>86</xdr:row>
      <xdr:rowOff>0</xdr:rowOff>
    </xdr:to>
    <xdr:sp macro="" textlink="">
      <xdr:nvSpPr>
        <xdr:cNvPr id="1830" name="Text Box 1">
          <a:extLst>
            <a:ext uri="{FF2B5EF4-FFF2-40B4-BE49-F238E27FC236}">
              <a16:creationId xmlns:a16="http://schemas.microsoft.com/office/drawing/2014/main" id="{00000000-0008-0000-0300-00002607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85</xdr:row>
      <xdr:rowOff>0</xdr:rowOff>
    </xdr:from>
    <xdr:to>
      <xdr:col>4</xdr:col>
      <xdr:colOff>76200</xdr:colOff>
      <xdr:row>86</xdr:row>
      <xdr:rowOff>0</xdr:rowOff>
    </xdr:to>
    <xdr:sp macro="" textlink="">
      <xdr:nvSpPr>
        <xdr:cNvPr id="1831" name="Text Box 1">
          <a:extLst>
            <a:ext uri="{FF2B5EF4-FFF2-40B4-BE49-F238E27FC236}">
              <a16:creationId xmlns:a16="http://schemas.microsoft.com/office/drawing/2014/main" id="{00000000-0008-0000-0300-00002707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85</xdr:row>
      <xdr:rowOff>0</xdr:rowOff>
    </xdr:from>
    <xdr:to>
      <xdr:col>4</xdr:col>
      <xdr:colOff>76200</xdr:colOff>
      <xdr:row>86</xdr:row>
      <xdr:rowOff>0</xdr:rowOff>
    </xdr:to>
    <xdr:sp macro="" textlink="">
      <xdr:nvSpPr>
        <xdr:cNvPr id="1832" name="Text Box 2">
          <a:extLst>
            <a:ext uri="{FF2B5EF4-FFF2-40B4-BE49-F238E27FC236}">
              <a16:creationId xmlns:a16="http://schemas.microsoft.com/office/drawing/2014/main" id="{00000000-0008-0000-0300-00002807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85</xdr:row>
      <xdr:rowOff>0</xdr:rowOff>
    </xdr:from>
    <xdr:to>
      <xdr:col>4</xdr:col>
      <xdr:colOff>76200</xdr:colOff>
      <xdr:row>86</xdr:row>
      <xdr:rowOff>0</xdr:rowOff>
    </xdr:to>
    <xdr:sp macro="" textlink="">
      <xdr:nvSpPr>
        <xdr:cNvPr id="1833" name="Text Box 1">
          <a:extLst>
            <a:ext uri="{FF2B5EF4-FFF2-40B4-BE49-F238E27FC236}">
              <a16:creationId xmlns:a16="http://schemas.microsoft.com/office/drawing/2014/main" id="{00000000-0008-0000-0300-00002907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85</xdr:row>
      <xdr:rowOff>0</xdr:rowOff>
    </xdr:from>
    <xdr:to>
      <xdr:col>4</xdr:col>
      <xdr:colOff>76200</xdr:colOff>
      <xdr:row>86</xdr:row>
      <xdr:rowOff>0</xdr:rowOff>
    </xdr:to>
    <xdr:sp macro="" textlink="">
      <xdr:nvSpPr>
        <xdr:cNvPr id="1834" name="Text Box 1">
          <a:extLst>
            <a:ext uri="{FF2B5EF4-FFF2-40B4-BE49-F238E27FC236}">
              <a16:creationId xmlns:a16="http://schemas.microsoft.com/office/drawing/2014/main" id="{00000000-0008-0000-0300-00002A07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85</xdr:row>
      <xdr:rowOff>0</xdr:rowOff>
    </xdr:from>
    <xdr:to>
      <xdr:col>4</xdr:col>
      <xdr:colOff>76200</xdr:colOff>
      <xdr:row>86</xdr:row>
      <xdr:rowOff>0</xdr:rowOff>
    </xdr:to>
    <xdr:sp macro="" textlink="">
      <xdr:nvSpPr>
        <xdr:cNvPr id="1835" name="Text Box 2">
          <a:extLst>
            <a:ext uri="{FF2B5EF4-FFF2-40B4-BE49-F238E27FC236}">
              <a16:creationId xmlns:a16="http://schemas.microsoft.com/office/drawing/2014/main" id="{00000000-0008-0000-0300-00002B07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85</xdr:row>
      <xdr:rowOff>0</xdr:rowOff>
    </xdr:from>
    <xdr:to>
      <xdr:col>4</xdr:col>
      <xdr:colOff>76200</xdr:colOff>
      <xdr:row>86</xdr:row>
      <xdr:rowOff>0</xdr:rowOff>
    </xdr:to>
    <xdr:sp macro="" textlink="">
      <xdr:nvSpPr>
        <xdr:cNvPr id="1836" name="Text Box 1">
          <a:extLst>
            <a:ext uri="{FF2B5EF4-FFF2-40B4-BE49-F238E27FC236}">
              <a16:creationId xmlns:a16="http://schemas.microsoft.com/office/drawing/2014/main" id="{00000000-0008-0000-0300-00002C07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85</xdr:row>
      <xdr:rowOff>0</xdr:rowOff>
    </xdr:from>
    <xdr:to>
      <xdr:col>4</xdr:col>
      <xdr:colOff>76200</xdr:colOff>
      <xdr:row>86</xdr:row>
      <xdr:rowOff>0</xdr:rowOff>
    </xdr:to>
    <xdr:sp macro="" textlink="">
      <xdr:nvSpPr>
        <xdr:cNvPr id="1837" name="Text Box 1">
          <a:extLst>
            <a:ext uri="{FF2B5EF4-FFF2-40B4-BE49-F238E27FC236}">
              <a16:creationId xmlns:a16="http://schemas.microsoft.com/office/drawing/2014/main" id="{00000000-0008-0000-0300-00002D07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85</xdr:row>
      <xdr:rowOff>0</xdr:rowOff>
    </xdr:from>
    <xdr:to>
      <xdr:col>4</xdr:col>
      <xdr:colOff>76200</xdr:colOff>
      <xdr:row>86</xdr:row>
      <xdr:rowOff>0</xdr:rowOff>
    </xdr:to>
    <xdr:sp macro="" textlink="">
      <xdr:nvSpPr>
        <xdr:cNvPr id="1838" name="Text Box 1">
          <a:extLst>
            <a:ext uri="{FF2B5EF4-FFF2-40B4-BE49-F238E27FC236}">
              <a16:creationId xmlns:a16="http://schemas.microsoft.com/office/drawing/2014/main" id="{00000000-0008-0000-0300-00002E07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85</xdr:row>
      <xdr:rowOff>0</xdr:rowOff>
    </xdr:from>
    <xdr:to>
      <xdr:col>4</xdr:col>
      <xdr:colOff>76200</xdr:colOff>
      <xdr:row>86</xdr:row>
      <xdr:rowOff>0</xdr:rowOff>
    </xdr:to>
    <xdr:sp macro="" textlink="">
      <xdr:nvSpPr>
        <xdr:cNvPr id="1839" name="Text Box 2">
          <a:extLst>
            <a:ext uri="{FF2B5EF4-FFF2-40B4-BE49-F238E27FC236}">
              <a16:creationId xmlns:a16="http://schemas.microsoft.com/office/drawing/2014/main" id="{00000000-0008-0000-0300-00002F07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85</xdr:row>
      <xdr:rowOff>0</xdr:rowOff>
    </xdr:from>
    <xdr:to>
      <xdr:col>4</xdr:col>
      <xdr:colOff>76200</xdr:colOff>
      <xdr:row>86</xdr:row>
      <xdr:rowOff>0</xdr:rowOff>
    </xdr:to>
    <xdr:sp macro="" textlink="">
      <xdr:nvSpPr>
        <xdr:cNvPr id="1840" name="Text Box 1">
          <a:extLst>
            <a:ext uri="{FF2B5EF4-FFF2-40B4-BE49-F238E27FC236}">
              <a16:creationId xmlns:a16="http://schemas.microsoft.com/office/drawing/2014/main" id="{00000000-0008-0000-0300-00003007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85</xdr:row>
      <xdr:rowOff>0</xdr:rowOff>
    </xdr:from>
    <xdr:to>
      <xdr:col>4</xdr:col>
      <xdr:colOff>76200</xdr:colOff>
      <xdr:row>86</xdr:row>
      <xdr:rowOff>0</xdr:rowOff>
    </xdr:to>
    <xdr:sp macro="" textlink="">
      <xdr:nvSpPr>
        <xdr:cNvPr id="1841" name="Text Box 1">
          <a:extLst>
            <a:ext uri="{FF2B5EF4-FFF2-40B4-BE49-F238E27FC236}">
              <a16:creationId xmlns:a16="http://schemas.microsoft.com/office/drawing/2014/main" id="{00000000-0008-0000-0300-00003107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86</xdr:row>
      <xdr:rowOff>0</xdr:rowOff>
    </xdr:from>
    <xdr:to>
      <xdr:col>4</xdr:col>
      <xdr:colOff>76200</xdr:colOff>
      <xdr:row>87</xdr:row>
      <xdr:rowOff>0</xdr:rowOff>
    </xdr:to>
    <xdr:sp macro="" textlink="">
      <xdr:nvSpPr>
        <xdr:cNvPr id="1842" name="Text Box 1">
          <a:extLst>
            <a:ext uri="{FF2B5EF4-FFF2-40B4-BE49-F238E27FC236}">
              <a16:creationId xmlns:a16="http://schemas.microsoft.com/office/drawing/2014/main" id="{00000000-0008-0000-0300-00003207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86</xdr:row>
      <xdr:rowOff>0</xdr:rowOff>
    </xdr:from>
    <xdr:to>
      <xdr:col>4</xdr:col>
      <xdr:colOff>76200</xdr:colOff>
      <xdr:row>87</xdr:row>
      <xdr:rowOff>0</xdr:rowOff>
    </xdr:to>
    <xdr:sp macro="" textlink="">
      <xdr:nvSpPr>
        <xdr:cNvPr id="1843" name="Text Box 2">
          <a:extLst>
            <a:ext uri="{FF2B5EF4-FFF2-40B4-BE49-F238E27FC236}">
              <a16:creationId xmlns:a16="http://schemas.microsoft.com/office/drawing/2014/main" id="{00000000-0008-0000-0300-00003307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86</xdr:row>
      <xdr:rowOff>0</xdr:rowOff>
    </xdr:from>
    <xdr:to>
      <xdr:col>4</xdr:col>
      <xdr:colOff>76200</xdr:colOff>
      <xdr:row>87</xdr:row>
      <xdr:rowOff>0</xdr:rowOff>
    </xdr:to>
    <xdr:sp macro="" textlink="">
      <xdr:nvSpPr>
        <xdr:cNvPr id="1844" name="Text Box 1">
          <a:extLst>
            <a:ext uri="{FF2B5EF4-FFF2-40B4-BE49-F238E27FC236}">
              <a16:creationId xmlns:a16="http://schemas.microsoft.com/office/drawing/2014/main" id="{00000000-0008-0000-0300-00003407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86</xdr:row>
      <xdr:rowOff>0</xdr:rowOff>
    </xdr:from>
    <xdr:to>
      <xdr:col>4</xdr:col>
      <xdr:colOff>76200</xdr:colOff>
      <xdr:row>87</xdr:row>
      <xdr:rowOff>0</xdr:rowOff>
    </xdr:to>
    <xdr:sp macro="" textlink="">
      <xdr:nvSpPr>
        <xdr:cNvPr id="1845" name="Text Box 1">
          <a:extLst>
            <a:ext uri="{FF2B5EF4-FFF2-40B4-BE49-F238E27FC236}">
              <a16:creationId xmlns:a16="http://schemas.microsoft.com/office/drawing/2014/main" id="{00000000-0008-0000-0300-00003507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86</xdr:row>
      <xdr:rowOff>0</xdr:rowOff>
    </xdr:from>
    <xdr:to>
      <xdr:col>4</xdr:col>
      <xdr:colOff>76200</xdr:colOff>
      <xdr:row>87</xdr:row>
      <xdr:rowOff>0</xdr:rowOff>
    </xdr:to>
    <xdr:sp macro="" textlink="">
      <xdr:nvSpPr>
        <xdr:cNvPr id="1846" name="Text Box 1">
          <a:extLst>
            <a:ext uri="{FF2B5EF4-FFF2-40B4-BE49-F238E27FC236}">
              <a16:creationId xmlns:a16="http://schemas.microsoft.com/office/drawing/2014/main" id="{00000000-0008-0000-0300-00003607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86</xdr:row>
      <xdr:rowOff>0</xdr:rowOff>
    </xdr:from>
    <xdr:to>
      <xdr:col>4</xdr:col>
      <xdr:colOff>76200</xdr:colOff>
      <xdr:row>87</xdr:row>
      <xdr:rowOff>0</xdr:rowOff>
    </xdr:to>
    <xdr:sp macro="" textlink="">
      <xdr:nvSpPr>
        <xdr:cNvPr id="1847" name="Text Box 2">
          <a:extLst>
            <a:ext uri="{FF2B5EF4-FFF2-40B4-BE49-F238E27FC236}">
              <a16:creationId xmlns:a16="http://schemas.microsoft.com/office/drawing/2014/main" id="{00000000-0008-0000-0300-00003707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86</xdr:row>
      <xdr:rowOff>0</xdr:rowOff>
    </xdr:from>
    <xdr:to>
      <xdr:col>4</xdr:col>
      <xdr:colOff>76200</xdr:colOff>
      <xdr:row>87</xdr:row>
      <xdr:rowOff>0</xdr:rowOff>
    </xdr:to>
    <xdr:sp macro="" textlink="">
      <xdr:nvSpPr>
        <xdr:cNvPr id="1848" name="Text Box 1">
          <a:extLst>
            <a:ext uri="{FF2B5EF4-FFF2-40B4-BE49-F238E27FC236}">
              <a16:creationId xmlns:a16="http://schemas.microsoft.com/office/drawing/2014/main" id="{00000000-0008-0000-0300-00003807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86</xdr:row>
      <xdr:rowOff>0</xdr:rowOff>
    </xdr:from>
    <xdr:to>
      <xdr:col>4</xdr:col>
      <xdr:colOff>76200</xdr:colOff>
      <xdr:row>87</xdr:row>
      <xdr:rowOff>0</xdr:rowOff>
    </xdr:to>
    <xdr:sp macro="" textlink="">
      <xdr:nvSpPr>
        <xdr:cNvPr id="1849" name="Text Box 1">
          <a:extLst>
            <a:ext uri="{FF2B5EF4-FFF2-40B4-BE49-F238E27FC236}">
              <a16:creationId xmlns:a16="http://schemas.microsoft.com/office/drawing/2014/main" id="{00000000-0008-0000-0300-00003907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86</xdr:row>
      <xdr:rowOff>0</xdr:rowOff>
    </xdr:from>
    <xdr:to>
      <xdr:col>4</xdr:col>
      <xdr:colOff>76200</xdr:colOff>
      <xdr:row>87</xdr:row>
      <xdr:rowOff>0</xdr:rowOff>
    </xdr:to>
    <xdr:sp macro="" textlink="">
      <xdr:nvSpPr>
        <xdr:cNvPr id="1850" name="Text Box 1">
          <a:extLst>
            <a:ext uri="{FF2B5EF4-FFF2-40B4-BE49-F238E27FC236}">
              <a16:creationId xmlns:a16="http://schemas.microsoft.com/office/drawing/2014/main" id="{00000000-0008-0000-0300-00003A07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86</xdr:row>
      <xdr:rowOff>0</xdr:rowOff>
    </xdr:from>
    <xdr:to>
      <xdr:col>4</xdr:col>
      <xdr:colOff>76200</xdr:colOff>
      <xdr:row>87</xdr:row>
      <xdr:rowOff>0</xdr:rowOff>
    </xdr:to>
    <xdr:sp macro="" textlink="">
      <xdr:nvSpPr>
        <xdr:cNvPr id="1851" name="Text Box 2">
          <a:extLst>
            <a:ext uri="{FF2B5EF4-FFF2-40B4-BE49-F238E27FC236}">
              <a16:creationId xmlns:a16="http://schemas.microsoft.com/office/drawing/2014/main" id="{00000000-0008-0000-0300-00003B07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86</xdr:row>
      <xdr:rowOff>0</xdr:rowOff>
    </xdr:from>
    <xdr:to>
      <xdr:col>4</xdr:col>
      <xdr:colOff>76200</xdr:colOff>
      <xdr:row>87</xdr:row>
      <xdr:rowOff>0</xdr:rowOff>
    </xdr:to>
    <xdr:sp macro="" textlink="">
      <xdr:nvSpPr>
        <xdr:cNvPr id="1852" name="Text Box 1">
          <a:extLst>
            <a:ext uri="{FF2B5EF4-FFF2-40B4-BE49-F238E27FC236}">
              <a16:creationId xmlns:a16="http://schemas.microsoft.com/office/drawing/2014/main" id="{00000000-0008-0000-0300-00003C07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86</xdr:row>
      <xdr:rowOff>0</xdr:rowOff>
    </xdr:from>
    <xdr:to>
      <xdr:col>4</xdr:col>
      <xdr:colOff>76200</xdr:colOff>
      <xdr:row>87</xdr:row>
      <xdr:rowOff>0</xdr:rowOff>
    </xdr:to>
    <xdr:sp macro="" textlink="">
      <xdr:nvSpPr>
        <xdr:cNvPr id="1853" name="Text Box 1">
          <a:extLst>
            <a:ext uri="{FF2B5EF4-FFF2-40B4-BE49-F238E27FC236}">
              <a16:creationId xmlns:a16="http://schemas.microsoft.com/office/drawing/2014/main" id="{00000000-0008-0000-0300-00003D07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86</xdr:row>
      <xdr:rowOff>0</xdr:rowOff>
    </xdr:from>
    <xdr:to>
      <xdr:col>4</xdr:col>
      <xdr:colOff>76200</xdr:colOff>
      <xdr:row>87</xdr:row>
      <xdr:rowOff>0</xdr:rowOff>
    </xdr:to>
    <xdr:sp macro="" textlink="">
      <xdr:nvSpPr>
        <xdr:cNvPr id="1854" name="Text Box 1">
          <a:extLst>
            <a:ext uri="{FF2B5EF4-FFF2-40B4-BE49-F238E27FC236}">
              <a16:creationId xmlns:a16="http://schemas.microsoft.com/office/drawing/2014/main" id="{00000000-0008-0000-0300-00003E07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86</xdr:row>
      <xdr:rowOff>0</xdr:rowOff>
    </xdr:from>
    <xdr:to>
      <xdr:col>4</xdr:col>
      <xdr:colOff>76200</xdr:colOff>
      <xdr:row>87</xdr:row>
      <xdr:rowOff>0</xdr:rowOff>
    </xdr:to>
    <xdr:sp macro="" textlink="">
      <xdr:nvSpPr>
        <xdr:cNvPr id="1855" name="Text Box 2">
          <a:extLst>
            <a:ext uri="{FF2B5EF4-FFF2-40B4-BE49-F238E27FC236}">
              <a16:creationId xmlns:a16="http://schemas.microsoft.com/office/drawing/2014/main" id="{00000000-0008-0000-0300-00003F07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86</xdr:row>
      <xdr:rowOff>0</xdr:rowOff>
    </xdr:from>
    <xdr:to>
      <xdr:col>4</xdr:col>
      <xdr:colOff>76200</xdr:colOff>
      <xdr:row>87</xdr:row>
      <xdr:rowOff>0</xdr:rowOff>
    </xdr:to>
    <xdr:sp macro="" textlink="">
      <xdr:nvSpPr>
        <xdr:cNvPr id="1856" name="Text Box 1">
          <a:extLst>
            <a:ext uri="{FF2B5EF4-FFF2-40B4-BE49-F238E27FC236}">
              <a16:creationId xmlns:a16="http://schemas.microsoft.com/office/drawing/2014/main" id="{00000000-0008-0000-0300-00004007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86</xdr:row>
      <xdr:rowOff>0</xdr:rowOff>
    </xdr:from>
    <xdr:to>
      <xdr:col>4</xdr:col>
      <xdr:colOff>76200</xdr:colOff>
      <xdr:row>87</xdr:row>
      <xdr:rowOff>0</xdr:rowOff>
    </xdr:to>
    <xdr:sp macro="" textlink="">
      <xdr:nvSpPr>
        <xdr:cNvPr id="1857" name="Text Box 1">
          <a:extLst>
            <a:ext uri="{FF2B5EF4-FFF2-40B4-BE49-F238E27FC236}">
              <a16:creationId xmlns:a16="http://schemas.microsoft.com/office/drawing/2014/main" id="{00000000-0008-0000-0300-00004107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86</xdr:row>
      <xdr:rowOff>0</xdr:rowOff>
    </xdr:from>
    <xdr:to>
      <xdr:col>4</xdr:col>
      <xdr:colOff>76200</xdr:colOff>
      <xdr:row>87</xdr:row>
      <xdr:rowOff>0</xdr:rowOff>
    </xdr:to>
    <xdr:sp macro="" textlink="">
      <xdr:nvSpPr>
        <xdr:cNvPr id="1858" name="Text Box 2">
          <a:extLst>
            <a:ext uri="{FF2B5EF4-FFF2-40B4-BE49-F238E27FC236}">
              <a16:creationId xmlns:a16="http://schemas.microsoft.com/office/drawing/2014/main" id="{00000000-0008-0000-0300-00004207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86</xdr:row>
      <xdr:rowOff>0</xdr:rowOff>
    </xdr:from>
    <xdr:to>
      <xdr:col>4</xdr:col>
      <xdr:colOff>76200</xdr:colOff>
      <xdr:row>87</xdr:row>
      <xdr:rowOff>0</xdr:rowOff>
    </xdr:to>
    <xdr:sp macro="" textlink="">
      <xdr:nvSpPr>
        <xdr:cNvPr id="1859" name="Text Box 1">
          <a:extLst>
            <a:ext uri="{FF2B5EF4-FFF2-40B4-BE49-F238E27FC236}">
              <a16:creationId xmlns:a16="http://schemas.microsoft.com/office/drawing/2014/main" id="{00000000-0008-0000-0300-00004307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86</xdr:row>
      <xdr:rowOff>0</xdr:rowOff>
    </xdr:from>
    <xdr:to>
      <xdr:col>4</xdr:col>
      <xdr:colOff>76200</xdr:colOff>
      <xdr:row>87</xdr:row>
      <xdr:rowOff>0</xdr:rowOff>
    </xdr:to>
    <xdr:sp macro="" textlink="">
      <xdr:nvSpPr>
        <xdr:cNvPr id="1860" name="Text Box 1">
          <a:extLst>
            <a:ext uri="{FF2B5EF4-FFF2-40B4-BE49-F238E27FC236}">
              <a16:creationId xmlns:a16="http://schemas.microsoft.com/office/drawing/2014/main" id="{00000000-0008-0000-0300-00004407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86</xdr:row>
      <xdr:rowOff>0</xdr:rowOff>
    </xdr:from>
    <xdr:to>
      <xdr:col>4</xdr:col>
      <xdr:colOff>76200</xdr:colOff>
      <xdr:row>87</xdr:row>
      <xdr:rowOff>0</xdr:rowOff>
    </xdr:to>
    <xdr:sp macro="" textlink="">
      <xdr:nvSpPr>
        <xdr:cNvPr id="1861" name="Text Box 1">
          <a:extLst>
            <a:ext uri="{FF2B5EF4-FFF2-40B4-BE49-F238E27FC236}">
              <a16:creationId xmlns:a16="http://schemas.microsoft.com/office/drawing/2014/main" id="{00000000-0008-0000-0300-00004507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86</xdr:row>
      <xdr:rowOff>0</xdr:rowOff>
    </xdr:from>
    <xdr:to>
      <xdr:col>4</xdr:col>
      <xdr:colOff>76200</xdr:colOff>
      <xdr:row>87</xdr:row>
      <xdr:rowOff>0</xdr:rowOff>
    </xdr:to>
    <xdr:sp macro="" textlink="">
      <xdr:nvSpPr>
        <xdr:cNvPr id="1862" name="Text Box 2">
          <a:extLst>
            <a:ext uri="{FF2B5EF4-FFF2-40B4-BE49-F238E27FC236}">
              <a16:creationId xmlns:a16="http://schemas.microsoft.com/office/drawing/2014/main" id="{00000000-0008-0000-0300-00004607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86</xdr:row>
      <xdr:rowOff>0</xdr:rowOff>
    </xdr:from>
    <xdr:to>
      <xdr:col>4</xdr:col>
      <xdr:colOff>76200</xdr:colOff>
      <xdr:row>87</xdr:row>
      <xdr:rowOff>0</xdr:rowOff>
    </xdr:to>
    <xdr:sp macro="" textlink="">
      <xdr:nvSpPr>
        <xdr:cNvPr id="1863" name="Text Box 1">
          <a:extLst>
            <a:ext uri="{FF2B5EF4-FFF2-40B4-BE49-F238E27FC236}">
              <a16:creationId xmlns:a16="http://schemas.microsoft.com/office/drawing/2014/main" id="{00000000-0008-0000-0300-00004707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86</xdr:row>
      <xdr:rowOff>0</xdr:rowOff>
    </xdr:from>
    <xdr:to>
      <xdr:col>4</xdr:col>
      <xdr:colOff>76200</xdr:colOff>
      <xdr:row>87</xdr:row>
      <xdr:rowOff>0</xdr:rowOff>
    </xdr:to>
    <xdr:sp macro="" textlink="">
      <xdr:nvSpPr>
        <xdr:cNvPr id="1864" name="Text Box 1">
          <a:extLst>
            <a:ext uri="{FF2B5EF4-FFF2-40B4-BE49-F238E27FC236}">
              <a16:creationId xmlns:a16="http://schemas.microsoft.com/office/drawing/2014/main" id="{00000000-0008-0000-0300-00004807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6</xdr:row>
      <xdr:rowOff>0</xdr:rowOff>
    </xdr:from>
    <xdr:to>
      <xdr:col>4</xdr:col>
      <xdr:colOff>76200</xdr:colOff>
      <xdr:row>7</xdr:row>
      <xdr:rowOff>0</xdr:rowOff>
    </xdr:to>
    <xdr:sp macro="" textlink="">
      <xdr:nvSpPr>
        <xdr:cNvPr id="5857" name="Text Box 1">
          <a:extLst>
            <a:ext uri="{FF2B5EF4-FFF2-40B4-BE49-F238E27FC236}">
              <a16:creationId xmlns:a16="http://schemas.microsoft.com/office/drawing/2014/main" id="{00000000-0008-0000-0400-0000E1160000}"/>
            </a:ext>
          </a:extLst>
        </xdr:cNvPr>
        <xdr:cNvSpPr txBox="1">
          <a:spLocks noChangeArrowheads="1"/>
        </xdr:cNvSpPr>
      </xdr:nvSpPr>
      <xdr:spPr bwMode="auto">
        <a:xfrm>
          <a:off x="5810250" y="1200150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76200</xdr:colOff>
      <xdr:row>7</xdr:row>
      <xdr:rowOff>0</xdr:rowOff>
    </xdr:to>
    <xdr:sp macro="" textlink="">
      <xdr:nvSpPr>
        <xdr:cNvPr id="5858" name="Text Box 2">
          <a:extLst>
            <a:ext uri="{FF2B5EF4-FFF2-40B4-BE49-F238E27FC236}">
              <a16:creationId xmlns:a16="http://schemas.microsoft.com/office/drawing/2014/main" id="{00000000-0008-0000-0400-0000E2160000}"/>
            </a:ext>
          </a:extLst>
        </xdr:cNvPr>
        <xdr:cNvSpPr txBox="1">
          <a:spLocks noChangeArrowheads="1"/>
        </xdr:cNvSpPr>
      </xdr:nvSpPr>
      <xdr:spPr bwMode="auto">
        <a:xfrm>
          <a:off x="5810250" y="1200150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76200</xdr:colOff>
      <xdr:row>7</xdr:row>
      <xdr:rowOff>0</xdr:rowOff>
    </xdr:to>
    <xdr:sp macro="" textlink="">
      <xdr:nvSpPr>
        <xdr:cNvPr id="5859" name="Text Box 1">
          <a:extLst>
            <a:ext uri="{FF2B5EF4-FFF2-40B4-BE49-F238E27FC236}">
              <a16:creationId xmlns:a16="http://schemas.microsoft.com/office/drawing/2014/main" id="{00000000-0008-0000-0400-0000E3160000}"/>
            </a:ext>
          </a:extLst>
        </xdr:cNvPr>
        <xdr:cNvSpPr txBox="1">
          <a:spLocks noChangeArrowheads="1"/>
        </xdr:cNvSpPr>
      </xdr:nvSpPr>
      <xdr:spPr bwMode="auto">
        <a:xfrm>
          <a:off x="5810250" y="1200150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76200</xdr:colOff>
      <xdr:row>7</xdr:row>
      <xdr:rowOff>0</xdr:rowOff>
    </xdr:to>
    <xdr:sp macro="" textlink="">
      <xdr:nvSpPr>
        <xdr:cNvPr id="5860" name="Text Box 1">
          <a:extLst>
            <a:ext uri="{FF2B5EF4-FFF2-40B4-BE49-F238E27FC236}">
              <a16:creationId xmlns:a16="http://schemas.microsoft.com/office/drawing/2014/main" id="{00000000-0008-0000-0400-0000E4160000}"/>
            </a:ext>
          </a:extLst>
        </xdr:cNvPr>
        <xdr:cNvSpPr txBox="1">
          <a:spLocks noChangeArrowheads="1"/>
        </xdr:cNvSpPr>
      </xdr:nvSpPr>
      <xdr:spPr bwMode="auto">
        <a:xfrm>
          <a:off x="5810250" y="1200150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76200</xdr:colOff>
      <xdr:row>7</xdr:row>
      <xdr:rowOff>0</xdr:rowOff>
    </xdr:to>
    <xdr:sp macro="" textlink="">
      <xdr:nvSpPr>
        <xdr:cNvPr id="5861" name="Text Box 1">
          <a:extLst>
            <a:ext uri="{FF2B5EF4-FFF2-40B4-BE49-F238E27FC236}">
              <a16:creationId xmlns:a16="http://schemas.microsoft.com/office/drawing/2014/main" id="{00000000-0008-0000-0400-0000E5160000}"/>
            </a:ext>
          </a:extLst>
        </xdr:cNvPr>
        <xdr:cNvSpPr txBox="1">
          <a:spLocks noChangeArrowheads="1"/>
        </xdr:cNvSpPr>
      </xdr:nvSpPr>
      <xdr:spPr bwMode="auto">
        <a:xfrm>
          <a:off x="5810250" y="1200150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76200</xdr:colOff>
      <xdr:row>7</xdr:row>
      <xdr:rowOff>0</xdr:rowOff>
    </xdr:to>
    <xdr:sp macro="" textlink="">
      <xdr:nvSpPr>
        <xdr:cNvPr id="5862" name="Text Box 2">
          <a:extLst>
            <a:ext uri="{FF2B5EF4-FFF2-40B4-BE49-F238E27FC236}">
              <a16:creationId xmlns:a16="http://schemas.microsoft.com/office/drawing/2014/main" id="{00000000-0008-0000-0400-0000E6160000}"/>
            </a:ext>
          </a:extLst>
        </xdr:cNvPr>
        <xdr:cNvSpPr txBox="1">
          <a:spLocks noChangeArrowheads="1"/>
        </xdr:cNvSpPr>
      </xdr:nvSpPr>
      <xdr:spPr bwMode="auto">
        <a:xfrm>
          <a:off x="5810250" y="1200150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76200</xdr:colOff>
      <xdr:row>7</xdr:row>
      <xdr:rowOff>0</xdr:rowOff>
    </xdr:to>
    <xdr:sp macro="" textlink="">
      <xdr:nvSpPr>
        <xdr:cNvPr id="5863" name="Text Box 1">
          <a:extLst>
            <a:ext uri="{FF2B5EF4-FFF2-40B4-BE49-F238E27FC236}">
              <a16:creationId xmlns:a16="http://schemas.microsoft.com/office/drawing/2014/main" id="{00000000-0008-0000-0400-0000E7160000}"/>
            </a:ext>
          </a:extLst>
        </xdr:cNvPr>
        <xdr:cNvSpPr txBox="1">
          <a:spLocks noChangeArrowheads="1"/>
        </xdr:cNvSpPr>
      </xdr:nvSpPr>
      <xdr:spPr bwMode="auto">
        <a:xfrm>
          <a:off x="5810250" y="1200150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76200</xdr:colOff>
      <xdr:row>7</xdr:row>
      <xdr:rowOff>0</xdr:rowOff>
    </xdr:to>
    <xdr:sp macro="" textlink="">
      <xdr:nvSpPr>
        <xdr:cNvPr id="5864" name="Text Box 1">
          <a:extLst>
            <a:ext uri="{FF2B5EF4-FFF2-40B4-BE49-F238E27FC236}">
              <a16:creationId xmlns:a16="http://schemas.microsoft.com/office/drawing/2014/main" id="{00000000-0008-0000-0400-0000E8160000}"/>
            </a:ext>
          </a:extLst>
        </xdr:cNvPr>
        <xdr:cNvSpPr txBox="1">
          <a:spLocks noChangeArrowheads="1"/>
        </xdr:cNvSpPr>
      </xdr:nvSpPr>
      <xdr:spPr bwMode="auto">
        <a:xfrm>
          <a:off x="5810250" y="1200150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76200</xdr:colOff>
      <xdr:row>7</xdr:row>
      <xdr:rowOff>0</xdr:rowOff>
    </xdr:to>
    <xdr:sp macro="" textlink="">
      <xdr:nvSpPr>
        <xdr:cNvPr id="5865" name="Text Box 1">
          <a:extLst>
            <a:ext uri="{FF2B5EF4-FFF2-40B4-BE49-F238E27FC236}">
              <a16:creationId xmlns:a16="http://schemas.microsoft.com/office/drawing/2014/main" id="{00000000-0008-0000-0400-0000E9160000}"/>
            </a:ext>
          </a:extLst>
        </xdr:cNvPr>
        <xdr:cNvSpPr txBox="1">
          <a:spLocks noChangeArrowheads="1"/>
        </xdr:cNvSpPr>
      </xdr:nvSpPr>
      <xdr:spPr bwMode="auto">
        <a:xfrm>
          <a:off x="5810250" y="1200150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76200</xdr:colOff>
      <xdr:row>7</xdr:row>
      <xdr:rowOff>0</xdr:rowOff>
    </xdr:to>
    <xdr:sp macro="" textlink="">
      <xdr:nvSpPr>
        <xdr:cNvPr id="5866" name="Text Box 2">
          <a:extLst>
            <a:ext uri="{FF2B5EF4-FFF2-40B4-BE49-F238E27FC236}">
              <a16:creationId xmlns:a16="http://schemas.microsoft.com/office/drawing/2014/main" id="{00000000-0008-0000-0400-0000EA160000}"/>
            </a:ext>
          </a:extLst>
        </xdr:cNvPr>
        <xdr:cNvSpPr txBox="1">
          <a:spLocks noChangeArrowheads="1"/>
        </xdr:cNvSpPr>
      </xdr:nvSpPr>
      <xdr:spPr bwMode="auto">
        <a:xfrm>
          <a:off x="5810250" y="1200150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76200</xdr:colOff>
      <xdr:row>7</xdr:row>
      <xdr:rowOff>0</xdr:rowOff>
    </xdr:to>
    <xdr:sp macro="" textlink="">
      <xdr:nvSpPr>
        <xdr:cNvPr id="5867" name="Text Box 1">
          <a:extLst>
            <a:ext uri="{FF2B5EF4-FFF2-40B4-BE49-F238E27FC236}">
              <a16:creationId xmlns:a16="http://schemas.microsoft.com/office/drawing/2014/main" id="{00000000-0008-0000-0400-0000EB160000}"/>
            </a:ext>
          </a:extLst>
        </xdr:cNvPr>
        <xdr:cNvSpPr txBox="1">
          <a:spLocks noChangeArrowheads="1"/>
        </xdr:cNvSpPr>
      </xdr:nvSpPr>
      <xdr:spPr bwMode="auto">
        <a:xfrm>
          <a:off x="5810250" y="1200150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76200</xdr:colOff>
      <xdr:row>7</xdr:row>
      <xdr:rowOff>0</xdr:rowOff>
    </xdr:to>
    <xdr:sp macro="" textlink="">
      <xdr:nvSpPr>
        <xdr:cNvPr id="5868" name="Text Box 1">
          <a:extLst>
            <a:ext uri="{FF2B5EF4-FFF2-40B4-BE49-F238E27FC236}">
              <a16:creationId xmlns:a16="http://schemas.microsoft.com/office/drawing/2014/main" id="{00000000-0008-0000-0400-0000EC160000}"/>
            </a:ext>
          </a:extLst>
        </xdr:cNvPr>
        <xdr:cNvSpPr txBox="1">
          <a:spLocks noChangeArrowheads="1"/>
        </xdr:cNvSpPr>
      </xdr:nvSpPr>
      <xdr:spPr bwMode="auto">
        <a:xfrm>
          <a:off x="5810250" y="1200150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76200</xdr:colOff>
      <xdr:row>7</xdr:row>
      <xdr:rowOff>0</xdr:rowOff>
    </xdr:to>
    <xdr:sp macro="" textlink="">
      <xdr:nvSpPr>
        <xdr:cNvPr id="5869" name="Text Box 1">
          <a:extLst>
            <a:ext uri="{FF2B5EF4-FFF2-40B4-BE49-F238E27FC236}">
              <a16:creationId xmlns:a16="http://schemas.microsoft.com/office/drawing/2014/main" id="{00000000-0008-0000-0400-0000ED160000}"/>
            </a:ext>
          </a:extLst>
        </xdr:cNvPr>
        <xdr:cNvSpPr txBox="1">
          <a:spLocks noChangeArrowheads="1"/>
        </xdr:cNvSpPr>
      </xdr:nvSpPr>
      <xdr:spPr bwMode="auto">
        <a:xfrm>
          <a:off x="5810250" y="1200150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76200</xdr:colOff>
      <xdr:row>7</xdr:row>
      <xdr:rowOff>0</xdr:rowOff>
    </xdr:to>
    <xdr:sp macro="" textlink="">
      <xdr:nvSpPr>
        <xdr:cNvPr id="5870" name="Text Box 2">
          <a:extLst>
            <a:ext uri="{FF2B5EF4-FFF2-40B4-BE49-F238E27FC236}">
              <a16:creationId xmlns:a16="http://schemas.microsoft.com/office/drawing/2014/main" id="{00000000-0008-0000-0400-0000EE160000}"/>
            </a:ext>
          </a:extLst>
        </xdr:cNvPr>
        <xdr:cNvSpPr txBox="1">
          <a:spLocks noChangeArrowheads="1"/>
        </xdr:cNvSpPr>
      </xdr:nvSpPr>
      <xdr:spPr bwMode="auto">
        <a:xfrm>
          <a:off x="5810250" y="1200150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76200</xdr:colOff>
      <xdr:row>7</xdr:row>
      <xdr:rowOff>0</xdr:rowOff>
    </xdr:to>
    <xdr:sp macro="" textlink="">
      <xdr:nvSpPr>
        <xdr:cNvPr id="5871" name="Text Box 1">
          <a:extLst>
            <a:ext uri="{FF2B5EF4-FFF2-40B4-BE49-F238E27FC236}">
              <a16:creationId xmlns:a16="http://schemas.microsoft.com/office/drawing/2014/main" id="{00000000-0008-0000-0400-0000EF160000}"/>
            </a:ext>
          </a:extLst>
        </xdr:cNvPr>
        <xdr:cNvSpPr txBox="1">
          <a:spLocks noChangeArrowheads="1"/>
        </xdr:cNvSpPr>
      </xdr:nvSpPr>
      <xdr:spPr bwMode="auto">
        <a:xfrm>
          <a:off x="5810250" y="1200150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76200</xdr:colOff>
      <xdr:row>7</xdr:row>
      <xdr:rowOff>0</xdr:rowOff>
    </xdr:to>
    <xdr:sp macro="" textlink="">
      <xdr:nvSpPr>
        <xdr:cNvPr id="5872" name="Text Box 1">
          <a:extLst>
            <a:ext uri="{FF2B5EF4-FFF2-40B4-BE49-F238E27FC236}">
              <a16:creationId xmlns:a16="http://schemas.microsoft.com/office/drawing/2014/main" id="{00000000-0008-0000-0400-0000F0160000}"/>
            </a:ext>
          </a:extLst>
        </xdr:cNvPr>
        <xdr:cNvSpPr txBox="1">
          <a:spLocks noChangeArrowheads="1"/>
        </xdr:cNvSpPr>
      </xdr:nvSpPr>
      <xdr:spPr bwMode="auto">
        <a:xfrm>
          <a:off x="5810250" y="1200150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76200</xdr:colOff>
      <xdr:row>7</xdr:row>
      <xdr:rowOff>0</xdr:rowOff>
    </xdr:to>
    <xdr:sp macro="" textlink="">
      <xdr:nvSpPr>
        <xdr:cNvPr id="5873" name="Text Box 2">
          <a:extLst>
            <a:ext uri="{FF2B5EF4-FFF2-40B4-BE49-F238E27FC236}">
              <a16:creationId xmlns:a16="http://schemas.microsoft.com/office/drawing/2014/main" id="{00000000-0008-0000-0400-0000F1160000}"/>
            </a:ext>
          </a:extLst>
        </xdr:cNvPr>
        <xdr:cNvSpPr txBox="1">
          <a:spLocks noChangeArrowheads="1"/>
        </xdr:cNvSpPr>
      </xdr:nvSpPr>
      <xdr:spPr bwMode="auto">
        <a:xfrm>
          <a:off x="5810250" y="1200150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76200</xdr:colOff>
      <xdr:row>7</xdr:row>
      <xdr:rowOff>0</xdr:rowOff>
    </xdr:to>
    <xdr:sp macro="" textlink="">
      <xdr:nvSpPr>
        <xdr:cNvPr id="5874" name="Text Box 1">
          <a:extLst>
            <a:ext uri="{FF2B5EF4-FFF2-40B4-BE49-F238E27FC236}">
              <a16:creationId xmlns:a16="http://schemas.microsoft.com/office/drawing/2014/main" id="{00000000-0008-0000-0400-0000F2160000}"/>
            </a:ext>
          </a:extLst>
        </xdr:cNvPr>
        <xdr:cNvSpPr txBox="1">
          <a:spLocks noChangeArrowheads="1"/>
        </xdr:cNvSpPr>
      </xdr:nvSpPr>
      <xdr:spPr bwMode="auto">
        <a:xfrm>
          <a:off x="5810250" y="1200150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76200</xdr:colOff>
      <xdr:row>7</xdr:row>
      <xdr:rowOff>0</xdr:rowOff>
    </xdr:to>
    <xdr:sp macro="" textlink="">
      <xdr:nvSpPr>
        <xdr:cNvPr id="5875" name="Text Box 1">
          <a:extLst>
            <a:ext uri="{FF2B5EF4-FFF2-40B4-BE49-F238E27FC236}">
              <a16:creationId xmlns:a16="http://schemas.microsoft.com/office/drawing/2014/main" id="{00000000-0008-0000-0400-0000F3160000}"/>
            </a:ext>
          </a:extLst>
        </xdr:cNvPr>
        <xdr:cNvSpPr txBox="1">
          <a:spLocks noChangeArrowheads="1"/>
        </xdr:cNvSpPr>
      </xdr:nvSpPr>
      <xdr:spPr bwMode="auto">
        <a:xfrm>
          <a:off x="5810250" y="1200150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76200</xdr:colOff>
      <xdr:row>7</xdr:row>
      <xdr:rowOff>0</xdr:rowOff>
    </xdr:to>
    <xdr:sp macro="" textlink="">
      <xdr:nvSpPr>
        <xdr:cNvPr id="5876" name="Text Box 1">
          <a:extLst>
            <a:ext uri="{FF2B5EF4-FFF2-40B4-BE49-F238E27FC236}">
              <a16:creationId xmlns:a16="http://schemas.microsoft.com/office/drawing/2014/main" id="{00000000-0008-0000-0400-0000F4160000}"/>
            </a:ext>
          </a:extLst>
        </xdr:cNvPr>
        <xdr:cNvSpPr txBox="1">
          <a:spLocks noChangeArrowheads="1"/>
        </xdr:cNvSpPr>
      </xdr:nvSpPr>
      <xdr:spPr bwMode="auto">
        <a:xfrm>
          <a:off x="5810250" y="1200150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76200</xdr:colOff>
      <xdr:row>7</xdr:row>
      <xdr:rowOff>0</xdr:rowOff>
    </xdr:to>
    <xdr:sp macro="" textlink="">
      <xdr:nvSpPr>
        <xdr:cNvPr id="5877" name="Text Box 2">
          <a:extLst>
            <a:ext uri="{FF2B5EF4-FFF2-40B4-BE49-F238E27FC236}">
              <a16:creationId xmlns:a16="http://schemas.microsoft.com/office/drawing/2014/main" id="{00000000-0008-0000-0400-0000F5160000}"/>
            </a:ext>
          </a:extLst>
        </xdr:cNvPr>
        <xdr:cNvSpPr txBox="1">
          <a:spLocks noChangeArrowheads="1"/>
        </xdr:cNvSpPr>
      </xdr:nvSpPr>
      <xdr:spPr bwMode="auto">
        <a:xfrm>
          <a:off x="5810250" y="1200150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76200</xdr:colOff>
      <xdr:row>7</xdr:row>
      <xdr:rowOff>0</xdr:rowOff>
    </xdr:to>
    <xdr:sp macro="" textlink="">
      <xdr:nvSpPr>
        <xdr:cNvPr id="5878" name="Text Box 1">
          <a:extLst>
            <a:ext uri="{FF2B5EF4-FFF2-40B4-BE49-F238E27FC236}">
              <a16:creationId xmlns:a16="http://schemas.microsoft.com/office/drawing/2014/main" id="{00000000-0008-0000-0400-0000F6160000}"/>
            </a:ext>
          </a:extLst>
        </xdr:cNvPr>
        <xdr:cNvSpPr txBox="1">
          <a:spLocks noChangeArrowheads="1"/>
        </xdr:cNvSpPr>
      </xdr:nvSpPr>
      <xdr:spPr bwMode="auto">
        <a:xfrm>
          <a:off x="5810250" y="1200150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76200</xdr:colOff>
      <xdr:row>7</xdr:row>
      <xdr:rowOff>0</xdr:rowOff>
    </xdr:to>
    <xdr:sp macro="" textlink="">
      <xdr:nvSpPr>
        <xdr:cNvPr id="5879" name="Text Box 1">
          <a:extLst>
            <a:ext uri="{FF2B5EF4-FFF2-40B4-BE49-F238E27FC236}">
              <a16:creationId xmlns:a16="http://schemas.microsoft.com/office/drawing/2014/main" id="{00000000-0008-0000-0400-0000F7160000}"/>
            </a:ext>
          </a:extLst>
        </xdr:cNvPr>
        <xdr:cNvSpPr txBox="1">
          <a:spLocks noChangeArrowheads="1"/>
        </xdr:cNvSpPr>
      </xdr:nvSpPr>
      <xdr:spPr bwMode="auto">
        <a:xfrm>
          <a:off x="5810250" y="1200150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76200</xdr:colOff>
      <xdr:row>8</xdr:row>
      <xdr:rowOff>0</xdr:rowOff>
    </xdr:to>
    <xdr:sp macro="" textlink="">
      <xdr:nvSpPr>
        <xdr:cNvPr id="25" name="Text Box 1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76200</xdr:colOff>
      <xdr:row>8</xdr:row>
      <xdr:rowOff>0</xdr:rowOff>
    </xdr:to>
    <xdr:sp macro="" textlink="">
      <xdr:nvSpPr>
        <xdr:cNvPr id="26" name="Text Box 2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76200</xdr:colOff>
      <xdr:row>8</xdr:row>
      <xdr:rowOff>0</xdr:rowOff>
    </xdr:to>
    <xdr:sp macro="" textlink="">
      <xdr:nvSpPr>
        <xdr:cNvPr id="27" name="Text Box 1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76200</xdr:colOff>
      <xdr:row>8</xdr:row>
      <xdr:rowOff>0</xdr:rowOff>
    </xdr:to>
    <xdr:sp macro="" textlink="">
      <xdr:nvSpPr>
        <xdr:cNvPr id="28" name="Text Box 1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76200</xdr:colOff>
      <xdr:row>8</xdr:row>
      <xdr:rowOff>0</xdr:rowOff>
    </xdr:to>
    <xdr:sp macro="" textlink="">
      <xdr:nvSpPr>
        <xdr:cNvPr id="29" name="Text Box 1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76200</xdr:colOff>
      <xdr:row>8</xdr:row>
      <xdr:rowOff>0</xdr:rowOff>
    </xdr:to>
    <xdr:sp macro="" textlink="">
      <xdr:nvSpPr>
        <xdr:cNvPr id="30" name="Text Box 2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76200</xdr:colOff>
      <xdr:row>8</xdr:row>
      <xdr:rowOff>0</xdr:rowOff>
    </xdr:to>
    <xdr:sp macro="" textlink="">
      <xdr:nvSpPr>
        <xdr:cNvPr id="31" name="Text Box 1">
          <a:extLst>
            <a:ext uri="{FF2B5EF4-FFF2-40B4-BE49-F238E27FC236}">
              <a16:creationId xmlns:a16="http://schemas.microsoft.com/office/drawing/2014/main" id="{00000000-0008-0000-0400-00001F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76200</xdr:colOff>
      <xdr:row>8</xdr:row>
      <xdr:rowOff>0</xdr:rowOff>
    </xdr:to>
    <xdr:sp macro="" textlink="">
      <xdr:nvSpPr>
        <xdr:cNvPr id="32" name="Text Box 1">
          <a:extLst>
            <a:ext uri="{FF2B5EF4-FFF2-40B4-BE49-F238E27FC236}">
              <a16:creationId xmlns:a16="http://schemas.microsoft.com/office/drawing/2014/main" id="{00000000-0008-0000-0400-000020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76200</xdr:colOff>
      <xdr:row>8</xdr:row>
      <xdr:rowOff>0</xdr:rowOff>
    </xdr:to>
    <xdr:sp macro="" textlink="">
      <xdr:nvSpPr>
        <xdr:cNvPr id="33" name="Text Box 1">
          <a:extLst>
            <a:ext uri="{FF2B5EF4-FFF2-40B4-BE49-F238E27FC236}">
              <a16:creationId xmlns:a16="http://schemas.microsoft.com/office/drawing/2014/main" id="{00000000-0008-0000-0400-000021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76200</xdr:colOff>
      <xdr:row>8</xdr:row>
      <xdr:rowOff>0</xdr:rowOff>
    </xdr:to>
    <xdr:sp macro="" textlink="">
      <xdr:nvSpPr>
        <xdr:cNvPr id="34" name="Text Box 2">
          <a:extLst>
            <a:ext uri="{FF2B5EF4-FFF2-40B4-BE49-F238E27FC236}">
              <a16:creationId xmlns:a16="http://schemas.microsoft.com/office/drawing/2014/main" id="{00000000-0008-0000-0400-000022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76200</xdr:colOff>
      <xdr:row>8</xdr:row>
      <xdr:rowOff>0</xdr:rowOff>
    </xdr:to>
    <xdr:sp macro="" textlink="">
      <xdr:nvSpPr>
        <xdr:cNvPr id="35" name="Text Box 1">
          <a:extLst>
            <a:ext uri="{FF2B5EF4-FFF2-40B4-BE49-F238E27FC236}">
              <a16:creationId xmlns:a16="http://schemas.microsoft.com/office/drawing/2014/main" id="{00000000-0008-0000-0400-000023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76200</xdr:colOff>
      <xdr:row>8</xdr:row>
      <xdr:rowOff>0</xdr:rowOff>
    </xdr:to>
    <xdr:sp macro="" textlink="">
      <xdr:nvSpPr>
        <xdr:cNvPr id="36" name="Text Box 1">
          <a:extLst>
            <a:ext uri="{FF2B5EF4-FFF2-40B4-BE49-F238E27FC236}">
              <a16:creationId xmlns:a16="http://schemas.microsoft.com/office/drawing/2014/main" id="{00000000-0008-0000-0400-000024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76200</xdr:colOff>
      <xdr:row>8</xdr:row>
      <xdr:rowOff>0</xdr:rowOff>
    </xdr:to>
    <xdr:sp macro="" textlink="">
      <xdr:nvSpPr>
        <xdr:cNvPr id="37" name="Text Box 1">
          <a:extLst>
            <a:ext uri="{FF2B5EF4-FFF2-40B4-BE49-F238E27FC236}">
              <a16:creationId xmlns:a16="http://schemas.microsoft.com/office/drawing/2014/main" id="{00000000-0008-0000-0400-000025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76200</xdr:colOff>
      <xdr:row>8</xdr:row>
      <xdr:rowOff>0</xdr:rowOff>
    </xdr:to>
    <xdr:sp macro="" textlink="">
      <xdr:nvSpPr>
        <xdr:cNvPr id="38" name="Text Box 2">
          <a:extLst>
            <a:ext uri="{FF2B5EF4-FFF2-40B4-BE49-F238E27FC236}">
              <a16:creationId xmlns:a16="http://schemas.microsoft.com/office/drawing/2014/main" id="{00000000-0008-0000-0400-000026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76200</xdr:colOff>
      <xdr:row>8</xdr:row>
      <xdr:rowOff>0</xdr:rowOff>
    </xdr:to>
    <xdr:sp macro="" textlink="">
      <xdr:nvSpPr>
        <xdr:cNvPr id="39" name="Text Box 1">
          <a:extLst>
            <a:ext uri="{FF2B5EF4-FFF2-40B4-BE49-F238E27FC236}">
              <a16:creationId xmlns:a16="http://schemas.microsoft.com/office/drawing/2014/main" id="{00000000-0008-0000-0400-000027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76200</xdr:colOff>
      <xdr:row>8</xdr:row>
      <xdr:rowOff>0</xdr:rowOff>
    </xdr:to>
    <xdr:sp macro="" textlink="">
      <xdr:nvSpPr>
        <xdr:cNvPr id="40" name="Text Box 1">
          <a:extLst>
            <a:ext uri="{FF2B5EF4-FFF2-40B4-BE49-F238E27FC236}">
              <a16:creationId xmlns:a16="http://schemas.microsoft.com/office/drawing/2014/main" id="{00000000-0008-0000-0400-000028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76200</xdr:colOff>
      <xdr:row>8</xdr:row>
      <xdr:rowOff>0</xdr:rowOff>
    </xdr:to>
    <xdr:sp macro="" textlink="">
      <xdr:nvSpPr>
        <xdr:cNvPr id="41" name="Text Box 2">
          <a:extLst>
            <a:ext uri="{FF2B5EF4-FFF2-40B4-BE49-F238E27FC236}">
              <a16:creationId xmlns:a16="http://schemas.microsoft.com/office/drawing/2014/main" id="{00000000-0008-0000-0400-000029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76200</xdr:colOff>
      <xdr:row>8</xdr:row>
      <xdr:rowOff>0</xdr:rowOff>
    </xdr:to>
    <xdr:sp macro="" textlink="">
      <xdr:nvSpPr>
        <xdr:cNvPr id="42" name="Text Box 1">
          <a:extLst>
            <a:ext uri="{FF2B5EF4-FFF2-40B4-BE49-F238E27FC236}">
              <a16:creationId xmlns:a16="http://schemas.microsoft.com/office/drawing/2014/main" id="{00000000-0008-0000-0400-00002A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76200</xdr:colOff>
      <xdr:row>8</xdr:row>
      <xdr:rowOff>0</xdr:rowOff>
    </xdr:to>
    <xdr:sp macro="" textlink="">
      <xdr:nvSpPr>
        <xdr:cNvPr id="43" name="Text Box 1">
          <a:extLst>
            <a:ext uri="{FF2B5EF4-FFF2-40B4-BE49-F238E27FC236}">
              <a16:creationId xmlns:a16="http://schemas.microsoft.com/office/drawing/2014/main" id="{00000000-0008-0000-0400-00002B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76200</xdr:colOff>
      <xdr:row>8</xdr:row>
      <xdr:rowOff>0</xdr:rowOff>
    </xdr:to>
    <xdr:sp macro="" textlink="">
      <xdr:nvSpPr>
        <xdr:cNvPr id="44" name="Text Box 1">
          <a:extLst>
            <a:ext uri="{FF2B5EF4-FFF2-40B4-BE49-F238E27FC236}">
              <a16:creationId xmlns:a16="http://schemas.microsoft.com/office/drawing/2014/main" id="{00000000-0008-0000-0400-00002C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76200</xdr:colOff>
      <xdr:row>8</xdr:row>
      <xdr:rowOff>0</xdr:rowOff>
    </xdr:to>
    <xdr:sp macro="" textlink="">
      <xdr:nvSpPr>
        <xdr:cNvPr id="45" name="Text Box 2">
          <a:extLst>
            <a:ext uri="{FF2B5EF4-FFF2-40B4-BE49-F238E27FC236}">
              <a16:creationId xmlns:a16="http://schemas.microsoft.com/office/drawing/2014/main" id="{00000000-0008-0000-0400-00002D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76200</xdr:colOff>
      <xdr:row>8</xdr:row>
      <xdr:rowOff>0</xdr:rowOff>
    </xdr:to>
    <xdr:sp macro="" textlink="">
      <xdr:nvSpPr>
        <xdr:cNvPr id="46" name="Text Box 1">
          <a:extLst>
            <a:ext uri="{FF2B5EF4-FFF2-40B4-BE49-F238E27FC236}">
              <a16:creationId xmlns:a16="http://schemas.microsoft.com/office/drawing/2014/main" id="{00000000-0008-0000-0400-00002E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76200</xdr:colOff>
      <xdr:row>8</xdr:row>
      <xdr:rowOff>0</xdr:rowOff>
    </xdr:to>
    <xdr:sp macro="" textlink="">
      <xdr:nvSpPr>
        <xdr:cNvPr id="47" name="Text Box 1">
          <a:extLst>
            <a:ext uri="{FF2B5EF4-FFF2-40B4-BE49-F238E27FC236}">
              <a16:creationId xmlns:a16="http://schemas.microsoft.com/office/drawing/2014/main" id="{00000000-0008-0000-0400-00002F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8</xdr:row>
      <xdr:rowOff>0</xdr:rowOff>
    </xdr:from>
    <xdr:to>
      <xdr:col>4</xdr:col>
      <xdr:colOff>76200</xdr:colOff>
      <xdr:row>9</xdr:row>
      <xdr:rowOff>0</xdr:rowOff>
    </xdr:to>
    <xdr:sp macro="" textlink="">
      <xdr:nvSpPr>
        <xdr:cNvPr id="48" name="Text Box 1">
          <a:extLst>
            <a:ext uri="{FF2B5EF4-FFF2-40B4-BE49-F238E27FC236}">
              <a16:creationId xmlns:a16="http://schemas.microsoft.com/office/drawing/2014/main" id="{00000000-0008-0000-0400-000030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8</xdr:row>
      <xdr:rowOff>0</xdr:rowOff>
    </xdr:from>
    <xdr:to>
      <xdr:col>4</xdr:col>
      <xdr:colOff>76200</xdr:colOff>
      <xdr:row>9</xdr:row>
      <xdr:rowOff>0</xdr:rowOff>
    </xdr:to>
    <xdr:sp macro="" textlink="">
      <xdr:nvSpPr>
        <xdr:cNvPr id="49" name="Text Box 2">
          <a:extLst>
            <a:ext uri="{FF2B5EF4-FFF2-40B4-BE49-F238E27FC236}">
              <a16:creationId xmlns:a16="http://schemas.microsoft.com/office/drawing/2014/main" id="{00000000-0008-0000-0400-000031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8</xdr:row>
      <xdr:rowOff>0</xdr:rowOff>
    </xdr:from>
    <xdr:to>
      <xdr:col>4</xdr:col>
      <xdr:colOff>76200</xdr:colOff>
      <xdr:row>9</xdr:row>
      <xdr:rowOff>0</xdr:rowOff>
    </xdr:to>
    <xdr:sp macro="" textlink="">
      <xdr:nvSpPr>
        <xdr:cNvPr id="50" name="Text Box 1">
          <a:extLst>
            <a:ext uri="{FF2B5EF4-FFF2-40B4-BE49-F238E27FC236}">
              <a16:creationId xmlns:a16="http://schemas.microsoft.com/office/drawing/2014/main" id="{00000000-0008-0000-0400-000032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8</xdr:row>
      <xdr:rowOff>0</xdr:rowOff>
    </xdr:from>
    <xdr:to>
      <xdr:col>4</xdr:col>
      <xdr:colOff>76200</xdr:colOff>
      <xdr:row>9</xdr:row>
      <xdr:rowOff>0</xdr:rowOff>
    </xdr:to>
    <xdr:sp macro="" textlink="">
      <xdr:nvSpPr>
        <xdr:cNvPr id="51" name="Text Box 1">
          <a:extLst>
            <a:ext uri="{FF2B5EF4-FFF2-40B4-BE49-F238E27FC236}">
              <a16:creationId xmlns:a16="http://schemas.microsoft.com/office/drawing/2014/main" id="{00000000-0008-0000-0400-000033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8</xdr:row>
      <xdr:rowOff>0</xdr:rowOff>
    </xdr:from>
    <xdr:to>
      <xdr:col>4</xdr:col>
      <xdr:colOff>76200</xdr:colOff>
      <xdr:row>9</xdr:row>
      <xdr:rowOff>0</xdr:rowOff>
    </xdr:to>
    <xdr:sp macro="" textlink="">
      <xdr:nvSpPr>
        <xdr:cNvPr id="52" name="Text Box 1">
          <a:extLst>
            <a:ext uri="{FF2B5EF4-FFF2-40B4-BE49-F238E27FC236}">
              <a16:creationId xmlns:a16="http://schemas.microsoft.com/office/drawing/2014/main" id="{00000000-0008-0000-0400-000034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8</xdr:row>
      <xdr:rowOff>0</xdr:rowOff>
    </xdr:from>
    <xdr:to>
      <xdr:col>4</xdr:col>
      <xdr:colOff>76200</xdr:colOff>
      <xdr:row>9</xdr:row>
      <xdr:rowOff>0</xdr:rowOff>
    </xdr:to>
    <xdr:sp macro="" textlink="">
      <xdr:nvSpPr>
        <xdr:cNvPr id="53" name="Text Box 2">
          <a:extLst>
            <a:ext uri="{FF2B5EF4-FFF2-40B4-BE49-F238E27FC236}">
              <a16:creationId xmlns:a16="http://schemas.microsoft.com/office/drawing/2014/main" id="{00000000-0008-0000-0400-000035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8</xdr:row>
      <xdr:rowOff>0</xdr:rowOff>
    </xdr:from>
    <xdr:to>
      <xdr:col>4</xdr:col>
      <xdr:colOff>76200</xdr:colOff>
      <xdr:row>9</xdr:row>
      <xdr:rowOff>0</xdr:rowOff>
    </xdr:to>
    <xdr:sp macro="" textlink="">
      <xdr:nvSpPr>
        <xdr:cNvPr id="54" name="Text Box 1">
          <a:extLst>
            <a:ext uri="{FF2B5EF4-FFF2-40B4-BE49-F238E27FC236}">
              <a16:creationId xmlns:a16="http://schemas.microsoft.com/office/drawing/2014/main" id="{00000000-0008-0000-0400-000036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8</xdr:row>
      <xdr:rowOff>0</xdr:rowOff>
    </xdr:from>
    <xdr:to>
      <xdr:col>4</xdr:col>
      <xdr:colOff>76200</xdr:colOff>
      <xdr:row>9</xdr:row>
      <xdr:rowOff>0</xdr:rowOff>
    </xdr:to>
    <xdr:sp macro="" textlink="">
      <xdr:nvSpPr>
        <xdr:cNvPr id="55" name="Text Box 1">
          <a:extLst>
            <a:ext uri="{FF2B5EF4-FFF2-40B4-BE49-F238E27FC236}">
              <a16:creationId xmlns:a16="http://schemas.microsoft.com/office/drawing/2014/main" id="{00000000-0008-0000-0400-000037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8</xdr:row>
      <xdr:rowOff>0</xdr:rowOff>
    </xdr:from>
    <xdr:to>
      <xdr:col>4</xdr:col>
      <xdr:colOff>76200</xdr:colOff>
      <xdr:row>9</xdr:row>
      <xdr:rowOff>0</xdr:rowOff>
    </xdr:to>
    <xdr:sp macro="" textlink="">
      <xdr:nvSpPr>
        <xdr:cNvPr id="56" name="Text Box 1">
          <a:extLst>
            <a:ext uri="{FF2B5EF4-FFF2-40B4-BE49-F238E27FC236}">
              <a16:creationId xmlns:a16="http://schemas.microsoft.com/office/drawing/2014/main" id="{00000000-0008-0000-0400-000038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8</xdr:row>
      <xdr:rowOff>0</xdr:rowOff>
    </xdr:from>
    <xdr:to>
      <xdr:col>4</xdr:col>
      <xdr:colOff>76200</xdr:colOff>
      <xdr:row>9</xdr:row>
      <xdr:rowOff>0</xdr:rowOff>
    </xdr:to>
    <xdr:sp macro="" textlink="">
      <xdr:nvSpPr>
        <xdr:cNvPr id="57" name="Text Box 2">
          <a:extLst>
            <a:ext uri="{FF2B5EF4-FFF2-40B4-BE49-F238E27FC236}">
              <a16:creationId xmlns:a16="http://schemas.microsoft.com/office/drawing/2014/main" id="{00000000-0008-0000-0400-000039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8</xdr:row>
      <xdr:rowOff>0</xdr:rowOff>
    </xdr:from>
    <xdr:to>
      <xdr:col>4</xdr:col>
      <xdr:colOff>76200</xdr:colOff>
      <xdr:row>9</xdr:row>
      <xdr:rowOff>0</xdr:rowOff>
    </xdr:to>
    <xdr:sp macro="" textlink="">
      <xdr:nvSpPr>
        <xdr:cNvPr id="58" name="Text Box 1">
          <a:extLst>
            <a:ext uri="{FF2B5EF4-FFF2-40B4-BE49-F238E27FC236}">
              <a16:creationId xmlns:a16="http://schemas.microsoft.com/office/drawing/2014/main" id="{00000000-0008-0000-0400-00003A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8</xdr:row>
      <xdr:rowOff>0</xdr:rowOff>
    </xdr:from>
    <xdr:to>
      <xdr:col>4</xdr:col>
      <xdr:colOff>76200</xdr:colOff>
      <xdr:row>9</xdr:row>
      <xdr:rowOff>0</xdr:rowOff>
    </xdr:to>
    <xdr:sp macro="" textlink="">
      <xdr:nvSpPr>
        <xdr:cNvPr id="59" name="Text Box 1">
          <a:extLst>
            <a:ext uri="{FF2B5EF4-FFF2-40B4-BE49-F238E27FC236}">
              <a16:creationId xmlns:a16="http://schemas.microsoft.com/office/drawing/2014/main" id="{00000000-0008-0000-0400-00003B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8</xdr:row>
      <xdr:rowOff>0</xdr:rowOff>
    </xdr:from>
    <xdr:to>
      <xdr:col>4</xdr:col>
      <xdr:colOff>76200</xdr:colOff>
      <xdr:row>9</xdr:row>
      <xdr:rowOff>0</xdr:rowOff>
    </xdr:to>
    <xdr:sp macro="" textlink="">
      <xdr:nvSpPr>
        <xdr:cNvPr id="60" name="Text Box 1">
          <a:extLst>
            <a:ext uri="{FF2B5EF4-FFF2-40B4-BE49-F238E27FC236}">
              <a16:creationId xmlns:a16="http://schemas.microsoft.com/office/drawing/2014/main" id="{00000000-0008-0000-0400-00003C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8</xdr:row>
      <xdr:rowOff>0</xdr:rowOff>
    </xdr:from>
    <xdr:to>
      <xdr:col>4</xdr:col>
      <xdr:colOff>76200</xdr:colOff>
      <xdr:row>9</xdr:row>
      <xdr:rowOff>0</xdr:rowOff>
    </xdr:to>
    <xdr:sp macro="" textlink="">
      <xdr:nvSpPr>
        <xdr:cNvPr id="61" name="Text Box 2">
          <a:extLst>
            <a:ext uri="{FF2B5EF4-FFF2-40B4-BE49-F238E27FC236}">
              <a16:creationId xmlns:a16="http://schemas.microsoft.com/office/drawing/2014/main" id="{00000000-0008-0000-0400-00003D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8</xdr:row>
      <xdr:rowOff>0</xdr:rowOff>
    </xdr:from>
    <xdr:to>
      <xdr:col>4</xdr:col>
      <xdr:colOff>76200</xdr:colOff>
      <xdr:row>9</xdr:row>
      <xdr:rowOff>0</xdr:rowOff>
    </xdr:to>
    <xdr:sp macro="" textlink="">
      <xdr:nvSpPr>
        <xdr:cNvPr id="62" name="Text Box 1">
          <a:extLst>
            <a:ext uri="{FF2B5EF4-FFF2-40B4-BE49-F238E27FC236}">
              <a16:creationId xmlns:a16="http://schemas.microsoft.com/office/drawing/2014/main" id="{00000000-0008-0000-0400-00003E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8</xdr:row>
      <xdr:rowOff>0</xdr:rowOff>
    </xdr:from>
    <xdr:to>
      <xdr:col>4</xdr:col>
      <xdr:colOff>76200</xdr:colOff>
      <xdr:row>9</xdr:row>
      <xdr:rowOff>0</xdr:rowOff>
    </xdr:to>
    <xdr:sp macro="" textlink="">
      <xdr:nvSpPr>
        <xdr:cNvPr id="63" name="Text Box 1">
          <a:extLst>
            <a:ext uri="{FF2B5EF4-FFF2-40B4-BE49-F238E27FC236}">
              <a16:creationId xmlns:a16="http://schemas.microsoft.com/office/drawing/2014/main" id="{00000000-0008-0000-0400-00003F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8</xdr:row>
      <xdr:rowOff>0</xdr:rowOff>
    </xdr:from>
    <xdr:to>
      <xdr:col>4</xdr:col>
      <xdr:colOff>76200</xdr:colOff>
      <xdr:row>9</xdr:row>
      <xdr:rowOff>0</xdr:rowOff>
    </xdr:to>
    <xdr:sp macro="" textlink="">
      <xdr:nvSpPr>
        <xdr:cNvPr id="64" name="Text Box 2">
          <a:extLst>
            <a:ext uri="{FF2B5EF4-FFF2-40B4-BE49-F238E27FC236}">
              <a16:creationId xmlns:a16="http://schemas.microsoft.com/office/drawing/2014/main" id="{00000000-0008-0000-0400-000040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8</xdr:row>
      <xdr:rowOff>0</xdr:rowOff>
    </xdr:from>
    <xdr:to>
      <xdr:col>4</xdr:col>
      <xdr:colOff>76200</xdr:colOff>
      <xdr:row>9</xdr:row>
      <xdr:rowOff>0</xdr:rowOff>
    </xdr:to>
    <xdr:sp macro="" textlink="">
      <xdr:nvSpPr>
        <xdr:cNvPr id="65" name="Text Box 1">
          <a:extLst>
            <a:ext uri="{FF2B5EF4-FFF2-40B4-BE49-F238E27FC236}">
              <a16:creationId xmlns:a16="http://schemas.microsoft.com/office/drawing/2014/main" id="{00000000-0008-0000-0400-000041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8</xdr:row>
      <xdr:rowOff>0</xdr:rowOff>
    </xdr:from>
    <xdr:to>
      <xdr:col>4</xdr:col>
      <xdr:colOff>76200</xdr:colOff>
      <xdr:row>9</xdr:row>
      <xdr:rowOff>0</xdr:rowOff>
    </xdr:to>
    <xdr:sp macro="" textlink="">
      <xdr:nvSpPr>
        <xdr:cNvPr id="66" name="Text Box 1">
          <a:extLst>
            <a:ext uri="{FF2B5EF4-FFF2-40B4-BE49-F238E27FC236}">
              <a16:creationId xmlns:a16="http://schemas.microsoft.com/office/drawing/2014/main" id="{00000000-0008-0000-0400-000042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8</xdr:row>
      <xdr:rowOff>0</xdr:rowOff>
    </xdr:from>
    <xdr:to>
      <xdr:col>4</xdr:col>
      <xdr:colOff>76200</xdr:colOff>
      <xdr:row>9</xdr:row>
      <xdr:rowOff>0</xdr:rowOff>
    </xdr:to>
    <xdr:sp macro="" textlink="">
      <xdr:nvSpPr>
        <xdr:cNvPr id="67" name="Text Box 1">
          <a:extLst>
            <a:ext uri="{FF2B5EF4-FFF2-40B4-BE49-F238E27FC236}">
              <a16:creationId xmlns:a16="http://schemas.microsoft.com/office/drawing/2014/main" id="{00000000-0008-0000-0400-000043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8</xdr:row>
      <xdr:rowOff>0</xdr:rowOff>
    </xdr:from>
    <xdr:to>
      <xdr:col>4</xdr:col>
      <xdr:colOff>76200</xdr:colOff>
      <xdr:row>9</xdr:row>
      <xdr:rowOff>0</xdr:rowOff>
    </xdr:to>
    <xdr:sp macro="" textlink="">
      <xdr:nvSpPr>
        <xdr:cNvPr id="68" name="Text Box 2">
          <a:extLst>
            <a:ext uri="{FF2B5EF4-FFF2-40B4-BE49-F238E27FC236}">
              <a16:creationId xmlns:a16="http://schemas.microsoft.com/office/drawing/2014/main" id="{00000000-0008-0000-0400-000044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8</xdr:row>
      <xdr:rowOff>0</xdr:rowOff>
    </xdr:from>
    <xdr:to>
      <xdr:col>4</xdr:col>
      <xdr:colOff>76200</xdr:colOff>
      <xdr:row>9</xdr:row>
      <xdr:rowOff>0</xdr:rowOff>
    </xdr:to>
    <xdr:sp macro="" textlink="">
      <xdr:nvSpPr>
        <xdr:cNvPr id="69" name="Text Box 1">
          <a:extLst>
            <a:ext uri="{FF2B5EF4-FFF2-40B4-BE49-F238E27FC236}">
              <a16:creationId xmlns:a16="http://schemas.microsoft.com/office/drawing/2014/main" id="{00000000-0008-0000-0400-000045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8</xdr:row>
      <xdr:rowOff>0</xdr:rowOff>
    </xdr:from>
    <xdr:to>
      <xdr:col>4</xdr:col>
      <xdr:colOff>76200</xdr:colOff>
      <xdr:row>9</xdr:row>
      <xdr:rowOff>0</xdr:rowOff>
    </xdr:to>
    <xdr:sp macro="" textlink="">
      <xdr:nvSpPr>
        <xdr:cNvPr id="70" name="Text Box 1">
          <a:extLst>
            <a:ext uri="{FF2B5EF4-FFF2-40B4-BE49-F238E27FC236}">
              <a16:creationId xmlns:a16="http://schemas.microsoft.com/office/drawing/2014/main" id="{00000000-0008-0000-0400-000046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9</xdr:row>
      <xdr:rowOff>0</xdr:rowOff>
    </xdr:from>
    <xdr:to>
      <xdr:col>4</xdr:col>
      <xdr:colOff>76200</xdr:colOff>
      <xdr:row>10</xdr:row>
      <xdr:rowOff>0</xdr:rowOff>
    </xdr:to>
    <xdr:sp macro="" textlink="">
      <xdr:nvSpPr>
        <xdr:cNvPr id="71" name="Text Box 1">
          <a:extLst>
            <a:ext uri="{FF2B5EF4-FFF2-40B4-BE49-F238E27FC236}">
              <a16:creationId xmlns:a16="http://schemas.microsoft.com/office/drawing/2014/main" id="{00000000-0008-0000-0400-000047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9</xdr:row>
      <xdr:rowOff>0</xdr:rowOff>
    </xdr:from>
    <xdr:to>
      <xdr:col>4</xdr:col>
      <xdr:colOff>76200</xdr:colOff>
      <xdr:row>10</xdr:row>
      <xdr:rowOff>0</xdr:rowOff>
    </xdr:to>
    <xdr:sp macro="" textlink="">
      <xdr:nvSpPr>
        <xdr:cNvPr id="72" name="Text Box 2">
          <a:extLst>
            <a:ext uri="{FF2B5EF4-FFF2-40B4-BE49-F238E27FC236}">
              <a16:creationId xmlns:a16="http://schemas.microsoft.com/office/drawing/2014/main" id="{00000000-0008-0000-0400-000048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9</xdr:row>
      <xdr:rowOff>0</xdr:rowOff>
    </xdr:from>
    <xdr:to>
      <xdr:col>4</xdr:col>
      <xdr:colOff>76200</xdr:colOff>
      <xdr:row>10</xdr:row>
      <xdr:rowOff>0</xdr:rowOff>
    </xdr:to>
    <xdr:sp macro="" textlink="">
      <xdr:nvSpPr>
        <xdr:cNvPr id="73" name="Text Box 1">
          <a:extLst>
            <a:ext uri="{FF2B5EF4-FFF2-40B4-BE49-F238E27FC236}">
              <a16:creationId xmlns:a16="http://schemas.microsoft.com/office/drawing/2014/main" id="{00000000-0008-0000-0400-000049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9</xdr:row>
      <xdr:rowOff>0</xdr:rowOff>
    </xdr:from>
    <xdr:to>
      <xdr:col>4</xdr:col>
      <xdr:colOff>76200</xdr:colOff>
      <xdr:row>10</xdr:row>
      <xdr:rowOff>0</xdr:rowOff>
    </xdr:to>
    <xdr:sp macro="" textlink="">
      <xdr:nvSpPr>
        <xdr:cNvPr id="74" name="Text Box 1">
          <a:extLst>
            <a:ext uri="{FF2B5EF4-FFF2-40B4-BE49-F238E27FC236}">
              <a16:creationId xmlns:a16="http://schemas.microsoft.com/office/drawing/2014/main" id="{00000000-0008-0000-0400-00004A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9</xdr:row>
      <xdr:rowOff>0</xdr:rowOff>
    </xdr:from>
    <xdr:to>
      <xdr:col>4</xdr:col>
      <xdr:colOff>76200</xdr:colOff>
      <xdr:row>10</xdr:row>
      <xdr:rowOff>0</xdr:rowOff>
    </xdr:to>
    <xdr:sp macro="" textlink="">
      <xdr:nvSpPr>
        <xdr:cNvPr id="75" name="Text Box 1">
          <a:extLst>
            <a:ext uri="{FF2B5EF4-FFF2-40B4-BE49-F238E27FC236}">
              <a16:creationId xmlns:a16="http://schemas.microsoft.com/office/drawing/2014/main" id="{00000000-0008-0000-0400-00004B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9</xdr:row>
      <xdr:rowOff>0</xdr:rowOff>
    </xdr:from>
    <xdr:to>
      <xdr:col>4</xdr:col>
      <xdr:colOff>76200</xdr:colOff>
      <xdr:row>10</xdr:row>
      <xdr:rowOff>0</xdr:rowOff>
    </xdr:to>
    <xdr:sp macro="" textlink="">
      <xdr:nvSpPr>
        <xdr:cNvPr id="76" name="Text Box 2">
          <a:extLst>
            <a:ext uri="{FF2B5EF4-FFF2-40B4-BE49-F238E27FC236}">
              <a16:creationId xmlns:a16="http://schemas.microsoft.com/office/drawing/2014/main" id="{00000000-0008-0000-0400-00004C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9</xdr:row>
      <xdr:rowOff>0</xdr:rowOff>
    </xdr:from>
    <xdr:to>
      <xdr:col>4</xdr:col>
      <xdr:colOff>76200</xdr:colOff>
      <xdr:row>10</xdr:row>
      <xdr:rowOff>0</xdr:rowOff>
    </xdr:to>
    <xdr:sp macro="" textlink="">
      <xdr:nvSpPr>
        <xdr:cNvPr id="77" name="Text Box 1">
          <a:extLst>
            <a:ext uri="{FF2B5EF4-FFF2-40B4-BE49-F238E27FC236}">
              <a16:creationId xmlns:a16="http://schemas.microsoft.com/office/drawing/2014/main" id="{00000000-0008-0000-0400-00004D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9</xdr:row>
      <xdr:rowOff>0</xdr:rowOff>
    </xdr:from>
    <xdr:to>
      <xdr:col>4</xdr:col>
      <xdr:colOff>76200</xdr:colOff>
      <xdr:row>10</xdr:row>
      <xdr:rowOff>0</xdr:rowOff>
    </xdr:to>
    <xdr:sp macro="" textlink="">
      <xdr:nvSpPr>
        <xdr:cNvPr id="78" name="Text Box 1">
          <a:extLst>
            <a:ext uri="{FF2B5EF4-FFF2-40B4-BE49-F238E27FC236}">
              <a16:creationId xmlns:a16="http://schemas.microsoft.com/office/drawing/2014/main" id="{00000000-0008-0000-0400-00004E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9</xdr:row>
      <xdr:rowOff>0</xdr:rowOff>
    </xdr:from>
    <xdr:to>
      <xdr:col>4</xdr:col>
      <xdr:colOff>76200</xdr:colOff>
      <xdr:row>10</xdr:row>
      <xdr:rowOff>0</xdr:rowOff>
    </xdr:to>
    <xdr:sp macro="" textlink="">
      <xdr:nvSpPr>
        <xdr:cNvPr id="79" name="Text Box 1">
          <a:extLst>
            <a:ext uri="{FF2B5EF4-FFF2-40B4-BE49-F238E27FC236}">
              <a16:creationId xmlns:a16="http://schemas.microsoft.com/office/drawing/2014/main" id="{00000000-0008-0000-0400-00004F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9</xdr:row>
      <xdr:rowOff>0</xdr:rowOff>
    </xdr:from>
    <xdr:to>
      <xdr:col>4</xdr:col>
      <xdr:colOff>76200</xdr:colOff>
      <xdr:row>10</xdr:row>
      <xdr:rowOff>0</xdr:rowOff>
    </xdr:to>
    <xdr:sp macro="" textlink="">
      <xdr:nvSpPr>
        <xdr:cNvPr id="80" name="Text Box 2">
          <a:extLst>
            <a:ext uri="{FF2B5EF4-FFF2-40B4-BE49-F238E27FC236}">
              <a16:creationId xmlns:a16="http://schemas.microsoft.com/office/drawing/2014/main" id="{00000000-0008-0000-0400-000050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9</xdr:row>
      <xdr:rowOff>0</xdr:rowOff>
    </xdr:from>
    <xdr:to>
      <xdr:col>4</xdr:col>
      <xdr:colOff>76200</xdr:colOff>
      <xdr:row>10</xdr:row>
      <xdr:rowOff>0</xdr:rowOff>
    </xdr:to>
    <xdr:sp macro="" textlink="">
      <xdr:nvSpPr>
        <xdr:cNvPr id="81" name="Text Box 1">
          <a:extLst>
            <a:ext uri="{FF2B5EF4-FFF2-40B4-BE49-F238E27FC236}">
              <a16:creationId xmlns:a16="http://schemas.microsoft.com/office/drawing/2014/main" id="{00000000-0008-0000-0400-000051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9</xdr:row>
      <xdr:rowOff>0</xdr:rowOff>
    </xdr:from>
    <xdr:to>
      <xdr:col>4</xdr:col>
      <xdr:colOff>76200</xdr:colOff>
      <xdr:row>10</xdr:row>
      <xdr:rowOff>0</xdr:rowOff>
    </xdr:to>
    <xdr:sp macro="" textlink="">
      <xdr:nvSpPr>
        <xdr:cNvPr id="82" name="Text Box 1">
          <a:extLst>
            <a:ext uri="{FF2B5EF4-FFF2-40B4-BE49-F238E27FC236}">
              <a16:creationId xmlns:a16="http://schemas.microsoft.com/office/drawing/2014/main" id="{00000000-0008-0000-0400-000052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9</xdr:row>
      <xdr:rowOff>0</xdr:rowOff>
    </xdr:from>
    <xdr:to>
      <xdr:col>4</xdr:col>
      <xdr:colOff>76200</xdr:colOff>
      <xdr:row>10</xdr:row>
      <xdr:rowOff>0</xdr:rowOff>
    </xdr:to>
    <xdr:sp macro="" textlink="">
      <xdr:nvSpPr>
        <xdr:cNvPr id="83" name="Text Box 1">
          <a:extLst>
            <a:ext uri="{FF2B5EF4-FFF2-40B4-BE49-F238E27FC236}">
              <a16:creationId xmlns:a16="http://schemas.microsoft.com/office/drawing/2014/main" id="{00000000-0008-0000-0400-000053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9</xdr:row>
      <xdr:rowOff>0</xdr:rowOff>
    </xdr:from>
    <xdr:to>
      <xdr:col>4</xdr:col>
      <xdr:colOff>76200</xdr:colOff>
      <xdr:row>10</xdr:row>
      <xdr:rowOff>0</xdr:rowOff>
    </xdr:to>
    <xdr:sp macro="" textlink="">
      <xdr:nvSpPr>
        <xdr:cNvPr id="84" name="Text Box 2">
          <a:extLst>
            <a:ext uri="{FF2B5EF4-FFF2-40B4-BE49-F238E27FC236}">
              <a16:creationId xmlns:a16="http://schemas.microsoft.com/office/drawing/2014/main" id="{00000000-0008-0000-0400-000054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9</xdr:row>
      <xdr:rowOff>0</xdr:rowOff>
    </xdr:from>
    <xdr:to>
      <xdr:col>4</xdr:col>
      <xdr:colOff>76200</xdr:colOff>
      <xdr:row>10</xdr:row>
      <xdr:rowOff>0</xdr:rowOff>
    </xdr:to>
    <xdr:sp macro="" textlink="">
      <xdr:nvSpPr>
        <xdr:cNvPr id="85" name="Text Box 1">
          <a:extLst>
            <a:ext uri="{FF2B5EF4-FFF2-40B4-BE49-F238E27FC236}">
              <a16:creationId xmlns:a16="http://schemas.microsoft.com/office/drawing/2014/main" id="{00000000-0008-0000-0400-000055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9</xdr:row>
      <xdr:rowOff>0</xdr:rowOff>
    </xdr:from>
    <xdr:to>
      <xdr:col>4</xdr:col>
      <xdr:colOff>76200</xdr:colOff>
      <xdr:row>10</xdr:row>
      <xdr:rowOff>0</xdr:rowOff>
    </xdr:to>
    <xdr:sp macro="" textlink="">
      <xdr:nvSpPr>
        <xdr:cNvPr id="86" name="Text Box 1">
          <a:extLst>
            <a:ext uri="{FF2B5EF4-FFF2-40B4-BE49-F238E27FC236}">
              <a16:creationId xmlns:a16="http://schemas.microsoft.com/office/drawing/2014/main" id="{00000000-0008-0000-0400-000056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9</xdr:row>
      <xdr:rowOff>0</xdr:rowOff>
    </xdr:from>
    <xdr:to>
      <xdr:col>4</xdr:col>
      <xdr:colOff>76200</xdr:colOff>
      <xdr:row>10</xdr:row>
      <xdr:rowOff>0</xdr:rowOff>
    </xdr:to>
    <xdr:sp macro="" textlink="">
      <xdr:nvSpPr>
        <xdr:cNvPr id="87" name="Text Box 2">
          <a:extLst>
            <a:ext uri="{FF2B5EF4-FFF2-40B4-BE49-F238E27FC236}">
              <a16:creationId xmlns:a16="http://schemas.microsoft.com/office/drawing/2014/main" id="{00000000-0008-0000-0400-000057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9</xdr:row>
      <xdr:rowOff>0</xdr:rowOff>
    </xdr:from>
    <xdr:to>
      <xdr:col>4</xdr:col>
      <xdr:colOff>76200</xdr:colOff>
      <xdr:row>10</xdr:row>
      <xdr:rowOff>0</xdr:rowOff>
    </xdr:to>
    <xdr:sp macro="" textlink="">
      <xdr:nvSpPr>
        <xdr:cNvPr id="88" name="Text Box 1">
          <a:extLst>
            <a:ext uri="{FF2B5EF4-FFF2-40B4-BE49-F238E27FC236}">
              <a16:creationId xmlns:a16="http://schemas.microsoft.com/office/drawing/2014/main" id="{00000000-0008-0000-0400-000058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9</xdr:row>
      <xdr:rowOff>0</xdr:rowOff>
    </xdr:from>
    <xdr:to>
      <xdr:col>4</xdr:col>
      <xdr:colOff>76200</xdr:colOff>
      <xdr:row>10</xdr:row>
      <xdr:rowOff>0</xdr:rowOff>
    </xdr:to>
    <xdr:sp macro="" textlink="">
      <xdr:nvSpPr>
        <xdr:cNvPr id="89" name="Text Box 1">
          <a:extLst>
            <a:ext uri="{FF2B5EF4-FFF2-40B4-BE49-F238E27FC236}">
              <a16:creationId xmlns:a16="http://schemas.microsoft.com/office/drawing/2014/main" id="{00000000-0008-0000-0400-000059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9</xdr:row>
      <xdr:rowOff>0</xdr:rowOff>
    </xdr:from>
    <xdr:to>
      <xdr:col>4</xdr:col>
      <xdr:colOff>76200</xdr:colOff>
      <xdr:row>10</xdr:row>
      <xdr:rowOff>0</xdr:rowOff>
    </xdr:to>
    <xdr:sp macro="" textlink="">
      <xdr:nvSpPr>
        <xdr:cNvPr id="90" name="Text Box 1">
          <a:extLst>
            <a:ext uri="{FF2B5EF4-FFF2-40B4-BE49-F238E27FC236}">
              <a16:creationId xmlns:a16="http://schemas.microsoft.com/office/drawing/2014/main" id="{00000000-0008-0000-0400-00005A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9</xdr:row>
      <xdr:rowOff>0</xdr:rowOff>
    </xdr:from>
    <xdr:to>
      <xdr:col>4</xdr:col>
      <xdr:colOff>76200</xdr:colOff>
      <xdr:row>10</xdr:row>
      <xdr:rowOff>0</xdr:rowOff>
    </xdr:to>
    <xdr:sp macro="" textlink="">
      <xdr:nvSpPr>
        <xdr:cNvPr id="91" name="Text Box 2">
          <a:extLst>
            <a:ext uri="{FF2B5EF4-FFF2-40B4-BE49-F238E27FC236}">
              <a16:creationId xmlns:a16="http://schemas.microsoft.com/office/drawing/2014/main" id="{00000000-0008-0000-0400-00005B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9</xdr:row>
      <xdr:rowOff>0</xdr:rowOff>
    </xdr:from>
    <xdr:to>
      <xdr:col>4</xdr:col>
      <xdr:colOff>76200</xdr:colOff>
      <xdr:row>10</xdr:row>
      <xdr:rowOff>0</xdr:rowOff>
    </xdr:to>
    <xdr:sp macro="" textlink="">
      <xdr:nvSpPr>
        <xdr:cNvPr id="92" name="Text Box 1">
          <a:extLst>
            <a:ext uri="{FF2B5EF4-FFF2-40B4-BE49-F238E27FC236}">
              <a16:creationId xmlns:a16="http://schemas.microsoft.com/office/drawing/2014/main" id="{00000000-0008-0000-0400-00005C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9</xdr:row>
      <xdr:rowOff>0</xdr:rowOff>
    </xdr:from>
    <xdr:to>
      <xdr:col>4</xdr:col>
      <xdr:colOff>76200</xdr:colOff>
      <xdr:row>10</xdr:row>
      <xdr:rowOff>0</xdr:rowOff>
    </xdr:to>
    <xdr:sp macro="" textlink="">
      <xdr:nvSpPr>
        <xdr:cNvPr id="93" name="Text Box 1">
          <a:extLst>
            <a:ext uri="{FF2B5EF4-FFF2-40B4-BE49-F238E27FC236}">
              <a16:creationId xmlns:a16="http://schemas.microsoft.com/office/drawing/2014/main" id="{00000000-0008-0000-0400-00005D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10</xdr:row>
      <xdr:rowOff>0</xdr:rowOff>
    </xdr:from>
    <xdr:to>
      <xdr:col>4</xdr:col>
      <xdr:colOff>76200</xdr:colOff>
      <xdr:row>11</xdr:row>
      <xdr:rowOff>0</xdr:rowOff>
    </xdr:to>
    <xdr:sp macro="" textlink="">
      <xdr:nvSpPr>
        <xdr:cNvPr id="94" name="Text Box 1">
          <a:extLst>
            <a:ext uri="{FF2B5EF4-FFF2-40B4-BE49-F238E27FC236}">
              <a16:creationId xmlns:a16="http://schemas.microsoft.com/office/drawing/2014/main" id="{00000000-0008-0000-0400-00005E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10</xdr:row>
      <xdr:rowOff>0</xdr:rowOff>
    </xdr:from>
    <xdr:to>
      <xdr:col>4</xdr:col>
      <xdr:colOff>76200</xdr:colOff>
      <xdr:row>11</xdr:row>
      <xdr:rowOff>0</xdr:rowOff>
    </xdr:to>
    <xdr:sp macro="" textlink="">
      <xdr:nvSpPr>
        <xdr:cNvPr id="95" name="Text Box 2">
          <a:extLst>
            <a:ext uri="{FF2B5EF4-FFF2-40B4-BE49-F238E27FC236}">
              <a16:creationId xmlns:a16="http://schemas.microsoft.com/office/drawing/2014/main" id="{00000000-0008-0000-0400-00005F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10</xdr:row>
      <xdr:rowOff>0</xdr:rowOff>
    </xdr:from>
    <xdr:to>
      <xdr:col>4</xdr:col>
      <xdr:colOff>76200</xdr:colOff>
      <xdr:row>11</xdr:row>
      <xdr:rowOff>0</xdr:rowOff>
    </xdr:to>
    <xdr:sp macro="" textlink="">
      <xdr:nvSpPr>
        <xdr:cNvPr id="96" name="Text Box 1">
          <a:extLst>
            <a:ext uri="{FF2B5EF4-FFF2-40B4-BE49-F238E27FC236}">
              <a16:creationId xmlns:a16="http://schemas.microsoft.com/office/drawing/2014/main" id="{00000000-0008-0000-0400-000060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10</xdr:row>
      <xdr:rowOff>0</xdr:rowOff>
    </xdr:from>
    <xdr:to>
      <xdr:col>4</xdr:col>
      <xdr:colOff>76200</xdr:colOff>
      <xdr:row>11</xdr:row>
      <xdr:rowOff>0</xdr:rowOff>
    </xdr:to>
    <xdr:sp macro="" textlink="">
      <xdr:nvSpPr>
        <xdr:cNvPr id="97" name="Text Box 1">
          <a:extLst>
            <a:ext uri="{FF2B5EF4-FFF2-40B4-BE49-F238E27FC236}">
              <a16:creationId xmlns:a16="http://schemas.microsoft.com/office/drawing/2014/main" id="{00000000-0008-0000-0400-000061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10</xdr:row>
      <xdr:rowOff>0</xdr:rowOff>
    </xdr:from>
    <xdr:to>
      <xdr:col>4</xdr:col>
      <xdr:colOff>76200</xdr:colOff>
      <xdr:row>11</xdr:row>
      <xdr:rowOff>0</xdr:rowOff>
    </xdr:to>
    <xdr:sp macro="" textlink="">
      <xdr:nvSpPr>
        <xdr:cNvPr id="98" name="Text Box 1">
          <a:extLst>
            <a:ext uri="{FF2B5EF4-FFF2-40B4-BE49-F238E27FC236}">
              <a16:creationId xmlns:a16="http://schemas.microsoft.com/office/drawing/2014/main" id="{00000000-0008-0000-0400-000062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10</xdr:row>
      <xdr:rowOff>0</xdr:rowOff>
    </xdr:from>
    <xdr:to>
      <xdr:col>4</xdr:col>
      <xdr:colOff>76200</xdr:colOff>
      <xdr:row>11</xdr:row>
      <xdr:rowOff>0</xdr:rowOff>
    </xdr:to>
    <xdr:sp macro="" textlink="">
      <xdr:nvSpPr>
        <xdr:cNvPr id="99" name="Text Box 2">
          <a:extLst>
            <a:ext uri="{FF2B5EF4-FFF2-40B4-BE49-F238E27FC236}">
              <a16:creationId xmlns:a16="http://schemas.microsoft.com/office/drawing/2014/main" id="{00000000-0008-0000-0400-000063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10</xdr:row>
      <xdr:rowOff>0</xdr:rowOff>
    </xdr:from>
    <xdr:to>
      <xdr:col>4</xdr:col>
      <xdr:colOff>76200</xdr:colOff>
      <xdr:row>11</xdr:row>
      <xdr:rowOff>0</xdr:rowOff>
    </xdr:to>
    <xdr:sp macro="" textlink="">
      <xdr:nvSpPr>
        <xdr:cNvPr id="100" name="Text Box 1">
          <a:extLst>
            <a:ext uri="{FF2B5EF4-FFF2-40B4-BE49-F238E27FC236}">
              <a16:creationId xmlns:a16="http://schemas.microsoft.com/office/drawing/2014/main" id="{00000000-0008-0000-0400-000064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10</xdr:row>
      <xdr:rowOff>0</xdr:rowOff>
    </xdr:from>
    <xdr:to>
      <xdr:col>4</xdr:col>
      <xdr:colOff>76200</xdr:colOff>
      <xdr:row>11</xdr:row>
      <xdr:rowOff>0</xdr:rowOff>
    </xdr:to>
    <xdr:sp macro="" textlink="">
      <xdr:nvSpPr>
        <xdr:cNvPr id="101" name="Text Box 1">
          <a:extLst>
            <a:ext uri="{FF2B5EF4-FFF2-40B4-BE49-F238E27FC236}">
              <a16:creationId xmlns:a16="http://schemas.microsoft.com/office/drawing/2014/main" id="{00000000-0008-0000-0400-000065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10</xdr:row>
      <xdr:rowOff>0</xdr:rowOff>
    </xdr:from>
    <xdr:to>
      <xdr:col>4</xdr:col>
      <xdr:colOff>76200</xdr:colOff>
      <xdr:row>11</xdr:row>
      <xdr:rowOff>0</xdr:rowOff>
    </xdr:to>
    <xdr:sp macro="" textlink="">
      <xdr:nvSpPr>
        <xdr:cNvPr id="102" name="Text Box 1">
          <a:extLst>
            <a:ext uri="{FF2B5EF4-FFF2-40B4-BE49-F238E27FC236}">
              <a16:creationId xmlns:a16="http://schemas.microsoft.com/office/drawing/2014/main" id="{00000000-0008-0000-0400-000066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10</xdr:row>
      <xdr:rowOff>0</xdr:rowOff>
    </xdr:from>
    <xdr:to>
      <xdr:col>4</xdr:col>
      <xdr:colOff>76200</xdr:colOff>
      <xdr:row>11</xdr:row>
      <xdr:rowOff>0</xdr:rowOff>
    </xdr:to>
    <xdr:sp macro="" textlink="">
      <xdr:nvSpPr>
        <xdr:cNvPr id="103" name="Text Box 2">
          <a:extLst>
            <a:ext uri="{FF2B5EF4-FFF2-40B4-BE49-F238E27FC236}">
              <a16:creationId xmlns:a16="http://schemas.microsoft.com/office/drawing/2014/main" id="{00000000-0008-0000-0400-000067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10</xdr:row>
      <xdr:rowOff>0</xdr:rowOff>
    </xdr:from>
    <xdr:to>
      <xdr:col>4</xdr:col>
      <xdr:colOff>76200</xdr:colOff>
      <xdr:row>11</xdr:row>
      <xdr:rowOff>0</xdr:rowOff>
    </xdr:to>
    <xdr:sp macro="" textlink="">
      <xdr:nvSpPr>
        <xdr:cNvPr id="104" name="Text Box 1">
          <a:extLst>
            <a:ext uri="{FF2B5EF4-FFF2-40B4-BE49-F238E27FC236}">
              <a16:creationId xmlns:a16="http://schemas.microsoft.com/office/drawing/2014/main" id="{00000000-0008-0000-0400-000068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10</xdr:row>
      <xdr:rowOff>0</xdr:rowOff>
    </xdr:from>
    <xdr:to>
      <xdr:col>4</xdr:col>
      <xdr:colOff>76200</xdr:colOff>
      <xdr:row>11</xdr:row>
      <xdr:rowOff>0</xdr:rowOff>
    </xdr:to>
    <xdr:sp macro="" textlink="">
      <xdr:nvSpPr>
        <xdr:cNvPr id="105" name="Text Box 1">
          <a:extLst>
            <a:ext uri="{FF2B5EF4-FFF2-40B4-BE49-F238E27FC236}">
              <a16:creationId xmlns:a16="http://schemas.microsoft.com/office/drawing/2014/main" id="{00000000-0008-0000-0400-000069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10</xdr:row>
      <xdr:rowOff>0</xdr:rowOff>
    </xdr:from>
    <xdr:to>
      <xdr:col>4</xdr:col>
      <xdr:colOff>76200</xdr:colOff>
      <xdr:row>11</xdr:row>
      <xdr:rowOff>0</xdr:rowOff>
    </xdr:to>
    <xdr:sp macro="" textlink="">
      <xdr:nvSpPr>
        <xdr:cNvPr id="106" name="Text Box 1">
          <a:extLst>
            <a:ext uri="{FF2B5EF4-FFF2-40B4-BE49-F238E27FC236}">
              <a16:creationId xmlns:a16="http://schemas.microsoft.com/office/drawing/2014/main" id="{00000000-0008-0000-0400-00006A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10</xdr:row>
      <xdr:rowOff>0</xdr:rowOff>
    </xdr:from>
    <xdr:to>
      <xdr:col>4</xdr:col>
      <xdr:colOff>76200</xdr:colOff>
      <xdr:row>11</xdr:row>
      <xdr:rowOff>0</xdr:rowOff>
    </xdr:to>
    <xdr:sp macro="" textlink="">
      <xdr:nvSpPr>
        <xdr:cNvPr id="107" name="Text Box 2">
          <a:extLst>
            <a:ext uri="{FF2B5EF4-FFF2-40B4-BE49-F238E27FC236}">
              <a16:creationId xmlns:a16="http://schemas.microsoft.com/office/drawing/2014/main" id="{00000000-0008-0000-0400-00006B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10</xdr:row>
      <xdr:rowOff>0</xdr:rowOff>
    </xdr:from>
    <xdr:to>
      <xdr:col>4</xdr:col>
      <xdr:colOff>76200</xdr:colOff>
      <xdr:row>11</xdr:row>
      <xdr:rowOff>0</xdr:rowOff>
    </xdr:to>
    <xdr:sp macro="" textlink="">
      <xdr:nvSpPr>
        <xdr:cNvPr id="108" name="Text Box 1">
          <a:extLst>
            <a:ext uri="{FF2B5EF4-FFF2-40B4-BE49-F238E27FC236}">
              <a16:creationId xmlns:a16="http://schemas.microsoft.com/office/drawing/2014/main" id="{00000000-0008-0000-0400-00006C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10</xdr:row>
      <xdr:rowOff>0</xdr:rowOff>
    </xdr:from>
    <xdr:to>
      <xdr:col>4</xdr:col>
      <xdr:colOff>76200</xdr:colOff>
      <xdr:row>11</xdr:row>
      <xdr:rowOff>0</xdr:rowOff>
    </xdr:to>
    <xdr:sp macro="" textlink="">
      <xdr:nvSpPr>
        <xdr:cNvPr id="109" name="Text Box 1">
          <a:extLst>
            <a:ext uri="{FF2B5EF4-FFF2-40B4-BE49-F238E27FC236}">
              <a16:creationId xmlns:a16="http://schemas.microsoft.com/office/drawing/2014/main" id="{00000000-0008-0000-0400-00006D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10</xdr:row>
      <xdr:rowOff>0</xdr:rowOff>
    </xdr:from>
    <xdr:to>
      <xdr:col>4</xdr:col>
      <xdr:colOff>76200</xdr:colOff>
      <xdr:row>11</xdr:row>
      <xdr:rowOff>0</xdr:rowOff>
    </xdr:to>
    <xdr:sp macro="" textlink="">
      <xdr:nvSpPr>
        <xdr:cNvPr id="110" name="Text Box 2">
          <a:extLst>
            <a:ext uri="{FF2B5EF4-FFF2-40B4-BE49-F238E27FC236}">
              <a16:creationId xmlns:a16="http://schemas.microsoft.com/office/drawing/2014/main" id="{00000000-0008-0000-0400-00006E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10</xdr:row>
      <xdr:rowOff>0</xdr:rowOff>
    </xdr:from>
    <xdr:to>
      <xdr:col>4</xdr:col>
      <xdr:colOff>76200</xdr:colOff>
      <xdr:row>11</xdr:row>
      <xdr:rowOff>0</xdr:rowOff>
    </xdr:to>
    <xdr:sp macro="" textlink="">
      <xdr:nvSpPr>
        <xdr:cNvPr id="111" name="Text Box 1">
          <a:extLst>
            <a:ext uri="{FF2B5EF4-FFF2-40B4-BE49-F238E27FC236}">
              <a16:creationId xmlns:a16="http://schemas.microsoft.com/office/drawing/2014/main" id="{00000000-0008-0000-0400-00006F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10</xdr:row>
      <xdr:rowOff>0</xdr:rowOff>
    </xdr:from>
    <xdr:to>
      <xdr:col>4</xdr:col>
      <xdr:colOff>76200</xdr:colOff>
      <xdr:row>11</xdr:row>
      <xdr:rowOff>0</xdr:rowOff>
    </xdr:to>
    <xdr:sp macro="" textlink="">
      <xdr:nvSpPr>
        <xdr:cNvPr id="112" name="Text Box 1">
          <a:extLst>
            <a:ext uri="{FF2B5EF4-FFF2-40B4-BE49-F238E27FC236}">
              <a16:creationId xmlns:a16="http://schemas.microsoft.com/office/drawing/2014/main" id="{00000000-0008-0000-0400-000070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10</xdr:row>
      <xdr:rowOff>0</xdr:rowOff>
    </xdr:from>
    <xdr:to>
      <xdr:col>4</xdr:col>
      <xdr:colOff>76200</xdr:colOff>
      <xdr:row>11</xdr:row>
      <xdr:rowOff>0</xdr:rowOff>
    </xdr:to>
    <xdr:sp macro="" textlink="">
      <xdr:nvSpPr>
        <xdr:cNvPr id="113" name="Text Box 1">
          <a:extLst>
            <a:ext uri="{FF2B5EF4-FFF2-40B4-BE49-F238E27FC236}">
              <a16:creationId xmlns:a16="http://schemas.microsoft.com/office/drawing/2014/main" id="{00000000-0008-0000-0400-000071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10</xdr:row>
      <xdr:rowOff>0</xdr:rowOff>
    </xdr:from>
    <xdr:to>
      <xdr:col>4</xdr:col>
      <xdr:colOff>76200</xdr:colOff>
      <xdr:row>11</xdr:row>
      <xdr:rowOff>0</xdr:rowOff>
    </xdr:to>
    <xdr:sp macro="" textlink="">
      <xdr:nvSpPr>
        <xdr:cNvPr id="114" name="Text Box 2">
          <a:extLst>
            <a:ext uri="{FF2B5EF4-FFF2-40B4-BE49-F238E27FC236}">
              <a16:creationId xmlns:a16="http://schemas.microsoft.com/office/drawing/2014/main" id="{00000000-0008-0000-0400-000072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10</xdr:row>
      <xdr:rowOff>0</xdr:rowOff>
    </xdr:from>
    <xdr:to>
      <xdr:col>4</xdr:col>
      <xdr:colOff>76200</xdr:colOff>
      <xdr:row>11</xdr:row>
      <xdr:rowOff>0</xdr:rowOff>
    </xdr:to>
    <xdr:sp macro="" textlink="">
      <xdr:nvSpPr>
        <xdr:cNvPr id="115" name="Text Box 1">
          <a:extLst>
            <a:ext uri="{FF2B5EF4-FFF2-40B4-BE49-F238E27FC236}">
              <a16:creationId xmlns:a16="http://schemas.microsoft.com/office/drawing/2014/main" id="{00000000-0008-0000-0400-000073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10</xdr:row>
      <xdr:rowOff>0</xdr:rowOff>
    </xdr:from>
    <xdr:to>
      <xdr:col>4</xdr:col>
      <xdr:colOff>76200</xdr:colOff>
      <xdr:row>11</xdr:row>
      <xdr:rowOff>0</xdr:rowOff>
    </xdr:to>
    <xdr:sp macro="" textlink="">
      <xdr:nvSpPr>
        <xdr:cNvPr id="116" name="Text Box 1">
          <a:extLst>
            <a:ext uri="{FF2B5EF4-FFF2-40B4-BE49-F238E27FC236}">
              <a16:creationId xmlns:a16="http://schemas.microsoft.com/office/drawing/2014/main" id="{00000000-0008-0000-0400-000074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76200</xdr:colOff>
      <xdr:row>12</xdr:row>
      <xdr:rowOff>0</xdr:rowOff>
    </xdr:to>
    <xdr:sp macro="" textlink="">
      <xdr:nvSpPr>
        <xdr:cNvPr id="117" name="Text Box 1">
          <a:extLst>
            <a:ext uri="{FF2B5EF4-FFF2-40B4-BE49-F238E27FC236}">
              <a16:creationId xmlns:a16="http://schemas.microsoft.com/office/drawing/2014/main" id="{00000000-0008-0000-0400-000075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76200</xdr:colOff>
      <xdr:row>12</xdr:row>
      <xdr:rowOff>0</xdr:rowOff>
    </xdr:to>
    <xdr:sp macro="" textlink="">
      <xdr:nvSpPr>
        <xdr:cNvPr id="118" name="Text Box 2">
          <a:extLst>
            <a:ext uri="{FF2B5EF4-FFF2-40B4-BE49-F238E27FC236}">
              <a16:creationId xmlns:a16="http://schemas.microsoft.com/office/drawing/2014/main" id="{00000000-0008-0000-0400-000076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76200</xdr:colOff>
      <xdr:row>12</xdr:row>
      <xdr:rowOff>0</xdr:rowOff>
    </xdr:to>
    <xdr:sp macro="" textlink="">
      <xdr:nvSpPr>
        <xdr:cNvPr id="119" name="Text Box 1">
          <a:extLst>
            <a:ext uri="{FF2B5EF4-FFF2-40B4-BE49-F238E27FC236}">
              <a16:creationId xmlns:a16="http://schemas.microsoft.com/office/drawing/2014/main" id="{00000000-0008-0000-0400-000077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76200</xdr:colOff>
      <xdr:row>12</xdr:row>
      <xdr:rowOff>0</xdr:rowOff>
    </xdr:to>
    <xdr:sp macro="" textlink="">
      <xdr:nvSpPr>
        <xdr:cNvPr id="120" name="Text Box 1">
          <a:extLst>
            <a:ext uri="{FF2B5EF4-FFF2-40B4-BE49-F238E27FC236}">
              <a16:creationId xmlns:a16="http://schemas.microsoft.com/office/drawing/2014/main" id="{00000000-0008-0000-0400-000078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76200</xdr:colOff>
      <xdr:row>12</xdr:row>
      <xdr:rowOff>0</xdr:rowOff>
    </xdr:to>
    <xdr:sp macro="" textlink="">
      <xdr:nvSpPr>
        <xdr:cNvPr id="121" name="Text Box 1">
          <a:extLst>
            <a:ext uri="{FF2B5EF4-FFF2-40B4-BE49-F238E27FC236}">
              <a16:creationId xmlns:a16="http://schemas.microsoft.com/office/drawing/2014/main" id="{00000000-0008-0000-0400-000079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76200</xdr:colOff>
      <xdr:row>12</xdr:row>
      <xdr:rowOff>0</xdr:rowOff>
    </xdr:to>
    <xdr:sp macro="" textlink="">
      <xdr:nvSpPr>
        <xdr:cNvPr id="122" name="Text Box 2">
          <a:extLst>
            <a:ext uri="{FF2B5EF4-FFF2-40B4-BE49-F238E27FC236}">
              <a16:creationId xmlns:a16="http://schemas.microsoft.com/office/drawing/2014/main" id="{00000000-0008-0000-0400-00007A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76200</xdr:colOff>
      <xdr:row>12</xdr:row>
      <xdr:rowOff>0</xdr:rowOff>
    </xdr:to>
    <xdr:sp macro="" textlink="">
      <xdr:nvSpPr>
        <xdr:cNvPr id="123" name="Text Box 1">
          <a:extLst>
            <a:ext uri="{FF2B5EF4-FFF2-40B4-BE49-F238E27FC236}">
              <a16:creationId xmlns:a16="http://schemas.microsoft.com/office/drawing/2014/main" id="{00000000-0008-0000-0400-00007B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76200</xdr:colOff>
      <xdr:row>12</xdr:row>
      <xdr:rowOff>0</xdr:rowOff>
    </xdr:to>
    <xdr:sp macro="" textlink="">
      <xdr:nvSpPr>
        <xdr:cNvPr id="124" name="Text Box 1">
          <a:extLst>
            <a:ext uri="{FF2B5EF4-FFF2-40B4-BE49-F238E27FC236}">
              <a16:creationId xmlns:a16="http://schemas.microsoft.com/office/drawing/2014/main" id="{00000000-0008-0000-0400-00007C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76200</xdr:colOff>
      <xdr:row>12</xdr:row>
      <xdr:rowOff>0</xdr:rowOff>
    </xdr:to>
    <xdr:sp macro="" textlink="">
      <xdr:nvSpPr>
        <xdr:cNvPr id="125" name="Text Box 1">
          <a:extLst>
            <a:ext uri="{FF2B5EF4-FFF2-40B4-BE49-F238E27FC236}">
              <a16:creationId xmlns:a16="http://schemas.microsoft.com/office/drawing/2014/main" id="{00000000-0008-0000-0400-00007D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76200</xdr:colOff>
      <xdr:row>12</xdr:row>
      <xdr:rowOff>0</xdr:rowOff>
    </xdr:to>
    <xdr:sp macro="" textlink="">
      <xdr:nvSpPr>
        <xdr:cNvPr id="126" name="Text Box 2">
          <a:extLst>
            <a:ext uri="{FF2B5EF4-FFF2-40B4-BE49-F238E27FC236}">
              <a16:creationId xmlns:a16="http://schemas.microsoft.com/office/drawing/2014/main" id="{00000000-0008-0000-0400-00007E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76200</xdr:colOff>
      <xdr:row>12</xdr:row>
      <xdr:rowOff>0</xdr:rowOff>
    </xdr:to>
    <xdr:sp macro="" textlink="">
      <xdr:nvSpPr>
        <xdr:cNvPr id="127" name="Text Box 1">
          <a:extLst>
            <a:ext uri="{FF2B5EF4-FFF2-40B4-BE49-F238E27FC236}">
              <a16:creationId xmlns:a16="http://schemas.microsoft.com/office/drawing/2014/main" id="{00000000-0008-0000-0400-00007F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76200</xdr:colOff>
      <xdr:row>12</xdr:row>
      <xdr:rowOff>0</xdr:rowOff>
    </xdr:to>
    <xdr:sp macro="" textlink="">
      <xdr:nvSpPr>
        <xdr:cNvPr id="128" name="Text Box 1">
          <a:extLst>
            <a:ext uri="{FF2B5EF4-FFF2-40B4-BE49-F238E27FC236}">
              <a16:creationId xmlns:a16="http://schemas.microsoft.com/office/drawing/2014/main" id="{00000000-0008-0000-0400-000080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76200</xdr:colOff>
      <xdr:row>12</xdr:row>
      <xdr:rowOff>0</xdr:rowOff>
    </xdr:to>
    <xdr:sp macro="" textlink="">
      <xdr:nvSpPr>
        <xdr:cNvPr id="129" name="Text Box 1">
          <a:extLst>
            <a:ext uri="{FF2B5EF4-FFF2-40B4-BE49-F238E27FC236}">
              <a16:creationId xmlns:a16="http://schemas.microsoft.com/office/drawing/2014/main" id="{00000000-0008-0000-0400-000081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76200</xdr:colOff>
      <xdr:row>12</xdr:row>
      <xdr:rowOff>0</xdr:rowOff>
    </xdr:to>
    <xdr:sp macro="" textlink="">
      <xdr:nvSpPr>
        <xdr:cNvPr id="130" name="Text Box 2">
          <a:extLst>
            <a:ext uri="{FF2B5EF4-FFF2-40B4-BE49-F238E27FC236}">
              <a16:creationId xmlns:a16="http://schemas.microsoft.com/office/drawing/2014/main" id="{00000000-0008-0000-0400-000082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76200</xdr:colOff>
      <xdr:row>12</xdr:row>
      <xdr:rowOff>0</xdr:rowOff>
    </xdr:to>
    <xdr:sp macro="" textlink="">
      <xdr:nvSpPr>
        <xdr:cNvPr id="131" name="Text Box 1">
          <a:extLst>
            <a:ext uri="{FF2B5EF4-FFF2-40B4-BE49-F238E27FC236}">
              <a16:creationId xmlns:a16="http://schemas.microsoft.com/office/drawing/2014/main" id="{00000000-0008-0000-0400-000083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76200</xdr:colOff>
      <xdr:row>12</xdr:row>
      <xdr:rowOff>0</xdr:rowOff>
    </xdr:to>
    <xdr:sp macro="" textlink="">
      <xdr:nvSpPr>
        <xdr:cNvPr id="132" name="Text Box 1">
          <a:extLst>
            <a:ext uri="{FF2B5EF4-FFF2-40B4-BE49-F238E27FC236}">
              <a16:creationId xmlns:a16="http://schemas.microsoft.com/office/drawing/2014/main" id="{00000000-0008-0000-0400-000084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76200</xdr:colOff>
      <xdr:row>12</xdr:row>
      <xdr:rowOff>0</xdr:rowOff>
    </xdr:to>
    <xdr:sp macro="" textlink="">
      <xdr:nvSpPr>
        <xdr:cNvPr id="133" name="Text Box 2">
          <a:extLst>
            <a:ext uri="{FF2B5EF4-FFF2-40B4-BE49-F238E27FC236}">
              <a16:creationId xmlns:a16="http://schemas.microsoft.com/office/drawing/2014/main" id="{00000000-0008-0000-0400-000085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76200</xdr:colOff>
      <xdr:row>12</xdr:row>
      <xdr:rowOff>0</xdr:rowOff>
    </xdr:to>
    <xdr:sp macro="" textlink="">
      <xdr:nvSpPr>
        <xdr:cNvPr id="134" name="Text Box 1">
          <a:extLst>
            <a:ext uri="{FF2B5EF4-FFF2-40B4-BE49-F238E27FC236}">
              <a16:creationId xmlns:a16="http://schemas.microsoft.com/office/drawing/2014/main" id="{00000000-0008-0000-0400-000086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76200</xdr:colOff>
      <xdr:row>12</xdr:row>
      <xdr:rowOff>0</xdr:rowOff>
    </xdr:to>
    <xdr:sp macro="" textlink="">
      <xdr:nvSpPr>
        <xdr:cNvPr id="135" name="Text Box 1">
          <a:extLst>
            <a:ext uri="{FF2B5EF4-FFF2-40B4-BE49-F238E27FC236}">
              <a16:creationId xmlns:a16="http://schemas.microsoft.com/office/drawing/2014/main" id="{00000000-0008-0000-0400-000087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76200</xdr:colOff>
      <xdr:row>12</xdr:row>
      <xdr:rowOff>0</xdr:rowOff>
    </xdr:to>
    <xdr:sp macro="" textlink="">
      <xdr:nvSpPr>
        <xdr:cNvPr id="136" name="Text Box 1">
          <a:extLst>
            <a:ext uri="{FF2B5EF4-FFF2-40B4-BE49-F238E27FC236}">
              <a16:creationId xmlns:a16="http://schemas.microsoft.com/office/drawing/2014/main" id="{00000000-0008-0000-0400-000088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76200</xdr:colOff>
      <xdr:row>12</xdr:row>
      <xdr:rowOff>0</xdr:rowOff>
    </xdr:to>
    <xdr:sp macro="" textlink="">
      <xdr:nvSpPr>
        <xdr:cNvPr id="137" name="Text Box 2">
          <a:extLst>
            <a:ext uri="{FF2B5EF4-FFF2-40B4-BE49-F238E27FC236}">
              <a16:creationId xmlns:a16="http://schemas.microsoft.com/office/drawing/2014/main" id="{00000000-0008-0000-0400-000089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76200</xdr:colOff>
      <xdr:row>12</xdr:row>
      <xdr:rowOff>0</xdr:rowOff>
    </xdr:to>
    <xdr:sp macro="" textlink="">
      <xdr:nvSpPr>
        <xdr:cNvPr id="138" name="Text Box 1">
          <a:extLst>
            <a:ext uri="{FF2B5EF4-FFF2-40B4-BE49-F238E27FC236}">
              <a16:creationId xmlns:a16="http://schemas.microsoft.com/office/drawing/2014/main" id="{00000000-0008-0000-0400-00008A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76200</xdr:colOff>
      <xdr:row>12</xdr:row>
      <xdr:rowOff>0</xdr:rowOff>
    </xdr:to>
    <xdr:sp macro="" textlink="">
      <xdr:nvSpPr>
        <xdr:cNvPr id="139" name="Text Box 1">
          <a:extLst>
            <a:ext uri="{FF2B5EF4-FFF2-40B4-BE49-F238E27FC236}">
              <a16:creationId xmlns:a16="http://schemas.microsoft.com/office/drawing/2014/main" id="{00000000-0008-0000-0400-00008B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12</xdr:row>
      <xdr:rowOff>0</xdr:rowOff>
    </xdr:from>
    <xdr:to>
      <xdr:col>4</xdr:col>
      <xdr:colOff>76200</xdr:colOff>
      <xdr:row>13</xdr:row>
      <xdr:rowOff>0</xdr:rowOff>
    </xdr:to>
    <xdr:sp macro="" textlink="">
      <xdr:nvSpPr>
        <xdr:cNvPr id="140" name="Text Box 1">
          <a:extLst>
            <a:ext uri="{FF2B5EF4-FFF2-40B4-BE49-F238E27FC236}">
              <a16:creationId xmlns:a16="http://schemas.microsoft.com/office/drawing/2014/main" id="{00000000-0008-0000-0400-00008C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12</xdr:row>
      <xdr:rowOff>0</xdr:rowOff>
    </xdr:from>
    <xdr:to>
      <xdr:col>4</xdr:col>
      <xdr:colOff>76200</xdr:colOff>
      <xdr:row>13</xdr:row>
      <xdr:rowOff>0</xdr:rowOff>
    </xdr:to>
    <xdr:sp macro="" textlink="">
      <xdr:nvSpPr>
        <xdr:cNvPr id="141" name="Text Box 2">
          <a:extLst>
            <a:ext uri="{FF2B5EF4-FFF2-40B4-BE49-F238E27FC236}">
              <a16:creationId xmlns:a16="http://schemas.microsoft.com/office/drawing/2014/main" id="{00000000-0008-0000-0400-00008D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12</xdr:row>
      <xdr:rowOff>0</xdr:rowOff>
    </xdr:from>
    <xdr:to>
      <xdr:col>4</xdr:col>
      <xdr:colOff>76200</xdr:colOff>
      <xdr:row>13</xdr:row>
      <xdr:rowOff>0</xdr:rowOff>
    </xdr:to>
    <xdr:sp macro="" textlink="">
      <xdr:nvSpPr>
        <xdr:cNvPr id="142" name="Text Box 1">
          <a:extLst>
            <a:ext uri="{FF2B5EF4-FFF2-40B4-BE49-F238E27FC236}">
              <a16:creationId xmlns:a16="http://schemas.microsoft.com/office/drawing/2014/main" id="{00000000-0008-0000-0400-00008E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12</xdr:row>
      <xdr:rowOff>0</xdr:rowOff>
    </xdr:from>
    <xdr:to>
      <xdr:col>4</xdr:col>
      <xdr:colOff>76200</xdr:colOff>
      <xdr:row>13</xdr:row>
      <xdr:rowOff>0</xdr:rowOff>
    </xdr:to>
    <xdr:sp macro="" textlink="">
      <xdr:nvSpPr>
        <xdr:cNvPr id="143" name="Text Box 1">
          <a:extLst>
            <a:ext uri="{FF2B5EF4-FFF2-40B4-BE49-F238E27FC236}">
              <a16:creationId xmlns:a16="http://schemas.microsoft.com/office/drawing/2014/main" id="{00000000-0008-0000-0400-00008F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12</xdr:row>
      <xdr:rowOff>0</xdr:rowOff>
    </xdr:from>
    <xdr:to>
      <xdr:col>4</xdr:col>
      <xdr:colOff>76200</xdr:colOff>
      <xdr:row>13</xdr:row>
      <xdr:rowOff>0</xdr:rowOff>
    </xdr:to>
    <xdr:sp macro="" textlink="">
      <xdr:nvSpPr>
        <xdr:cNvPr id="144" name="Text Box 1">
          <a:extLst>
            <a:ext uri="{FF2B5EF4-FFF2-40B4-BE49-F238E27FC236}">
              <a16:creationId xmlns:a16="http://schemas.microsoft.com/office/drawing/2014/main" id="{00000000-0008-0000-0400-000090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12</xdr:row>
      <xdr:rowOff>0</xdr:rowOff>
    </xdr:from>
    <xdr:to>
      <xdr:col>4</xdr:col>
      <xdr:colOff>76200</xdr:colOff>
      <xdr:row>13</xdr:row>
      <xdr:rowOff>0</xdr:rowOff>
    </xdr:to>
    <xdr:sp macro="" textlink="">
      <xdr:nvSpPr>
        <xdr:cNvPr id="145" name="Text Box 2">
          <a:extLst>
            <a:ext uri="{FF2B5EF4-FFF2-40B4-BE49-F238E27FC236}">
              <a16:creationId xmlns:a16="http://schemas.microsoft.com/office/drawing/2014/main" id="{00000000-0008-0000-0400-000091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12</xdr:row>
      <xdr:rowOff>0</xdr:rowOff>
    </xdr:from>
    <xdr:to>
      <xdr:col>4</xdr:col>
      <xdr:colOff>76200</xdr:colOff>
      <xdr:row>13</xdr:row>
      <xdr:rowOff>0</xdr:rowOff>
    </xdr:to>
    <xdr:sp macro="" textlink="">
      <xdr:nvSpPr>
        <xdr:cNvPr id="146" name="Text Box 1">
          <a:extLst>
            <a:ext uri="{FF2B5EF4-FFF2-40B4-BE49-F238E27FC236}">
              <a16:creationId xmlns:a16="http://schemas.microsoft.com/office/drawing/2014/main" id="{00000000-0008-0000-0400-000092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12</xdr:row>
      <xdr:rowOff>0</xdr:rowOff>
    </xdr:from>
    <xdr:to>
      <xdr:col>4</xdr:col>
      <xdr:colOff>76200</xdr:colOff>
      <xdr:row>13</xdr:row>
      <xdr:rowOff>0</xdr:rowOff>
    </xdr:to>
    <xdr:sp macro="" textlink="">
      <xdr:nvSpPr>
        <xdr:cNvPr id="147" name="Text Box 1">
          <a:extLst>
            <a:ext uri="{FF2B5EF4-FFF2-40B4-BE49-F238E27FC236}">
              <a16:creationId xmlns:a16="http://schemas.microsoft.com/office/drawing/2014/main" id="{00000000-0008-0000-0400-000093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12</xdr:row>
      <xdr:rowOff>0</xdr:rowOff>
    </xdr:from>
    <xdr:to>
      <xdr:col>4</xdr:col>
      <xdr:colOff>76200</xdr:colOff>
      <xdr:row>13</xdr:row>
      <xdr:rowOff>0</xdr:rowOff>
    </xdr:to>
    <xdr:sp macro="" textlink="">
      <xdr:nvSpPr>
        <xdr:cNvPr id="148" name="Text Box 1">
          <a:extLst>
            <a:ext uri="{FF2B5EF4-FFF2-40B4-BE49-F238E27FC236}">
              <a16:creationId xmlns:a16="http://schemas.microsoft.com/office/drawing/2014/main" id="{00000000-0008-0000-0400-000094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12</xdr:row>
      <xdr:rowOff>0</xdr:rowOff>
    </xdr:from>
    <xdr:to>
      <xdr:col>4</xdr:col>
      <xdr:colOff>76200</xdr:colOff>
      <xdr:row>13</xdr:row>
      <xdr:rowOff>0</xdr:rowOff>
    </xdr:to>
    <xdr:sp macro="" textlink="">
      <xdr:nvSpPr>
        <xdr:cNvPr id="149" name="Text Box 2">
          <a:extLst>
            <a:ext uri="{FF2B5EF4-FFF2-40B4-BE49-F238E27FC236}">
              <a16:creationId xmlns:a16="http://schemas.microsoft.com/office/drawing/2014/main" id="{00000000-0008-0000-0400-000095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12</xdr:row>
      <xdr:rowOff>0</xdr:rowOff>
    </xdr:from>
    <xdr:to>
      <xdr:col>4</xdr:col>
      <xdr:colOff>76200</xdr:colOff>
      <xdr:row>13</xdr:row>
      <xdr:rowOff>0</xdr:rowOff>
    </xdr:to>
    <xdr:sp macro="" textlink="">
      <xdr:nvSpPr>
        <xdr:cNvPr id="150" name="Text Box 1">
          <a:extLst>
            <a:ext uri="{FF2B5EF4-FFF2-40B4-BE49-F238E27FC236}">
              <a16:creationId xmlns:a16="http://schemas.microsoft.com/office/drawing/2014/main" id="{00000000-0008-0000-0400-000096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12</xdr:row>
      <xdr:rowOff>0</xdr:rowOff>
    </xdr:from>
    <xdr:to>
      <xdr:col>4</xdr:col>
      <xdr:colOff>76200</xdr:colOff>
      <xdr:row>13</xdr:row>
      <xdr:rowOff>0</xdr:rowOff>
    </xdr:to>
    <xdr:sp macro="" textlink="">
      <xdr:nvSpPr>
        <xdr:cNvPr id="151" name="Text Box 1">
          <a:extLst>
            <a:ext uri="{FF2B5EF4-FFF2-40B4-BE49-F238E27FC236}">
              <a16:creationId xmlns:a16="http://schemas.microsoft.com/office/drawing/2014/main" id="{00000000-0008-0000-0400-000097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12</xdr:row>
      <xdr:rowOff>0</xdr:rowOff>
    </xdr:from>
    <xdr:to>
      <xdr:col>4</xdr:col>
      <xdr:colOff>76200</xdr:colOff>
      <xdr:row>13</xdr:row>
      <xdr:rowOff>0</xdr:rowOff>
    </xdr:to>
    <xdr:sp macro="" textlink="">
      <xdr:nvSpPr>
        <xdr:cNvPr id="152" name="Text Box 1">
          <a:extLst>
            <a:ext uri="{FF2B5EF4-FFF2-40B4-BE49-F238E27FC236}">
              <a16:creationId xmlns:a16="http://schemas.microsoft.com/office/drawing/2014/main" id="{00000000-0008-0000-0400-000098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12</xdr:row>
      <xdr:rowOff>0</xdr:rowOff>
    </xdr:from>
    <xdr:to>
      <xdr:col>4</xdr:col>
      <xdr:colOff>76200</xdr:colOff>
      <xdr:row>13</xdr:row>
      <xdr:rowOff>0</xdr:rowOff>
    </xdr:to>
    <xdr:sp macro="" textlink="">
      <xdr:nvSpPr>
        <xdr:cNvPr id="153" name="Text Box 2">
          <a:extLst>
            <a:ext uri="{FF2B5EF4-FFF2-40B4-BE49-F238E27FC236}">
              <a16:creationId xmlns:a16="http://schemas.microsoft.com/office/drawing/2014/main" id="{00000000-0008-0000-0400-000099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12</xdr:row>
      <xdr:rowOff>0</xdr:rowOff>
    </xdr:from>
    <xdr:to>
      <xdr:col>4</xdr:col>
      <xdr:colOff>76200</xdr:colOff>
      <xdr:row>13</xdr:row>
      <xdr:rowOff>0</xdr:rowOff>
    </xdr:to>
    <xdr:sp macro="" textlink="">
      <xdr:nvSpPr>
        <xdr:cNvPr id="154" name="Text Box 1">
          <a:extLst>
            <a:ext uri="{FF2B5EF4-FFF2-40B4-BE49-F238E27FC236}">
              <a16:creationId xmlns:a16="http://schemas.microsoft.com/office/drawing/2014/main" id="{00000000-0008-0000-0400-00009A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12</xdr:row>
      <xdr:rowOff>0</xdr:rowOff>
    </xdr:from>
    <xdr:to>
      <xdr:col>4</xdr:col>
      <xdr:colOff>76200</xdr:colOff>
      <xdr:row>13</xdr:row>
      <xdr:rowOff>0</xdr:rowOff>
    </xdr:to>
    <xdr:sp macro="" textlink="">
      <xdr:nvSpPr>
        <xdr:cNvPr id="155" name="Text Box 1">
          <a:extLst>
            <a:ext uri="{FF2B5EF4-FFF2-40B4-BE49-F238E27FC236}">
              <a16:creationId xmlns:a16="http://schemas.microsoft.com/office/drawing/2014/main" id="{00000000-0008-0000-0400-00009B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12</xdr:row>
      <xdr:rowOff>0</xdr:rowOff>
    </xdr:from>
    <xdr:to>
      <xdr:col>4</xdr:col>
      <xdr:colOff>76200</xdr:colOff>
      <xdr:row>13</xdr:row>
      <xdr:rowOff>0</xdr:rowOff>
    </xdr:to>
    <xdr:sp macro="" textlink="">
      <xdr:nvSpPr>
        <xdr:cNvPr id="156" name="Text Box 2">
          <a:extLst>
            <a:ext uri="{FF2B5EF4-FFF2-40B4-BE49-F238E27FC236}">
              <a16:creationId xmlns:a16="http://schemas.microsoft.com/office/drawing/2014/main" id="{00000000-0008-0000-0400-00009C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12</xdr:row>
      <xdr:rowOff>0</xdr:rowOff>
    </xdr:from>
    <xdr:to>
      <xdr:col>4</xdr:col>
      <xdr:colOff>76200</xdr:colOff>
      <xdr:row>13</xdr:row>
      <xdr:rowOff>0</xdr:rowOff>
    </xdr:to>
    <xdr:sp macro="" textlink="">
      <xdr:nvSpPr>
        <xdr:cNvPr id="157" name="Text Box 1">
          <a:extLst>
            <a:ext uri="{FF2B5EF4-FFF2-40B4-BE49-F238E27FC236}">
              <a16:creationId xmlns:a16="http://schemas.microsoft.com/office/drawing/2014/main" id="{00000000-0008-0000-0400-00009D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12</xdr:row>
      <xdr:rowOff>0</xdr:rowOff>
    </xdr:from>
    <xdr:to>
      <xdr:col>4</xdr:col>
      <xdr:colOff>76200</xdr:colOff>
      <xdr:row>13</xdr:row>
      <xdr:rowOff>0</xdr:rowOff>
    </xdr:to>
    <xdr:sp macro="" textlink="">
      <xdr:nvSpPr>
        <xdr:cNvPr id="158" name="Text Box 1">
          <a:extLst>
            <a:ext uri="{FF2B5EF4-FFF2-40B4-BE49-F238E27FC236}">
              <a16:creationId xmlns:a16="http://schemas.microsoft.com/office/drawing/2014/main" id="{00000000-0008-0000-0400-00009E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12</xdr:row>
      <xdr:rowOff>0</xdr:rowOff>
    </xdr:from>
    <xdr:to>
      <xdr:col>4</xdr:col>
      <xdr:colOff>76200</xdr:colOff>
      <xdr:row>13</xdr:row>
      <xdr:rowOff>0</xdr:rowOff>
    </xdr:to>
    <xdr:sp macro="" textlink="">
      <xdr:nvSpPr>
        <xdr:cNvPr id="159" name="Text Box 1">
          <a:extLst>
            <a:ext uri="{FF2B5EF4-FFF2-40B4-BE49-F238E27FC236}">
              <a16:creationId xmlns:a16="http://schemas.microsoft.com/office/drawing/2014/main" id="{00000000-0008-0000-0400-00009F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12</xdr:row>
      <xdr:rowOff>0</xdr:rowOff>
    </xdr:from>
    <xdr:to>
      <xdr:col>4</xdr:col>
      <xdr:colOff>76200</xdr:colOff>
      <xdr:row>13</xdr:row>
      <xdr:rowOff>0</xdr:rowOff>
    </xdr:to>
    <xdr:sp macro="" textlink="">
      <xdr:nvSpPr>
        <xdr:cNvPr id="160" name="Text Box 2">
          <a:extLst>
            <a:ext uri="{FF2B5EF4-FFF2-40B4-BE49-F238E27FC236}">
              <a16:creationId xmlns:a16="http://schemas.microsoft.com/office/drawing/2014/main" id="{00000000-0008-0000-0400-0000A0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12</xdr:row>
      <xdr:rowOff>0</xdr:rowOff>
    </xdr:from>
    <xdr:to>
      <xdr:col>4</xdr:col>
      <xdr:colOff>76200</xdr:colOff>
      <xdr:row>13</xdr:row>
      <xdr:rowOff>0</xdr:rowOff>
    </xdr:to>
    <xdr:sp macro="" textlink="">
      <xdr:nvSpPr>
        <xdr:cNvPr id="161" name="Text Box 1">
          <a:extLst>
            <a:ext uri="{FF2B5EF4-FFF2-40B4-BE49-F238E27FC236}">
              <a16:creationId xmlns:a16="http://schemas.microsoft.com/office/drawing/2014/main" id="{00000000-0008-0000-0400-0000A1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12</xdr:row>
      <xdr:rowOff>0</xdr:rowOff>
    </xdr:from>
    <xdr:to>
      <xdr:col>4</xdr:col>
      <xdr:colOff>76200</xdr:colOff>
      <xdr:row>13</xdr:row>
      <xdr:rowOff>0</xdr:rowOff>
    </xdr:to>
    <xdr:sp macro="" textlink="">
      <xdr:nvSpPr>
        <xdr:cNvPr id="162" name="Text Box 1">
          <a:extLst>
            <a:ext uri="{FF2B5EF4-FFF2-40B4-BE49-F238E27FC236}">
              <a16:creationId xmlns:a16="http://schemas.microsoft.com/office/drawing/2014/main" id="{00000000-0008-0000-0400-0000A2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13</xdr:row>
      <xdr:rowOff>0</xdr:rowOff>
    </xdr:from>
    <xdr:to>
      <xdr:col>4</xdr:col>
      <xdr:colOff>76200</xdr:colOff>
      <xdr:row>14</xdr:row>
      <xdr:rowOff>0</xdr:rowOff>
    </xdr:to>
    <xdr:sp macro="" textlink="">
      <xdr:nvSpPr>
        <xdr:cNvPr id="163" name="Text Box 1">
          <a:extLst>
            <a:ext uri="{FF2B5EF4-FFF2-40B4-BE49-F238E27FC236}">
              <a16:creationId xmlns:a16="http://schemas.microsoft.com/office/drawing/2014/main" id="{00000000-0008-0000-0400-0000A3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13</xdr:row>
      <xdr:rowOff>0</xdr:rowOff>
    </xdr:from>
    <xdr:to>
      <xdr:col>4</xdr:col>
      <xdr:colOff>76200</xdr:colOff>
      <xdr:row>14</xdr:row>
      <xdr:rowOff>0</xdr:rowOff>
    </xdr:to>
    <xdr:sp macro="" textlink="">
      <xdr:nvSpPr>
        <xdr:cNvPr id="164" name="Text Box 2">
          <a:extLst>
            <a:ext uri="{FF2B5EF4-FFF2-40B4-BE49-F238E27FC236}">
              <a16:creationId xmlns:a16="http://schemas.microsoft.com/office/drawing/2014/main" id="{00000000-0008-0000-0400-0000A4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13</xdr:row>
      <xdr:rowOff>0</xdr:rowOff>
    </xdr:from>
    <xdr:to>
      <xdr:col>4</xdr:col>
      <xdr:colOff>76200</xdr:colOff>
      <xdr:row>14</xdr:row>
      <xdr:rowOff>0</xdr:rowOff>
    </xdr:to>
    <xdr:sp macro="" textlink="">
      <xdr:nvSpPr>
        <xdr:cNvPr id="165" name="Text Box 1">
          <a:extLst>
            <a:ext uri="{FF2B5EF4-FFF2-40B4-BE49-F238E27FC236}">
              <a16:creationId xmlns:a16="http://schemas.microsoft.com/office/drawing/2014/main" id="{00000000-0008-0000-0400-0000A5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13</xdr:row>
      <xdr:rowOff>0</xdr:rowOff>
    </xdr:from>
    <xdr:to>
      <xdr:col>4</xdr:col>
      <xdr:colOff>76200</xdr:colOff>
      <xdr:row>14</xdr:row>
      <xdr:rowOff>0</xdr:rowOff>
    </xdr:to>
    <xdr:sp macro="" textlink="">
      <xdr:nvSpPr>
        <xdr:cNvPr id="166" name="Text Box 1">
          <a:extLst>
            <a:ext uri="{FF2B5EF4-FFF2-40B4-BE49-F238E27FC236}">
              <a16:creationId xmlns:a16="http://schemas.microsoft.com/office/drawing/2014/main" id="{00000000-0008-0000-0400-0000A6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13</xdr:row>
      <xdr:rowOff>0</xdr:rowOff>
    </xdr:from>
    <xdr:to>
      <xdr:col>4</xdr:col>
      <xdr:colOff>76200</xdr:colOff>
      <xdr:row>14</xdr:row>
      <xdr:rowOff>0</xdr:rowOff>
    </xdr:to>
    <xdr:sp macro="" textlink="">
      <xdr:nvSpPr>
        <xdr:cNvPr id="167" name="Text Box 1">
          <a:extLst>
            <a:ext uri="{FF2B5EF4-FFF2-40B4-BE49-F238E27FC236}">
              <a16:creationId xmlns:a16="http://schemas.microsoft.com/office/drawing/2014/main" id="{00000000-0008-0000-0400-0000A7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13</xdr:row>
      <xdr:rowOff>0</xdr:rowOff>
    </xdr:from>
    <xdr:to>
      <xdr:col>4</xdr:col>
      <xdr:colOff>76200</xdr:colOff>
      <xdr:row>14</xdr:row>
      <xdr:rowOff>0</xdr:rowOff>
    </xdr:to>
    <xdr:sp macro="" textlink="">
      <xdr:nvSpPr>
        <xdr:cNvPr id="168" name="Text Box 2">
          <a:extLst>
            <a:ext uri="{FF2B5EF4-FFF2-40B4-BE49-F238E27FC236}">
              <a16:creationId xmlns:a16="http://schemas.microsoft.com/office/drawing/2014/main" id="{00000000-0008-0000-0400-0000A8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13</xdr:row>
      <xdr:rowOff>0</xdr:rowOff>
    </xdr:from>
    <xdr:to>
      <xdr:col>4</xdr:col>
      <xdr:colOff>76200</xdr:colOff>
      <xdr:row>14</xdr:row>
      <xdr:rowOff>0</xdr:rowOff>
    </xdr:to>
    <xdr:sp macro="" textlink="">
      <xdr:nvSpPr>
        <xdr:cNvPr id="169" name="Text Box 1">
          <a:extLst>
            <a:ext uri="{FF2B5EF4-FFF2-40B4-BE49-F238E27FC236}">
              <a16:creationId xmlns:a16="http://schemas.microsoft.com/office/drawing/2014/main" id="{00000000-0008-0000-0400-0000A9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13</xdr:row>
      <xdr:rowOff>0</xdr:rowOff>
    </xdr:from>
    <xdr:to>
      <xdr:col>4</xdr:col>
      <xdr:colOff>76200</xdr:colOff>
      <xdr:row>14</xdr:row>
      <xdr:rowOff>0</xdr:rowOff>
    </xdr:to>
    <xdr:sp macro="" textlink="">
      <xdr:nvSpPr>
        <xdr:cNvPr id="170" name="Text Box 1">
          <a:extLst>
            <a:ext uri="{FF2B5EF4-FFF2-40B4-BE49-F238E27FC236}">
              <a16:creationId xmlns:a16="http://schemas.microsoft.com/office/drawing/2014/main" id="{00000000-0008-0000-0400-0000AA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13</xdr:row>
      <xdr:rowOff>0</xdr:rowOff>
    </xdr:from>
    <xdr:to>
      <xdr:col>4</xdr:col>
      <xdr:colOff>76200</xdr:colOff>
      <xdr:row>14</xdr:row>
      <xdr:rowOff>0</xdr:rowOff>
    </xdr:to>
    <xdr:sp macro="" textlink="">
      <xdr:nvSpPr>
        <xdr:cNvPr id="171" name="Text Box 1">
          <a:extLst>
            <a:ext uri="{FF2B5EF4-FFF2-40B4-BE49-F238E27FC236}">
              <a16:creationId xmlns:a16="http://schemas.microsoft.com/office/drawing/2014/main" id="{00000000-0008-0000-0400-0000AB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13</xdr:row>
      <xdr:rowOff>0</xdr:rowOff>
    </xdr:from>
    <xdr:to>
      <xdr:col>4</xdr:col>
      <xdr:colOff>76200</xdr:colOff>
      <xdr:row>14</xdr:row>
      <xdr:rowOff>0</xdr:rowOff>
    </xdr:to>
    <xdr:sp macro="" textlink="">
      <xdr:nvSpPr>
        <xdr:cNvPr id="172" name="Text Box 2">
          <a:extLst>
            <a:ext uri="{FF2B5EF4-FFF2-40B4-BE49-F238E27FC236}">
              <a16:creationId xmlns:a16="http://schemas.microsoft.com/office/drawing/2014/main" id="{00000000-0008-0000-0400-0000AC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13</xdr:row>
      <xdr:rowOff>0</xdr:rowOff>
    </xdr:from>
    <xdr:to>
      <xdr:col>4</xdr:col>
      <xdr:colOff>76200</xdr:colOff>
      <xdr:row>14</xdr:row>
      <xdr:rowOff>0</xdr:rowOff>
    </xdr:to>
    <xdr:sp macro="" textlink="">
      <xdr:nvSpPr>
        <xdr:cNvPr id="173" name="Text Box 1">
          <a:extLst>
            <a:ext uri="{FF2B5EF4-FFF2-40B4-BE49-F238E27FC236}">
              <a16:creationId xmlns:a16="http://schemas.microsoft.com/office/drawing/2014/main" id="{00000000-0008-0000-0400-0000AD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13</xdr:row>
      <xdr:rowOff>0</xdr:rowOff>
    </xdr:from>
    <xdr:to>
      <xdr:col>4</xdr:col>
      <xdr:colOff>76200</xdr:colOff>
      <xdr:row>14</xdr:row>
      <xdr:rowOff>0</xdr:rowOff>
    </xdr:to>
    <xdr:sp macro="" textlink="">
      <xdr:nvSpPr>
        <xdr:cNvPr id="174" name="Text Box 1">
          <a:extLst>
            <a:ext uri="{FF2B5EF4-FFF2-40B4-BE49-F238E27FC236}">
              <a16:creationId xmlns:a16="http://schemas.microsoft.com/office/drawing/2014/main" id="{00000000-0008-0000-0400-0000AE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13</xdr:row>
      <xdr:rowOff>0</xdr:rowOff>
    </xdr:from>
    <xdr:to>
      <xdr:col>4</xdr:col>
      <xdr:colOff>76200</xdr:colOff>
      <xdr:row>14</xdr:row>
      <xdr:rowOff>0</xdr:rowOff>
    </xdr:to>
    <xdr:sp macro="" textlink="">
      <xdr:nvSpPr>
        <xdr:cNvPr id="175" name="Text Box 1">
          <a:extLst>
            <a:ext uri="{FF2B5EF4-FFF2-40B4-BE49-F238E27FC236}">
              <a16:creationId xmlns:a16="http://schemas.microsoft.com/office/drawing/2014/main" id="{00000000-0008-0000-0400-0000AF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13</xdr:row>
      <xdr:rowOff>0</xdr:rowOff>
    </xdr:from>
    <xdr:to>
      <xdr:col>4</xdr:col>
      <xdr:colOff>76200</xdr:colOff>
      <xdr:row>14</xdr:row>
      <xdr:rowOff>0</xdr:rowOff>
    </xdr:to>
    <xdr:sp macro="" textlink="">
      <xdr:nvSpPr>
        <xdr:cNvPr id="176" name="Text Box 2">
          <a:extLst>
            <a:ext uri="{FF2B5EF4-FFF2-40B4-BE49-F238E27FC236}">
              <a16:creationId xmlns:a16="http://schemas.microsoft.com/office/drawing/2014/main" id="{00000000-0008-0000-0400-0000B0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13</xdr:row>
      <xdr:rowOff>0</xdr:rowOff>
    </xdr:from>
    <xdr:to>
      <xdr:col>4</xdr:col>
      <xdr:colOff>76200</xdr:colOff>
      <xdr:row>14</xdr:row>
      <xdr:rowOff>0</xdr:rowOff>
    </xdr:to>
    <xdr:sp macro="" textlink="">
      <xdr:nvSpPr>
        <xdr:cNvPr id="177" name="Text Box 1">
          <a:extLst>
            <a:ext uri="{FF2B5EF4-FFF2-40B4-BE49-F238E27FC236}">
              <a16:creationId xmlns:a16="http://schemas.microsoft.com/office/drawing/2014/main" id="{00000000-0008-0000-0400-0000B1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13</xdr:row>
      <xdr:rowOff>0</xdr:rowOff>
    </xdr:from>
    <xdr:to>
      <xdr:col>4</xdr:col>
      <xdr:colOff>76200</xdr:colOff>
      <xdr:row>14</xdr:row>
      <xdr:rowOff>0</xdr:rowOff>
    </xdr:to>
    <xdr:sp macro="" textlink="">
      <xdr:nvSpPr>
        <xdr:cNvPr id="178" name="Text Box 1">
          <a:extLst>
            <a:ext uri="{FF2B5EF4-FFF2-40B4-BE49-F238E27FC236}">
              <a16:creationId xmlns:a16="http://schemas.microsoft.com/office/drawing/2014/main" id="{00000000-0008-0000-0400-0000B2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13</xdr:row>
      <xdr:rowOff>0</xdr:rowOff>
    </xdr:from>
    <xdr:to>
      <xdr:col>4</xdr:col>
      <xdr:colOff>76200</xdr:colOff>
      <xdr:row>14</xdr:row>
      <xdr:rowOff>0</xdr:rowOff>
    </xdr:to>
    <xdr:sp macro="" textlink="">
      <xdr:nvSpPr>
        <xdr:cNvPr id="179" name="Text Box 2">
          <a:extLst>
            <a:ext uri="{FF2B5EF4-FFF2-40B4-BE49-F238E27FC236}">
              <a16:creationId xmlns:a16="http://schemas.microsoft.com/office/drawing/2014/main" id="{00000000-0008-0000-0400-0000B3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13</xdr:row>
      <xdr:rowOff>0</xdr:rowOff>
    </xdr:from>
    <xdr:to>
      <xdr:col>4</xdr:col>
      <xdr:colOff>76200</xdr:colOff>
      <xdr:row>14</xdr:row>
      <xdr:rowOff>0</xdr:rowOff>
    </xdr:to>
    <xdr:sp macro="" textlink="">
      <xdr:nvSpPr>
        <xdr:cNvPr id="180" name="Text Box 1">
          <a:extLst>
            <a:ext uri="{FF2B5EF4-FFF2-40B4-BE49-F238E27FC236}">
              <a16:creationId xmlns:a16="http://schemas.microsoft.com/office/drawing/2014/main" id="{00000000-0008-0000-0400-0000B4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13</xdr:row>
      <xdr:rowOff>0</xdr:rowOff>
    </xdr:from>
    <xdr:to>
      <xdr:col>4</xdr:col>
      <xdr:colOff>76200</xdr:colOff>
      <xdr:row>14</xdr:row>
      <xdr:rowOff>0</xdr:rowOff>
    </xdr:to>
    <xdr:sp macro="" textlink="">
      <xdr:nvSpPr>
        <xdr:cNvPr id="181" name="Text Box 1">
          <a:extLst>
            <a:ext uri="{FF2B5EF4-FFF2-40B4-BE49-F238E27FC236}">
              <a16:creationId xmlns:a16="http://schemas.microsoft.com/office/drawing/2014/main" id="{00000000-0008-0000-0400-0000B5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13</xdr:row>
      <xdr:rowOff>0</xdr:rowOff>
    </xdr:from>
    <xdr:to>
      <xdr:col>4</xdr:col>
      <xdr:colOff>76200</xdr:colOff>
      <xdr:row>14</xdr:row>
      <xdr:rowOff>0</xdr:rowOff>
    </xdr:to>
    <xdr:sp macro="" textlink="">
      <xdr:nvSpPr>
        <xdr:cNvPr id="182" name="Text Box 1">
          <a:extLst>
            <a:ext uri="{FF2B5EF4-FFF2-40B4-BE49-F238E27FC236}">
              <a16:creationId xmlns:a16="http://schemas.microsoft.com/office/drawing/2014/main" id="{00000000-0008-0000-0400-0000B6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13</xdr:row>
      <xdr:rowOff>0</xdr:rowOff>
    </xdr:from>
    <xdr:to>
      <xdr:col>4</xdr:col>
      <xdr:colOff>76200</xdr:colOff>
      <xdr:row>14</xdr:row>
      <xdr:rowOff>0</xdr:rowOff>
    </xdr:to>
    <xdr:sp macro="" textlink="">
      <xdr:nvSpPr>
        <xdr:cNvPr id="183" name="Text Box 2">
          <a:extLst>
            <a:ext uri="{FF2B5EF4-FFF2-40B4-BE49-F238E27FC236}">
              <a16:creationId xmlns:a16="http://schemas.microsoft.com/office/drawing/2014/main" id="{00000000-0008-0000-0400-0000B7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13</xdr:row>
      <xdr:rowOff>0</xdr:rowOff>
    </xdr:from>
    <xdr:to>
      <xdr:col>4</xdr:col>
      <xdr:colOff>76200</xdr:colOff>
      <xdr:row>14</xdr:row>
      <xdr:rowOff>0</xdr:rowOff>
    </xdr:to>
    <xdr:sp macro="" textlink="">
      <xdr:nvSpPr>
        <xdr:cNvPr id="184" name="Text Box 1">
          <a:extLst>
            <a:ext uri="{FF2B5EF4-FFF2-40B4-BE49-F238E27FC236}">
              <a16:creationId xmlns:a16="http://schemas.microsoft.com/office/drawing/2014/main" id="{00000000-0008-0000-0400-0000B8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13</xdr:row>
      <xdr:rowOff>0</xdr:rowOff>
    </xdr:from>
    <xdr:to>
      <xdr:col>4</xdr:col>
      <xdr:colOff>76200</xdr:colOff>
      <xdr:row>14</xdr:row>
      <xdr:rowOff>0</xdr:rowOff>
    </xdr:to>
    <xdr:sp macro="" textlink="">
      <xdr:nvSpPr>
        <xdr:cNvPr id="185" name="Text Box 1">
          <a:extLst>
            <a:ext uri="{FF2B5EF4-FFF2-40B4-BE49-F238E27FC236}">
              <a16:creationId xmlns:a16="http://schemas.microsoft.com/office/drawing/2014/main" id="{00000000-0008-0000-0400-0000B9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14</xdr:row>
      <xdr:rowOff>0</xdr:rowOff>
    </xdr:from>
    <xdr:to>
      <xdr:col>4</xdr:col>
      <xdr:colOff>76200</xdr:colOff>
      <xdr:row>15</xdr:row>
      <xdr:rowOff>0</xdr:rowOff>
    </xdr:to>
    <xdr:sp macro="" textlink="">
      <xdr:nvSpPr>
        <xdr:cNvPr id="186" name="Text Box 1">
          <a:extLst>
            <a:ext uri="{FF2B5EF4-FFF2-40B4-BE49-F238E27FC236}">
              <a16:creationId xmlns:a16="http://schemas.microsoft.com/office/drawing/2014/main" id="{00000000-0008-0000-0400-0000BA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14</xdr:row>
      <xdr:rowOff>0</xdr:rowOff>
    </xdr:from>
    <xdr:to>
      <xdr:col>4</xdr:col>
      <xdr:colOff>76200</xdr:colOff>
      <xdr:row>15</xdr:row>
      <xdr:rowOff>0</xdr:rowOff>
    </xdr:to>
    <xdr:sp macro="" textlink="">
      <xdr:nvSpPr>
        <xdr:cNvPr id="187" name="Text Box 2">
          <a:extLst>
            <a:ext uri="{FF2B5EF4-FFF2-40B4-BE49-F238E27FC236}">
              <a16:creationId xmlns:a16="http://schemas.microsoft.com/office/drawing/2014/main" id="{00000000-0008-0000-0400-0000BB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14</xdr:row>
      <xdr:rowOff>0</xdr:rowOff>
    </xdr:from>
    <xdr:to>
      <xdr:col>4</xdr:col>
      <xdr:colOff>76200</xdr:colOff>
      <xdr:row>15</xdr:row>
      <xdr:rowOff>0</xdr:rowOff>
    </xdr:to>
    <xdr:sp macro="" textlink="">
      <xdr:nvSpPr>
        <xdr:cNvPr id="188" name="Text Box 1">
          <a:extLst>
            <a:ext uri="{FF2B5EF4-FFF2-40B4-BE49-F238E27FC236}">
              <a16:creationId xmlns:a16="http://schemas.microsoft.com/office/drawing/2014/main" id="{00000000-0008-0000-0400-0000BC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14</xdr:row>
      <xdr:rowOff>0</xdr:rowOff>
    </xdr:from>
    <xdr:to>
      <xdr:col>4</xdr:col>
      <xdr:colOff>76200</xdr:colOff>
      <xdr:row>15</xdr:row>
      <xdr:rowOff>0</xdr:rowOff>
    </xdr:to>
    <xdr:sp macro="" textlink="">
      <xdr:nvSpPr>
        <xdr:cNvPr id="189" name="Text Box 1">
          <a:extLst>
            <a:ext uri="{FF2B5EF4-FFF2-40B4-BE49-F238E27FC236}">
              <a16:creationId xmlns:a16="http://schemas.microsoft.com/office/drawing/2014/main" id="{00000000-0008-0000-0400-0000BD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14</xdr:row>
      <xdr:rowOff>0</xdr:rowOff>
    </xdr:from>
    <xdr:to>
      <xdr:col>4</xdr:col>
      <xdr:colOff>76200</xdr:colOff>
      <xdr:row>15</xdr:row>
      <xdr:rowOff>0</xdr:rowOff>
    </xdr:to>
    <xdr:sp macro="" textlink="">
      <xdr:nvSpPr>
        <xdr:cNvPr id="190" name="Text Box 1">
          <a:extLst>
            <a:ext uri="{FF2B5EF4-FFF2-40B4-BE49-F238E27FC236}">
              <a16:creationId xmlns:a16="http://schemas.microsoft.com/office/drawing/2014/main" id="{00000000-0008-0000-0400-0000BE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14</xdr:row>
      <xdr:rowOff>0</xdr:rowOff>
    </xdr:from>
    <xdr:to>
      <xdr:col>4</xdr:col>
      <xdr:colOff>76200</xdr:colOff>
      <xdr:row>15</xdr:row>
      <xdr:rowOff>0</xdr:rowOff>
    </xdr:to>
    <xdr:sp macro="" textlink="">
      <xdr:nvSpPr>
        <xdr:cNvPr id="191" name="Text Box 2">
          <a:extLst>
            <a:ext uri="{FF2B5EF4-FFF2-40B4-BE49-F238E27FC236}">
              <a16:creationId xmlns:a16="http://schemas.microsoft.com/office/drawing/2014/main" id="{00000000-0008-0000-0400-0000BF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14</xdr:row>
      <xdr:rowOff>0</xdr:rowOff>
    </xdr:from>
    <xdr:to>
      <xdr:col>4</xdr:col>
      <xdr:colOff>76200</xdr:colOff>
      <xdr:row>15</xdr:row>
      <xdr:rowOff>0</xdr:rowOff>
    </xdr:to>
    <xdr:sp macro="" textlink="">
      <xdr:nvSpPr>
        <xdr:cNvPr id="192" name="Text Box 1">
          <a:extLst>
            <a:ext uri="{FF2B5EF4-FFF2-40B4-BE49-F238E27FC236}">
              <a16:creationId xmlns:a16="http://schemas.microsoft.com/office/drawing/2014/main" id="{00000000-0008-0000-0400-0000C0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14</xdr:row>
      <xdr:rowOff>0</xdr:rowOff>
    </xdr:from>
    <xdr:to>
      <xdr:col>4</xdr:col>
      <xdr:colOff>76200</xdr:colOff>
      <xdr:row>15</xdr:row>
      <xdr:rowOff>0</xdr:rowOff>
    </xdr:to>
    <xdr:sp macro="" textlink="">
      <xdr:nvSpPr>
        <xdr:cNvPr id="193" name="Text Box 1">
          <a:extLst>
            <a:ext uri="{FF2B5EF4-FFF2-40B4-BE49-F238E27FC236}">
              <a16:creationId xmlns:a16="http://schemas.microsoft.com/office/drawing/2014/main" id="{00000000-0008-0000-0400-0000C1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14</xdr:row>
      <xdr:rowOff>0</xdr:rowOff>
    </xdr:from>
    <xdr:to>
      <xdr:col>4</xdr:col>
      <xdr:colOff>76200</xdr:colOff>
      <xdr:row>15</xdr:row>
      <xdr:rowOff>0</xdr:rowOff>
    </xdr:to>
    <xdr:sp macro="" textlink="">
      <xdr:nvSpPr>
        <xdr:cNvPr id="194" name="Text Box 1">
          <a:extLst>
            <a:ext uri="{FF2B5EF4-FFF2-40B4-BE49-F238E27FC236}">
              <a16:creationId xmlns:a16="http://schemas.microsoft.com/office/drawing/2014/main" id="{00000000-0008-0000-0400-0000C2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14</xdr:row>
      <xdr:rowOff>0</xdr:rowOff>
    </xdr:from>
    <xdr:to>
      <xdr:col>4</xdr:col>
      <xdr:colOff>76200</xdr:colOff>
      <xdr:row>15</xdr:row>
      <xdr:rowOff>0</xdr:rowOff>
    </xdr:to>
    <xdr:sp macro="" textlink="">
      <xdr:nvSpPr>
        <xdr:cNvPr id="195" name="Text Box 2">
          <a:extLst>
            <a:ext uri="{FF2B5EF4-FFF2-40B4-BE49-F238E27FC236}">
              <a16:creationId xmlns:a16="http://schemas.microsoft.com/office/drawing/2014/main" id="{00000000-0008-0000-0400-0000C3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14</xdr:row>
      <xdr:rowOff>0</xdr:rowOff>
    </xdr:from>
    <xdr:to>
      <xdr:col>4</xdr:col>
      <xdr:colOff>76200</xdr:colOff>
      <xdr:row>15</xdr:row>
      <xdr:rowOff>0</xdr:rowOff>
    </xdr:to>
    <xdr:sp macro="" textlink="">
      <xdr:nvSpPr>
        <xdr:cNvPr id="196" name="Text Box 1">
          <a:extLst>
            <a:ext uri="{FF2B5EF4-FFF2-40B4-BE49-F238E27FC236}">
              <a16:creationId xmlns:a16="http://schemas.microsoft.com/office/drawing/2014/main" id="{00000000-0008-0000-0400-0000C4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14</xdr:row>
      <xdr:rowOff>0</xdr:rowOff>
    </xdr:from>
    <xdr:to>
      <xdr:col>4</xdr:col>
      <xdr:colOff>76200</xdr:colOff>
      <xdr:row>15</xdr:row>
      <xdr:rowOff>0</xdr:rowOff>
    </xdr:to>
    <xdr:sp macro="" textlink="">
      <xdr:nvSpPr>
        <xdr:cNvPr id="197" name="Text Box 1">
          <a:extLst>
            <a:ext uri="{FF2B5EF4-FFF2-40B4-BE49-F238E27FC236}">
              <a16:creationId xmlns:a16="http://schemas.microsoft.com/office/drawing/2014/main" id="{00000000-0008-0000-0400-0000C5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14</xdr:row>
      <xdr:rowOff>0</xdr:rowOff>
    </xdr:from>
    <xdr:to>
      <xdr:col>4</xdr:col>
      <xdr:colOff>76200</xdr:colOff>
      <xdr:row>15</xdr:row>
      <xdr:rowOff>0</xdr:rowOff>
    </xdr:to>
    <xdr:sp macro="" textlink="">
      <xdr:nvSpPr>
        <xdr:cNvPr id="198" name="Text Box 1">
          <a:extLst>
            <a:ext uri="{FF2B5EF4-FFF2-40B4-BE49-F238E27FC236}">
              <a16:creationId xmlns:a16="http://schemas.microsoft.com/office/drawing/2014/main" id="{00000000-0008-0000-0400-0000C6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14</xdr:row>
      <xdr:rowOff>0</xdr:rowOff>
    </xdr:from>
    <xdr:to>
      <xdr:col>4</xdr:col>
      <xdr:colOff>76200</xdr:colOff>
      <xdr:row>15</xdr:row>
      <xdr:rowOff>0</xdr:rowOff>
    </xdr:to>
    <xdr:sp macro="" textlink="">
      <xdr:nvSpPr>
        <xdr:cNvPr id="199" name="Text Box 2">
          <a:extLst>
            <a:ext uri="{FF2B5EF4-FFF2-40B4-BE49-F238E27FC236}">
              <a16:creationId xmlns:a16="http://schemas.microsoft.com/office/drawing/2014/main" id="{00000000-0008-0000-0400-0000C7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14</xdr:row>
      <xdr:rowOff>0</xdr:rowOff>
    </xdr:from>
    <xdr:to>
      <xdr:col>4</xdr:col>
      <xdr:colOff>76200</xdr:colOff>
      <xdr:row>15</xdr:row>
      <xdr:rowOff>0</xdr:rowOff>
    </xdr:to>
    <xdr:sp macro="" textlink="">
      <xdr:nvSpPr>
        <xdr:cNvPr id="200" name="Text Box 1">
          <a:extLst>
            <a:ext uri="{FF2B5EF4-FFF2-40B4-BE49-F238E27FC236}">
              <a16:creationId xmlns:a16="http://schemas.microsoft.com/office/drawing/2014/main" id="{00000000-0008-0000-0400-0000C8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14</xdr:row>
      <xdr:rowOff>0</xdr:rowOff>
    </xdr:from>
    <xdr:to>
      <xdr:col>4</xdr:col>
      <xdr:colOff>76200</xdr:colOff>
      <xdr:row>15</xdr:row>
      <xdr:rowOff>0</xdr:rowOff>
    </xdr:to>
    <xdr:sp macro="" textlink="">
      <xdr:nvSpPr>
        <xdr:cNvPr id="201" name="Text Box 1">
          <a:extLst>
            <a:ext uri="{FF2B5EF4-FFF2-40B4-BE49-F238E27FC236}">
              <a16:creationId xmlns:a16="http://schemas.microsoft.com/office/drawing/2014/main" id="{00000000-0008-0000-0400-0000C9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14</xdr:row>
      <xdr:rowOff>0</xdr:rowOff>
    </xdr:from>
    <xdr:to>
      <xdr:col>4</xdr:col>
      <xdr:colOff>76200</xdr:colOff>
      <xdr:row>15</xdr:row>
      <xdr:rowOff>0</xdr:rowOff>
    </xdr:to>
    <xdr:sp macro="" textlink="">
      <xdr:nvSpPr>
        <xdr:cNvPr id="202" name="Text Box 2">
          <a:extLst>
            <a:ext uri="{FF2B5EF4-FFF2-40B4-BE49-F238E27FC236}">
              <a16:creationId xmlns:a16="http://schemas.microsoft.com/office/drawing/2014/main" id="{00000000-0008-0000-0400-0000CA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14</xdr:row>
      <xdr:rowOff>0</xdr:rowOff>
    </xdr:from>
    <xdr:to>
      <xdr:col>4</xdr:col>
      <xdr:colOff>76200</xdr:colOff>
      <xdr:row>15</xdr:row>
      <xdr:rowOff>0</xdr:rowOff>
    </xdr:to>
    <xdr:sp macro="" textlink="">
      <xdr:nvSpPr>
        <xdr:cNvPr id="203" name="Text Box 1">
          <a:extLst>
            <a:ext uri="{FF2B5EF4-FFF2-40B4-BE49-F238E27FC236}">
              <a16:creationId xmlns:a16="http://schemas.microsoft.com/office/drawing/2014/main" id="{00000000-0008-0000-0400-0000CB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14</xdr:row>
      <xdr:rowOff>0</xdr:rowOff>
    </xdr:from>
    <xdr:to>
      <xdr:col>4</xdr:col>
      <xdr:colOff>76200</xdr:colOff>
      <xdr:row>15</xdr:row>
      <xdr:rowOff>0</xdr:rowOff>
    </xdr:to>
    <xdr:sp macro="" textlink="">
      <xdr:nvSpPr>
        <xdr:cNvPr id="204" name="Text Box 1">
          <a:extLst>
            <a:ext uri="{FF2B5EF4-FFF2-40B4-BE49-F238E27FC236}">
              <a16:creationId xmlns:a16="http://schemas.microsoft.com/office/drawing/2014/main" id="{00000000-0008-0000-0400-0000CC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14</xdr:row>
      <xdr:rowOff>0</xdr:rowOff>
    </xdr:from>
    <xdr:to>
      <xdr:col>4</xdr:col>
      <xdr:colOff>76200</xdr:colOff>
      <xdr:row>15</xdr:row>
      <xdr:rowOff>0</xdr:rowOff>
    </xdr:to>
    <xdr:sp macro="" textlink="">
      <xdr:nvSpPr>
        <xdr:cNvPr id="205" name="Text Box 1">
          <a:extLst>
            <a:ext uri="{FF2B5EF4-FFF2-40B4-BE49-F238E27FC236}">
              <a16:creationId xmlns:a16="http://schemas.microsoft.com/office/drawing/2014/main" id="{00000000-0008-0000-0400-0000CD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14</xdr:row>
      <xdr:rowOff>0</xdr:rowOff>
    </xdr:from>
    <xdr:to>
      <xdr:col>4</xdr:col>
      <xdr:colOff>76200</xdr:colOff>
      <xdr:row>15</xdr:row>
      <xdr:rowOff>0</xdr:rowOff>
    </xdr:to>
    <xdr:sp macro="" textlink="">
      <xdr:nvSpPr>
        <xdr:cNvPr id="206" name="Text Box 2">
          <a:extLst>
            <a:ext uri="{FF2B5EF4-FFF2-40B4-BE49-F238E27FC236}">
              <a16:creationId xmlns:a16="http://schemas.microsoft.com/office/drawing/2014/main" id="{00000000-0008-0000-0400-0000CE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14</xdr:row>
      <xdr:rowOff>0</xdr:rowOff>
    </xdr:from>
    <xdr:to>
      <xdr:col>4</xdr:col>
      <xdr:colOff>76200</xdr:colOff>
      <xdr:row>15</xdr:row>
      <xdr:rowOff>0</xdr:rowOff>
    </xdr:to>
    <xdr:sp macro="" textlink="">
      <xdr:nvSpPr>
        <xdr:cNvPr id="207" name="Text Box 1">
          <a:extLst>
            <a:ext uri="{FF2B5EF4-FFF2-40B4-BE49-F238E27FC236}">
              <a16:creationId xmlns:a16="http://schemas.microsoft.com/office/drawing/2014/main" id="{00000000-0008-0000-0400-0000CF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14</xdr:row>
      <xdr:rowOff>0</xdr:rowOff>
    </xdr:from>
    <xdr:to>
      <xdr:col>4</xdr:col>
      <xdr:colOff>76200</xdr:colOff>
      <xdr:row>15</xdr:row>
      <xdr:rowOff>0</xdr:rowOff>
    </xdr:to>
    <xdr:sp macro="" textlink="">
      <xdr:nvSpPr>
        <xdr:cNvPr id="208" name="Text Box 1">
          <a:extLst>
            <a:ext uri="{FF2B5EF4-FFF2-40B4-BE49-F238E27FC236}">
              <a16:creationId xmlns:a16="http://schemas.microsoft.com/office/drawing/2014/main" id="{00000000-0008-0000-0400-0000D0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15</xdr:row>
      <xdr:rowOff>0</xdr:rowOff>
    </xdr:from>
    <xdr:to>
      <xdr:col>4</xdr:col>
      <xdr:colOff>76200</xdr:colOff>
      <xdr:row>16</xdr:row>
      <xdr:rowOff>0</xdr:rowOff>
    </xdr:to>
    <xdr:sp macro="" textlink="">
      <xdr:nvSpPr>
        <xdr:cNvPr id="209" name="Text Box 1">
          <a:extLst>
            <a:ext uri="{FF2B5EF4-FFF2-40B4-BE49-F238E27FC236}">
              <a16:creationId xmlns:a16="http://schemas.microsoft.com/office/drawing/2014/main" id="{00000000-0008-0000-0400-0000D1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15</xdr:row>
      <xdr:rowOff>0</xdr:rowOff>
    </xdr:from>
    <xdr:to>
      <xdr:col>4</xdr:col>
      <xdr:colOff>76200</xdr:colOff>
      <xdr:row>16</xdr:row>
      <xdr:rowOff>0</xdr:rowOff>
    </xdr:to>
    <xdr:sp macro="" textlink="">
      <xdr:nvSpPr>
        <xdr:cNvPr id="210" name="Text Box 2">
          <a:extLst>
            <a:ext uri="{FF2B5EF4-FFF2-40B4-BE49-F238E27FC236}">
              <a16:creationId xmlns:a16="http://schemas.microsoft.com/office/drawing/2014/main" id="{00000000-0008-0000-0400-0000D2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15</xdr:row>
      <xdr:rowOff>0</xdr:rowOff>
    </xdr:from>
    <xdr:to>
      <xdr:col>4</xdr:col>
      <xdr:colOff>76200</xdr:colOff>
      <xdr:row>16</xdr:row>
      <xdr:rowOff>0</xdr:rowOff>
    </xdr:to>
    <xdr:sp macro="" textlink="">
      <xdr:nvSpPr>
        <xdr:cNvPr id="211" name="Text Box 1">
          <a:extLst>
            <a:ext uri="{FF2B5EF4-FFF2-40B4-BE49-F238E27FC236}">
              <a16:creationId xmlns:a16="http://schemas.microsoft.com/office/drawing/2014/main" id="{00000000-0008-0000-0400-0000D3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15</xdr:row>
      <xdr:rowOff>0</xdr:rowOff>
    </xdr:from>
    <xdr:to>
      <xdr:col>4</xdr:col>
      <xdr:colOff>76200</xdr:colOff>
      <xdr:row>16</xdr:row>
      <xdr:rowOff>0</xdr:rowOff>
    </xdr:to>
    <xdr:sp macro="" textlink="">
      <xdr:nvSpPr>
        <xdr:cNvPr id="212" name="Text Box 1">
          <a:extLst>
            <a:ext uri="{FF2B5EF4-FFF2-40B4-BE49-F238E27FC236}">
              <a16:creationId xmlns:a16="http://schemas.microsoft.com/office/drawing/2014/main" id="{00000000-0008-0000-0400-0000D4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15</xdr:row>
      <xdr:rowOff>0</xdr:rowOff>
    </xdr:from>
    <xdr:to>
      <xdr:col>4</xdr:col>
      <xdr:colOff>76200</xdr:colOff>
      <xdr:row>16</xdr:row>
      <xdr:rowOff>0</xdr:rowOff>
    </xdr:to>
    <xdr:sp macro="" textlink="">
      <xdr:nvSpPr>
        <xdr:cNvPr id="213" name="Text Box 1">
          <a:extLst>
            <a:ext uri="{FF2B5EF4-FFF2-40B4-BE49-F238E27FC236}">
              <a16:creationId xmlns:a16="http://schemas.microsoft.com/office/drawing/2014/main" id="{00000000-0008-0000-0400-0000D5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15</xdr:row>
      <xdr:rowOff>0</xdr:rowOff>
    </xdr:from>
    <xdr:to>
      <xdr:col>4</xdr:col>
      <xdr:colOff>76200</xdr:colOff>
      <xdr:row>16</xdr:row>
      <xdr:rowOff>0</xdr:rowOff>
    </xdr:to>
    <xdr:sp macro="" textlink="">
      <xdr:nvSpPr>
        <xdr:cNvPr id="214" name="Text Box 2">
          <a:extLst>
            <a:ext uri="{FF2B5EF4-FFF2-40B4-BE49-F238E27FC236}">
              <a16:creationId xmlns:a16="http://schemas.microsoft.com/office/drawing/2014/main" id="{00000000-0008-0000-0400-0000D6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15</xdr:row>
      <xdr:rowOff>0</xdr:rowOff>
    </xdr:from>
    <xdr:to>
      <xdr:col>4</xdr:col>
      <xdr:colOff>76200</xdr:colOff>
      <xdr:row>16</xdr:row>
      <xdr:rowOff>0</xdr:rowOff>
    </xdr:to>
    <xdr:sp macro="" textlink="">
      <xdr:nvSpPr>
        <xdr:cNvPr id="215" name="Text Box 1">
          <a:extLst>
            <a:ext uri="{FF2B5EF4-FFF2-40B4-BE49-F238E27FC236}">
              <a16:creationId xmlns:a16="http://schemas.microsoft.com/office/drawing/2014/main" id="{00000000-0008-0000-0400-0000D7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15</xdr:row>
      <xdr:rowOff>0</xdr:rowOff>
    </xdr:from>
    <xdr:to>
      <xdr:col>4</xdr:col>
      <xdr:colOff>76200</xdr:colOff>
      <xdr:row>16</xdr:row>
      <xdr:rowOff>0</xdr:rowOff>
    </xdr:to>
    <xdr:sp macro="" textlink="">
      <xdr:nvSpPr>
        <xdr:cNvPr id="216" name="Text Box 1">
          <a:extLst>
            <a:ext uri="{FF2B5EF4-FFF2-40B4-BE49-F238E27FC236}">
              <a16:creationId xmlns:a16="http://schemas.microsoft.com/office/drawing/2014/main" id="{00000000-0008-0000-0400-0000D8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15</xdr:row>
      <xdr:rowOff>0</xdr:rowOff>
    </xdr:from>
    <xdr:to>
      <xdr:col>4</xdr:col>
      <xdr:colOff>76200</xdr:colOff>
      <xdr:row>16</xdr:row>
      <xdr:rowOff>0</xdr:rowOff>
    </xdr:to>
    <xdr:sp macro="" textlink="">
      <xdr:nvSpPr>
        <xdr:cNvPr id="217" name="Text Box 1">
          <a:extLst>
            <a:ext uri="{FF2B5EF4-FFF2-40B4-BE49-F238E27FC236}">
              <a16:creationId xmlns:a16="http://schemas.microsoft.com/office/drawing/2014/main" id="{00000000-0008-0000-0400-0000D9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15</xdr:row>
      <xdr:rowOff>0</xdr:rowOff>
    </xdr:from>
    <xdr:to>
      <xdr:col>4</xdr:col>
      <xdr:colOff>76200</xdr:colOff>
      <xdr:row>16</xdr:row>
      <xdr:rowOff>0</xdr:rowOff>
    </xdr:to>
    <xdr:sp macro="" textlink="">
      <xdr:nvSpPr>
        <xdr:cNvPr id="218" name="Text Box 2">
          <a:extLst>
            <a:ext uri="{FF2B5EF4-FFF2-40B4-BE49-F238E27FC236}">
              <a16:creationId xmlns:a16="http://schemas.microsoft.com/office/drawing/2014/main" id="{00000000-0008-0000-0400-0000DA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15</xdr:row>
      <xdr:rowOff>0</xdr:rowOff>
    </xdr:from>
    <xdr:to>
      <xdr:col>4</xdr:col>
      <xdr:colOff>76200</xdr:colOff>
      <xdr:row>16</xdr:row>
      <xdr:rowOff>0</xdr:rowOff>
    </xdr:to>
    <xdr:sp macro="" textlink="">
      <xdr:nvSpPr>
        <xdr:cNvPr id="219" name="Text Box 1">
          <a:extLst>
            <a:ext uri="{FF2B5EF4-FFF2-40B4-BE49-F238E27FC236}">
              <a16:creationId xmlns:a16="http://schemas.microsoft.com/office/drawing/2014/main" id="{00000000-0008-0000-0400-0000DB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15</xdr:row>
      <xdr:rowOff>0</xdr:rowOff>
    </xdr:from>
    <xdr:to>
      <xdr:col>4</xdr:col>
      <xdr:colOff>76200</xdr:colOff>
      <xdr:row>16</xdr:row>
      <xdr:rowOff>0</xdr:rowOff>
    </xdr:to>
    <xdr:sp macro="" textlink="">
      <xdr:nvSpPr>
        <xdr:cNvPr id="220" name="Text Box 1">
          <a:extLst>
            <a:ext uri="{FF2B5EF4-FFF2-40B4-BE49-F238E27FC236}">
              <a16:creationId xmlns:a16="http://schemas.microsoft.com/office/drawing/2014/main" id="{00000000-0008-0000-0400-0000DC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15</xdr:row>
      <xdr:rowOff>0</xdr:rowOff>
    </xdr:from>
    <xdr:to>
      <xdr:col>4</xdr:col>
      <xdr:colOff>76200</xdr:colOff>
      <xdr:row>16</xdr:row>
      <xdr:rowOff>0</xdr:rowOff>
    </xdr:to>
    <xdr:sp macro="" textlink="">
      <xdr:nvSpPr>
        <xdr:cNvPr id="221" name="Text Box 1">
          <a:extLst>
            <a:ext uri="{FF2B5EF4-FFF2-40B4-BE49-F238E27FC236}">
              <a16:creationId xmlns:a16="http://schemas.microsoft.com/office/drawing/2014/main" id="{00000000-0008-0000-0400-0000DD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15</xdr:row>
      <xdr:rowOff>0</xdr:rowOff>
    </xdr:from>
    <xdr:to>
      <xdr:col>4</xdr:col>
      <xdr:colOff>76200</xdr:colOff>
      <xdr:row>16</xdr:row>
      <xdr:rowOff>0</xdr:rowOff>
    </xdr:to>
    <xdr:sp macro="" textlink="">
      <xdr:nvSpPr>
        <xdr:cNvPr id="222" name="Text Box 2">
          <a:extLst>
            <a:ext uri="{FF2B5EF4-FFF2-40B4-BE49-F238E27FC236}">
              <a16:creationId xmlns:a16="http://schemas.microsoft.com/office/drawing/2014/main" id="{00000000-0008-0000-0400-0000DE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15</xdr:row>
      <xdr:rowOff>0</xdr:rowOff>
    </xdr:from>
    <xdr:to>
      <xdr:col>4</xdr:col>
      <xdr:colOff>76200</xdr:colOff>
      <xdr:row>16</xdr:row>
      <xdr:rowOff>0</xdr:rowOff>
    </xdr:to>
    <xdr:sp macro="" textlink="">
      <xdr:nvSpPr>
        <xdr:cNvPr id="223" name="Text Box 1">
          <a:extLst>
            <a:ext uri="{FF2B5EF4-FFF2-40B4-BE49-F238E27FC236}">
              <a16:creationId xmlns:a16="http://schemas.microsoft.com/office/drawing/2014/main" id="{00000000-0008-0000-0400-0000DF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15</xdr:row>
      <xdr:rowOff>0</xdr:rowOff>
    </xdr:from>
    <xdr:to>
      <xdr:col>4</xdr:col>
      <xdr:colOff>76200</xdr:colOff>
      <xdr:row>16</xdr:row>
      <xdr:rowOff>0</xdr:rowOff>
    </xdr:to>
    <xdr:sp macro="" textlink="">
      <xdr:nvSpPr>
        <xdr:cNvPr id="224" name="Text Box 1">
          <a:extLst>
            <a:ext uri="{FF2B5EF4-FFF2-40B4-BE49-F238E27FC236}">
              <a16:creationId xmlns:a16="http://schemas.microsoft.com/office/drawing/2014/main" id="{00000000-0008-0000-0400-0000E0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15</xdr:row>
      <xdr:rowOff>0</xdr:rowOff>
    </xdr:from>
    <xdr:to>
      <xdr:col>4</xdr:col>
      <xdr:colOff>76200</xdr:colOff>
      <xdr:row>16</xdr:row>
      <xdr:rowOff>0</xdr:rowOff>
    </xdr:to>
    <xdr:sp macro="" textlink="">
      <xdr:nvSpPr>
        <xdr:cNvPr id="225" name="Text Box 2">
          <a:extLst>
            <a:ext uri="{FF2B5EF4-FFF2-40B4-BE49-F238E27FC236}">
              <a16:creationId xmlns:a16="http://schemas.microsoft.com/office/drawing/2014/main" id="{00000000-0008-0000-0400-0000E1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15</xdr:row>
      <xdr:rowOff>0</xdr:rowOff>
    </xdr:from>
    <xdr:to>
      <xdr:col>4</xdr:col>
      <xdr:colOff>76200</xdr:colOff>
      <xdr:row>16</xdr:row>
      <xdr:rowOff>0</xdr:rowOff>
    </xdr:to>
    <xdr:sp macro="" textlink="">
      <xdr:nvSpPr>
        <xdr:cNvPr id="226" name="Text Box 1">
          <a:extLst>
            <a:ext uri="{FF2B5EF4-FFF2-40B4-BE49-F238E27FC236}">
              <a16:creationId xmlns:a16="http://schemas.microsoft.com/office/drawing/2014/main" id="{00000000-0008-0000-0400-0000E2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15</xdr:row>
      <xdr:rowOff>0</xdr:rowOff>
    </xdr:from>
    <xdr:to>
      <xdr:col>4</xdr:col>
      <xdr:colOff>76200</xdr:colOff>
      <xdr:row>16</xdr:row>
      <xdr:rowOff>0</xdr:rowOff>
    </xdr:to>
    <xdr:sp macro="" textlink="">
      <xdr:nvSpPr>
        <xdr:cNvPr id="227" name="Text Box 1">
          <a:extLst>
            <a:ext uri="{FF2B5EF4-FFF2-40B4-BE49-F238E27FC236}">
              <a16:creationId xmlns:a16="http://schemas.microsoft.com/office/drawing/2014/main" id="{00000000-0008-0000-0400-0000E3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15</xdr:row>
      <xdr:rowOff>0</xdr:rowOff>
    </xdr:from>
    <xdr:to>
      <xdr:col>4</xdr:col>
      <xdr:colOff>76200</xdr:colOff>
      <xdr:row>16</xdr:row>
      <xdr:rowOff>0</xdr:rowOff>
    </xdr:to>
    <xdr:sp macro="" textlink="">
      <xdr:nvSpPr>
        <xdr:cNvPr id="228" name="Text Box 1">
          <a:extLst>
            <a:ext uri="{FF2B5EF4-FFF2-40B4-BE49-F238E27FC236}">
              <a16:creationId xmlns:a16="http://schemas.microsoft.com/office/drawing/2014/main" id="{00000000-0008-0000-0400-0000E4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15</xdr:row>
      <xdr:rowOff>0</xdr:rowOff>
    </xdr:from>
    <xdr:to>
      <xdr:col>4</xdr:col>
      <xdr:colOff>76200</xdr:colOff>
      <xdr:row>16</xdr:row>
      <xdr:rowOff>0</xdr:rowOff>
    </xdr:to>
    <xdr:sp macro="" textlink="">
      <xdr:nvSpPr>
        <xdr:cNvPr id="229" name="Text Box 2">
          <a:extLst>
            <a:ext uri="{FF2B5EF4-FFF2-40B4-BE49-F238E27FC236}">
              <a16:creationId xmlns:a16="http://schemas.microsoft.com/office/drawing/2014/main" id="{00000000-0008-0000-0400-0000E5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15</xdr:row>
      <xdr:rowOff>0</xdr:rowOff>
    </xdr:from>
    <xdr:to>
      <xdr:col>4</xdr:col>
      <xdr:colOff>76200</xdr:colOff>
      <xdr:row>16</xdr:row>
      <xdr:rowOff>0</xdr:rowOff>
    </xdr:to>
    <xdr:sp macro="" textlink="">
      <xdr:nvSpPr>
        <xdr:cNvPr id="230" name="Text Box 1">
          <a:extLst>
            <a:ext uri="{FF2B5EF4-FFF2-40B4-BE49-F238E27FC236}">
              <a16:creationId xmlns:a16="http://schemas.microsoft.com/office/drawing/2014/main" id="{00000000-0008-0000-0400-0000E6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15</xdr:row>
      <xdr:rowOff>0</xdr:rowOff>
    </xdr:from>
    <xdr:to>
      <xdr:col>4</xdr:col>
      <xdr:colOff>76200</xdr:colOff>
      <xdr:row>16</xdr:row>
      <xdr:rowOff>0</xdr:rowOff>
    </xdr:to>
    <xdr:sp macro="" textlink="">
      <xdr:nvSpPr>
        <xdr:cNvPr id="231" name="Text Box 1">
          <a:extLst>
            <a:ext uri="{FF2B5EF4-FFF2-40B4-BE49-F238E27FC236}">
              <a16:creationId xmlns:a16="http://schemas.microsoft.com/office/drawing/2014/main" id="{00000000-0008-0000-0400-0000E7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16</xdr:row>
      <xdr:rowOff>0</xdr:rowOff>
    </xdr:from>
    <xdr:to>
      <xdr:col>4</xdr:col>
      <xdr:colOff>76200</xdr:colOff>
      <xdr:row>17</xdr:row>
      <xdr:rowOff>0</xdr:rowOff>
    </xdr:to>
    <xdr:sp macro="" textlink="">
      <xdr:nvSpPr>
        <xdr:cNvPr id="232" name="Text Box 1">
          <a:extLst>
            <a:ext uri="{FF2B5EF4-FFF2-40B4-BE49-F238E27FC236}">
              <a16:creationId xmlns:a16="http://schemas.microsoft.com/office/drawing/2014/main" id="{00000000-0008-0000-0400-0000E8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16</xdr:row>
      <xdr:rowOff>0</xdr:rowOff>
    </xdr:from>
    <xdr:to>
      <xdr:col>4</xdr:col>
      <xdr:colOff>76200</xdr:colOff>
      <xdr:row>17</xdr:row>
      <xdr:rowOff>0</xdr:rowOff>
    </xdr:to>
    <xdr:sp macro="" textlink="">
      <xdr:nvSpPr>
        <xdr:cNvPr id="233" name="Text Box 2">
          <a:extLst>
            <a:ext uri="{FF2B5EF4-FFF2-40B4-BE49-F238E27FC236}">
              <a16:creationId xmlns:a16="http://schemas.microsoft.com/office/drawing/2014/main" id="{00000000-0008-0000-0400-0000E9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16</xdr:row>
      <xdr:rowOff>0</xdr:rowOff>
    </xdr:from>
    <xdr:to>
      <xdr:col>4</xdr:col>
      <xdr:colOff>76200</xdr:colOff>
      <xdr:row>17</xdr:row>
      <xdr:rowOff>0</xdr:rowOff>
    </xdr:to>
    <xdr:sp macro="" textlink="">
      <xdr:nvSpPr>
        <xdr:cNvPr id="234" name="Text Box 1">
          <a:extLst>
            <a:ext uri="{FF2B5EF4-FFF2-40B4-BE49-F238E27FC236}">
              <a16:creationId xmlns:a16="http://schemas.microsoft.com/office/drawing/2014/main" id="{00000000-0008-0000-0400-0000EA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16</xdr:row>
      <xdr:rowOff>0</xdr:rowOff>
    </xdr:from>
    <xdr:to>
      <xdr:col>4</xdr:col>
      <xdr:colOff>76200</xdr:colOff>
      <xdr:row>17</xdr:row>
      <xdr:rowOff>0</xdr:rowOff>
    </xdr:to>
    <xdr:sp macro="" textlink="">
      <xdr:nvSpPr>
        <xdr:cNvPr id="235" name="Text Box 1">
          <a:extLst>
            <a:ext uri="{FF2B5EF4-FFF2-40B4-BE49-F238E27FC236}">
              <a16:creationId xmlns:a16="http://schemas.microsoft.com/office/drawing/2014/main" id="{00000000-0008-0000-0400-0000EB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16</xdr:row>
      <xdr:rowOff>0</xdr:rowOff>
    </xdr:from>
    <xdr:to>
      <xdr:col>4</xdr:col>
      <xdr:colOff>76200</xdr:colOff>
      <xdr:row>17</xdr:row>
      <xdr:rowOff>0</xdr:rowOff>
    </xdr:to>
    <xdr:sp macro="" textlink="">
      <xdr:nvSpPr>
        <xdr:cNvPr id="236" name="Text Box 1">
          <a:extLst>
            <a:ext uri="{FF2B5EF4-FFF2-40B4-BE49-F238E27FC236}">
              <a16:creationId xmlns:a16="http://schemas.microsoft.com/office/drawing/2014/main" id="{00000000-0008-0000-0400-0000EC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16</xdr:row>
      <xdr:rowOff>0</xdr:rowOff>
    </xdr:from>
    <xdr:to>
      <xdr:col>4</xdr:col>
      <xdr:colOff>76200</xdr:colOff>
      <xdr:row>17</xdr:row>
      <xdr:rowOff>0</xdr:rowOff>
    </xdr:to>
    <xdr:sp macro="" textlink="">
      <xdr:nvSpPr>
        <xdr:cNvPr id="237" name="Text Box 2">
          <a:extLst>
            <a:ext uri="{FF2B5EF4-FFF2-40B4-BE49-F238E27FC236}">
              <a16:creationId xmlns:a16="http://schemas.microsoft.com/office/drawing/2014/main" id="{00000000-0008-0000-0400-0000ED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16</xdr:row>
      <xdr:rowOff>0</xdr:rowOff>
    </xdr:from>
    <xdr:to>
      <xdr:col>4</xdr:col>
      <xdr:colOff>76200</xdr:colOff>
      <xdr:row>17</xdr:row>
      <xdr:rowOff>0</xdr:rowOff>
    </xdr:to>
    <xdr:sp macro="" textlink="">
      <xdr:nvSpPr>
        <xdr:cNvPr id="238" name="Text Box 1">
          <a:extLst>
            <a:ext uri="{FF2B5EF4-FFF2-40B4-BE49-F238E27FC236}">
              <a16:creationId xmlns:a16="http://schemas.microsoft.com/office/drawing/2014/main" id="{00000000-0008-0000-0400-0000EE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16</xdr:row>
      <xdr:rowOff>0</xdr:rowOff>
    </xdr:from>
    <xdr:to>
      <xdr:col>4</xdr:col>
      <xdr:colOff>76200</xdr:colOff>
      <xdr:row>17</xdr:row>
      <xdr:rowOff>0</xdr:rowOff>
    </xdr:to>
    <xdr:sp macro="" textlink="">
      <xdr:nvSpPr>
        <xdr:cNvPr id="239" name="Text Box 1">
          <a:extLst>
            <a:ext uri="{FF2B5EF4-FFF2-40B4-BE49-F238E27FC236}">
              <a16:creationId xmlns:a16="http://schemas.microsoft.com/office/drawing/2014/main" id="{00000000-0008-0000-0400-0000EF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16</xdr:row>
      <xdr:rowOff>0</xdr:rowOff>
    </xdr:from>
    <xdr:to>
      <xdr:col>4</xdr:col>
      <xdr:colOff>76200</xdr:colOff>
      <xdr:row>17</xdr:row>
      <xdr:rowOff>0</xdr:rowOff>
    </xdr:to>
    <xdr:sp macro="" textlink="">
      <xdr:nvSpPr>
        <xdr:cNvPr id="240" name="Text Box 1">
          <a:extLst>
            <a:ext uri="{FF2B5EF4-FFF2-40B4-BE49-F238E27FC236}">
              <a16:creationId xmlns:a16="http://schemas.microsoft.com/office/drawing/2014/main" id="{00000000-0008-0000-0400-0000F0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16</xdr:row>
      <xdr:rowOff>0</xdr:rowOff>
    </xdr:from>
    <xdr:to>
      <xdr:col>4</xdr:col>
      <xdr:colOff>76200</xdr:colOff>
      <xdr:row>17</xdr:row>
      <xdr:rowOff>0</xdr:rowOff>
    </xdr:to>
    <xdr:sp macro="" textlink="">
      <xdr:nvSpPr>
        <xdr:cNvPr id="241" name="Text Box 2">
          <a:extLst>
            <a:ext uri="{FF2B5EF4-FFF2-40B4-BE49-F238E27FC236}">
              <a16:creationId xmlns:a16="http://schemas.microsoft.com/office/drawing/2014/main" id="{00000000-0008-0000-0400-0000F1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16</xdr:row>
      <xdr:rowOff>0</xdr:rowOff>
    </xdr:from>
    <xdr:to>
      <xdr:col>4</xdr:col>
      <xdr:colOff>76200</xdr:colOff>
      <xdr:row>17</xdr:row>
      <xdr:rowOff>0</xdr:rowOff>
    </xdr:to>
    <xdr:sp macro="" textlink="">
      <xdr:nvSpPr>
        <xdr:cNvPr id="242" name="Text Box 1">
          <a:extLst>
            <a:ext uri="{FF2B5EF4-FFF2-40B4-BE49-F238E27FC236}">
              <a16:creationId xmlns:a16="http://schemas.microsoft.com/office/drawing/2014/main" id="{00000000-0008-0000-0400-0000F2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16</xdr:row>
      <xdr:rowOff>0</xdr:rowOff>
    </xdr:from>
    <xdr:to>
      <xdr:col>4</xdr:col>
      <xdr:colOff>76200</xdr:colOff>
      <xdr:row>17</xdr:row>
      <xdr:rowOff>0</xdr:rowOff>
    </xdr:to>
    <xdr:sp macro="" textlink="">
      <xdr:nvSpPr>
        <xdr:cNvPr id="243" name="Text Box 1">
          <a:extLst>
            <a:ext uri="{FF2B5EF4-FFF2-40B4-BE49-F238E27FC236}">
              <a16:creationId xmlns:a16="http://schemas.microsoft.com/office/drawing/2014/main" id="{00000000-0008-0000-0400-0000F3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16</xdr:row>
      <xdr:rowOff>0</xdr:rowOff>
    </xdr:from>
    <xdr:to>
      <xdr:col>4</xdr:col>
      <xdr:colOff>76200</xdr:colOff>
      <xdr:row>17</xdr:row>
      <xdr:rowOff>0</xdr:rowOff>
    </xdr:to>
    <xdr:sp macro="" textlink="">
      <xdr:nvSpPr>
        <xdr:cNvPr id="244" name="Text Box 1">
          <a:extLst>
            <a:ext uri="{FF2B5EF4-FFF2-40B4-BE49-F238E27FC236}">
              <a16:creationId xmlns:a16="http://schemas.microsoft.com/office/drawing/2014/main" id="{00000000-0008-0000-0400-0000F4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16</xdr:row>
      <xdr:rowOff>0</xdr:rowOff>
    </xdr:from>
    <xdr:to>
      <xdr:col>4</xdr:col>
      <xdr:colOff>76200</xdr:colOff>
      <xdr:row>17</xdr:row>
      <xdr:rowOff>0</xdr:rowOff>
    </xdr:to>
    <xdr:sp macro="" textlink="">
      <xdr:nvSpPr>
        <xdr:cNvPr id="245" name="Text Box 2">
          <a:extLst>
            <a:ext uri="{FF2B5EF4-FFF2-40B4-BE49-F238E27FC236}">
              <a16:creationId xmlns:a16="http://schemas.microsoft.com/office/drawing/2014/main" id="{00000000-0008-0000-0400-0000F5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16</xdr:row>
      <xdr:rowOff>0</xdr:rowOff>
    </xdr:from>
    <xdr:to>
      <xdr:col>4</xdr:col>
      <xdr:colOff>76200</xdr:colOff>
      <xdr:row>17</xdr:row>
      <xdr:rowOff>0</xdr:rowOff>
    </xdr:to>
    <xdr:sp macro="" textlink="">
      <xdr:nvSpPr>
        <xdr:cNvPr id="246" name="Text Box 1">
          <a:extLst>
            <a:ext uri="{FF2B5EF4-FFF2-40B4-BE49-F238E27FC236}">
              <a16:creationId xmlns:a16="http://schemas.microsoft.com/office/drawing/2014/main" id="{00000000-0008-0000-0400-0000F6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16</xdr:row>
      <xdr:rowOff>0</xdr:rowOff>
    </xdr:from>
    <xdr:to>
      <xdr:col>4</xdr:col>
      <xdr:colOff>76200</xdr:colOff>
      <xdr:row>17</xdr:row>
      <xdr:rowOff>0</xdr:rowOff>
    </xdr:to>
    <xdr:sp macro="" textlink="">
      <xdr:nvSpPr>
        <xdr:cNvPr id="247" name="Text Box 1">
          <a:extLst>
            <a:ext uri="{FF2B5EF4-FFF2-40B4-BE49-F238E27FC236}">
              <a16:creationId xmlns:a16="http://schemas.microsoft.com/office/drawing/2014/main" id="{00000000-0008-0000-0400-0000F7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16</xdr:row>
      <xdr:rowOff>0</xdr:rowOff>
    </xdr:from>
    <xdr:to>
      <xdr:col>4</xdr:col>
      <xdr:colOff>76200</xdr:colOff>
      <xdr:row>17</xdr:row>
      <xdr:rowOff>0</xdr:rowOff>
    </xdr:to>
    <xdr:sp macro="" textlink="">
      <xdr:nvSpPr>
        <xdr:cNvPr id="248" name="Text Box 2">
          <a:extLst>
            <a:ext uri="{FF2B5EF4-FFF2-40B4-BE49-F238E27FC236}">
              <a16:creationId xmlns:a16="http://schemas.microsoft.com/office/drawing/2014/main" id="{00000000-0008-0000-0400-0000F8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16</xdr:row>
      <xdr:rowOff>0</xdr:rowOff>
    </xdr:from>
    <xdr:to>
      <xdr:col>4</xdr:col>
      <xdr:colOff>76200</xdr:colOff>
      <xdr:row>17</xdr:row>
      <xdr:rowOff>0</xdr:rowOff>
    </xdr:to>
    <xdr:sp macro="" textlink="">
      <xdr:nvSpPr>
        <xdr:cNvPr id="249" name="Text Box 1">
          <a:extLst>
            <a:ext uri="{FF2B5EF4-FFF2-40B4-BE49-F238E27FC236}">
              <a16:creationId xmlns:a16="http://schemas.microsoft.com/office/drawing/2014/main" id="{00000000-0008-0000-0400-0000F9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16</xdr:row>
      <xdr:rowOff>0</xdr:rowOff>
    </xdr:from>
    <xdr:to>
      <xdr:col>4</xdr:col>
      <xdr:colOff>76200</xdr:colOff>
      <xdr:row>17</xdr:row>
      <xdr:rowOff>0</xdr:rowOff>
    </xdr:to>
    <xdr:sp macro="" textlink="">
      <xdr:nvSpPr>
        <xdr:cNvPr id="250" name="Text Box 1">
          <a:extLst>
            <a:ext uri="{FF2B5EF4-FFF2-40B4-BE49-F238E27FC236}">
              <a16:creationId xmlns:a16="http://schemas.microsoft.com/office/drawing/2014/main" id="{00000000-0008-0000-0400-0000FA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16</xdr:row>
      <xdr:rowOff>0</xdr:rowOff>
    </xdr:from>
    <xdr:to>
      <xdr:col>4</xdr:col>
      <xdr:colOff>76200</xdr:colOff>
      <xdr:row>17</xdr:row>
      <xdr:rowOff>0</xdr:rowOff>
    </xdr:to>
    <xdr:sp macro="" textlink="">
      <xdr:nvSpPr>
        <xdr:cNvPr id="251" name="Text Box 1">
          <a:extLst>
            <a:ext uri="{FF2B5EF4-FFF2-40B4-BE49-F238E27FC236}">
              <a16:creationId xmlns:a16="http://schemas.microsoft.com/office/drawing/2014/main" id="{00000000-0008-0000-0400-0000FB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16</xdr:row>
      <xdr:rowOff>0</xdr:rowOff>
    </xdr:from>
    <xdr:to>
      <xdr:col>4</xdr:col>
      <xdr:colOff>76200</xdr:colOff>
      <xdr:row>17</xdr:row>
      <xdr:rowOff>0</xdr:rowOff>
    </xdr:to>
    <xdr:sp macro="" textlink="">
      <xdr:nvSpPr>
        <xdr:cNvPr id="252" name="Text Box 2">
          <a:extLst>
            <a:ext uri="{FF2B5EF4-FFF2-40B4-BE49-F238E27FC236}">
              <a16:creationId xmlns:a16="http://schemas.microsoft.com/office/drawing/2014/main" id="{00000000-0008-0000-0400-0000FC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16</xdr:row>
      <xdr:rowOff>0</xdr:rowOff>
    </xdr:from>
    <xdr:to>
      <xdr:col>4</xdr:col>
      <xdr:colOff>76200</xdr:colOff>
      <xdr:row>17</xdr:row>
      <xdr:rowOff>0</xdr:rowOff>
    </xdr:to>
    <xdr:sp macro="" textlink="">
      <xdr:nvSpPr>
        <xdr:cNvPr id="253" name="Text Box 1">
          <a:extLst>
            <a:ext uri="{FF2B5EF4-FFF2-40B4-BE49-F238E27FC236}">
              <a16:creationId xmlns:a16="http://schemas.microsoft.com/office/drawing/2014/main" id="{00000000-0008-0000-0400-0000FD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16</xdr:row>
      <xdr:rowOff>0</xdr:rowOff>
    </xdr:from>
    <xdr:to>
      <xdr:col>4</xdr:col>
      <xdr:colOff>76200</xdr:colOff>
      <xdr:row>17</xdr:row>
      <xdr:rowOff>0</xdr:rowOff>
    </xdr:to>
    <xdr:sp macro="" textlink="">
      <xdr:nvSpPr>
        <xdr:cNvPr id="254" name="Text Box 1">
          <a:extLst>
            <a:ext uri="{FF2B5EF4-FFF2-40B4-BE49-F238E27FC236}">
              <a16:creationId xmlns:a16="http://schemas.microsoft.com/office/drawing/2014/main" id="{00000000-0008-0000-0400-0000FE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17</xdr:row>
      <xdr:rowOff>0</xdr:rowOff>
    </xdr:from>
    <xdr:to>
      <xdr:col>4</xdr:col>
      <xdr:colOff>76200</xdr:colOff>
      <xdr:row>18</xdr:row>
      <xdr:rowOff>0</xdr:rowOff>
    </xdr:to>
    <xdr:sp macro="" textlink="">
      <xdr:nvSpPr>
        <xdr:cNvPr id="255" name="Text Box 1">
          <a:extLst>
            <a:ext uri="{FF2B5EF4-FFF2-40B4-BE49-F238E27FC236}">
              <a16:creationId xmlns:a16="http://schemas.microsoft.com/office/drawing/2014/main" id="{00000000-0008-0000-0400-0000FF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17</xdr:row>
      <xdr:rowOff>0</xdr:rowOff>
    </xdr:from>
    <xdr:to>
      <xdr:col>4</xdr:col>
      <xdr:colOff>76200</xdr:colOff>
      <xdr:row>18</xdr:row>
      <xdr:rowOff>0</xdr:rowOff>
    </xdr:to>
    <xdr:sp macro="" textlink="">
      <xdr:nvSpPr>
        <xdr:cNvPr id="256" name="Text Box 2">
          <a:extLst>
            <a:ext uri="{FF2B5EF4-FFF2-40B4-BE49-F238E27FC236}">
              <a16:creationId xmlns:a16="http://schemas.microsoft.com/office/drawing/2014/main" id="{00000000-0008-0000-0400-000000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17</xdr:row>
      <xdr:rowOff>0</xdr:rowOff>
    </xdr:from>
    <xdr:to>
      <xdr:col>4</xdr:col>
      <xdr:colOff>76200</xdr:colOff>
      <xdr:row>18</xdr:row>
      <xdr:rowOff>0</xdr:rowOff>
    </xdr:to>
    <xdr:sp macro="" textlink="">
      <xdr:nvSpPr>
        <xdr:cNvPr id="257" name="Text Box 1">
          <a:extLst>
            <a:ext uri="{FF2B5EF4-FFF2-40B4-BE49-F238E27FC236}">
              <a16:creationId xmlns:a16="http://schemas.microsoft.com/office/drawing/2014/main" id="{00000000-0008-0000-0400-000001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17</xdr:row>
      <xdr:rowOff>0</xdr:rowOff>
    </xdr:from>
    <xdr:to>
      <xdr:col>4</xdr:col>
      <xdr:colOff>76200</xdr:colOff>
      <xdr:row>18</xdr:row>
      <xdr:rowOff>0</xdr:rowOff>
    </xdr:to>
    <xdr:sp macro="" textlink="">
      <xdr:nvSpPr>
        <xdr:cNvPr id="258" name="Text Box 1">
          <a:extLst>
            <a:ext uri="{FF2B5EF4-FFF2-40B4-BE49-F238E27FC236}">
              <a16:creationId xmlns:a16="http://schemas.microsoft.com/office/drawing/2014/main" id="{00000000-0008-0000-0400-000002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17</xdr:row>
      <xdr:rowOff>0</xdr:rowOff>
    </xdr:from>
    <xdr:to>
      <xdr:col>4</xdr:col>
      <xdr:colOff>76200</xdr:colOff>
      <xdr:row>18</xdr:row>
      <xdr:rowOff>0</xdr:rowOff>
    </xdr:to>
    <xdr:sp macro="" textlink="">
      <xdr:nvSpPr>
        <xdr:cNvPr id="259" name="Text Box 1">
          <a:extLst>
            <a:ext uri="{FF2B5EF4-FFF2-40B4-BE49-F238E27FC236}">
              <a16:creationId xmlns:a16="http://schemas.microsoft.com/office/drawing/2014/main" id="{00000000-0008-0000-0400-000003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17</xdr:row>
      <xdr:rowOff>0</xdr:rowOff>
    </xdr:from>
    <xdr:to>
      <xdr:col>4</xdr:col>
      <xdr:colOff>76200</xdr:colOff>
      <xdr:row>18</xdr:row>
      <xdr:rowOff>0</xdr:rowOff>
    </xdr:to>
    <xdr:sp macro="" textlink="">
      <xdr:nvSpPr>
        <xdr:cNvPr id="260" name="Text Box 2">
          <a:extLst>
            <a:ext uri="{FF2B5EF4-FFF2-40B4-BE49-F238E27FC236}">
              <a16:creationId xmlns:a16="http://schemas.microsoft.com/office/drawing/2014/main" id="{00000000-0008-0000-0400-000004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17</xdr:row>
      <xdr:rowOff>0</xdr:rowOff>
    </xdr:from>
    <xdr:to>
      <xdr:col>4</xdr:col>
      <xdr:colOff>76200</xdr:colOff>
      <xdr:row>18</xdr:row>
      <xdr:rowOff>0</xdr:rowOff>
    </xdr:to>
    <xdr:sp macro="" textlink="">
      <xdr:nvSpPr>
        <xdr:cNvPr id="261" name="Text Box 1">
          <a:extLst>
            <a:ext uri="{FF2B5EF4-FFF2-40B4-BE49-F238E27FC236}">
              <a16:creationId xmlns:a16="http://schemas.microsoft.com/office/drawing/2014/main" id="{00000000-0008-0000-0400-000005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17</xdr:row>
      <xdr:rowOff>0</xdr:rowOff>
    </xdr:from>
    <xdr:to>
      <xdr:col>4</xdr:col>
      <xdr:colOff>76200</xdr:colOff>
      <xdr:row>18</xdr:row>
      <xdr:rowOff>0</xdr:rowOff>
    </xdr:to>
    <xdr:sp macro="" textlink="">
      <xdr:nvSpPr>
        <xdr:cNvPr id="262" name="Text Box 1">
          <a:extLst>
            <a:ext uri="{FF2B5EF4-FFF2-40B4-BE49-F238E27FC236}">
              <a16:creationId xmlns:a16="http://schemas.microsoft.com/office/drawing/2014/main" id="{00000000-0008-0000-0400-000006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17</xdr:row>
      <xdr:rowOff>0</xdr:rowOff>
    </xdr:from>
    <xdr:to>
      <xdr:col>4</xdr:col>
      <xdr:colOff>76200</xdr:colOff>
      <xdr:row>18</xdr:row>
      <xdr:rowOff>0</xdr:rowOff>
    </xdr:to>
    <xdr:sp macro="" textlink="">
      <xdr:nvSpPr>
        <xdr:cNvPr id="263" name="Text Box 1">
          <a:extLst>
            <a:ext uri="{FF2B5EF4-FFF2-40B4-BE49-F238E27FC236}">
              <a16:creationId xmlns:a16="http://schemas.microsoft.com/office/drawing/2014/main" id="{00000000-0008-0000-0400-000007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17</xdr:row>
      <xdr:rowOff>0</xdr:rowOff>
    </xdr:from>
    <xdr:to>
      <xdr:col>4</xdr:col>
      <xdr:colOff>76200</xdr:colOff>
      <xdr:row>18</xdr:row>
      <xdr:rowOff>0</xdr:rowOff>
    </xdr:to>
    <xdr:sp macro="" textlink="">
      <xdr:nvSpPr>
        <xdr:cNvPr id="264" name="Text Box 2">
          <a:extLst>
            <a:ext uri="{FF2B5EF4-FFF2-40B4-BE49-F238E27FC236}">
              <a16:creationId xmlns:a16="http://schemas.microsoft.com/office/drawing/2014/main" id="{00000000-0008-0000-0400-000008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17</xdr:row>
      <xdr:rowOff>0</xdr:rowOff>
    </xdr:from>
    <xdr:to>
      <xdr:col>4</xdr:col>
      <xdr:colOff>76200</xdr:colOff>
      <xdr:row>18</xdr:row>
      <xdr:rowOff>0</xdr:rowOff>
    </xdr:to>
    <xdr:sp macro="" textlink="">
      <xdr:nvSpPr>
        <xdr:cNvPr id="265" name="Text Box 1">
          <a:extLst>
            <a:ext uri="{FF2B5EF4-FFF2-40B4-BE49-F238E27FC236}">
              <a16:creationId xmlns:a16="http://schemas.microsoft.com/office/drawing/2014/main" id="{00000000-0008-0000-0400-000009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17</xdr:row>
      <xdr:rowOff>0</xdr:rowOff>
    </xdr:from>
    <xdr:to>
      <xdr:col>4</xdr:col>
      <xdr:colOff>76200</xdr:colOff>
      <xdr:row>18</xdr:row>
      <xdr:rowOff>0</xdr:rowOff>
    </xdr:to>
    <xdr:sp macro="" textlink="">
      <xdr:nvSpPr>
        <xdr:cNvPr id="266" name="Text Box 1">
          <a:extLst>
            <a:ext uri="{FF2B5EF4-FFF2-40B4-BE49-F238E27FC236}">
              <a16:creationId xmlns:a16="http://schemas.microsoft.com/office/drawing/2014/main" id="{00000000-0008-0000-0400-00000A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17</xdr:row>
      <xdr:rowOff>0</xdr:rowOff>
    </xdr:from>
    <xdr:to>
      <xdr:col>4</xdr:col>
      <xdr:colOff>76200</xdr:colOff>
      <xdr:row>18</xdr:row>
      <xdr:rowOff>0</xdr:rowOff>
    </xdr:to>
    <xdr:sp macro="" textlink="">
      <xdr:nvSpPr>
        <xdr:cNvPr id="267" name="Text Box 1">
          <a:extLst>
            <a:ext uri="{FF2B5EF4-FFF2-40B4-BE49-F238E27FC236}">
              <a16:creationId xmlns:a16="http://schemas.microsoft.com/office/drawing/2014/main" id="{00000000-0008-0000-0400-00000B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17</xdr:row>
      <xdr:rowOff>0</xdr:rowOff>
    </xdr:from>
    <xdr:to>
      <xdr:col>4</xdr:col>
      <xdr:colOff>76200</xdr:colOff>
      <xdr:row>18</xdr:row>
      <xdr:rowOff>0</xdr:rowOff>
    </xdr:to>
    <xdr:sp macro="" textlink="">
      <xdr:nvSpPr>
        <xdr:cNvPr id="268" name="Text Box 2">
          <a:extLst>
            <a:ext uri="{FF2B5EF4-FFF2-40B4-BE49-F238E27FC236}">
              <a16:creationId xmlns:a16="http://schemas.microsoft.com/office/drawing/2014/main" id="{00000000-0008-0000-0400-00000C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17</xdr:row>
      <xdr:rowOff>0</xdr:rowOff>
    </xdr:from>
    <xdr:to>
      <xdr:col>4</xdr:col>
      <xdr:colOff>76200</xdr:colOff>
      <xdr:row>18</xdr:row>
      <xdr:rowOff>0</xdr:rowOff>
    </xdr:to>
    <xdr:sp macro="" textlink="">
      <xdr:nvSpPr>
        <xdr:cNvPr id="269" name="Text Box 1">
          <a:extLst>
            <a:ext uri="{FF2B5EF4-FFF2-40B4-BE49-F238E27FC236}">
              <a16:creationId xmlns:a16="http://schemas.microsoft.com/office/drawing/2014/main" id="{00000000-0008-0000-0400-00000D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17</xdr:row>
      <xdr:rowOff>0</xdr:rowOff>
    </xdr:from>
    <xdr:to>
      <xdr:col>4</xdr:col>
      <xdr:colOff>76200</xdr:colOff>
      <xdr:row>18</xdr:row>
      <xdr:rowOff>0</xdr:rowOff>
    </xdr:to>
    <xdr:sp macro="" textlink="">
      <xdr:nvSpPr>
        <xdr:cNvPr id="270" name="Text Box 1">
          <a:extLst>
            <a:ext uri="{FF2B5EF4-FFF2-40B4-BE49-F238E27FC236}">
              <a16:creationId xmlns:a16="http://schemas.microsoft.com/office/drawing/2014/main" id="{00000000-0008-0000-0400-00000E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17</xdr:row>
      <xdr:rowOff>0</xdr:rowOff>
    </xdr:from>
    <xdr:to>
      <xdr:col>4</xdr:col>
      <xdr:colOff>76200</xdr:colOff>
      <xdr:row>18</xdr:row>
      <xdr:rowOff>0</xdr:rowOff>
    </xdr:to>
    <xdr:sp macro="" textlink="">
      <xdr:nvSpPr>
        <xdr:cNvPr id="271" name="Text Box 2">
          <a:extLst>
            <a:ext uri="{FF2B5EF4-FFF2-40B4-BE49-F238E27FC236}">
              <a16:creationId xmlns:a16="http://schemas.microsoft.com/office/drawing/2014/main" id="{00000000-0008-0000-0400-00000F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17</xdr:row>
      <xdr:rowOff>0</xdr:rowOff>
    </xdr:from>
    <xdr:to>
      <xdr:col>4</xdr:col>
      <xdr:colOff>76200</xdr:colOff>
      <xdr:row>18</xdr:row>
      <xdr:rowOff>0</xdr:rowOff>
    </xdr:to>
    <xdr:sp macro="" textlink="">
      <xdr:nvSpPr>
        <xdr:cNvPr id="272" name="Text Box 1">
          <a:extLst>
            <a:ext uri="{FF2B5EF4-FFF2-40B4-BE49-F238E27FC236}">
              <a16:creationId xmlns:a16="http://schemas.microsoft.com/office/drawing/2014/main" id="{00000000-0008-0000-0400-000010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17</xdr:row>
      <xdr:rowOff>0</xdr:rowOff>
    </xdr:from>
    <xdr:to>
      <xdr:col>4</xdr:col>
      <xdr:colOff>76200</xdr:colOff>
      <xdr:row>18</xdr:row>
      <xdr:rowOff>0</xdr:rowOff>
    </xdr:to>
    <xdr:sp macro="" textlink="">
      <xdr:nvSpPr>
        <xdr:cNvPr id="273" name="Text Box 1">
          <a:extLst>
            <a:ext uri="{FF2B5EF4-FFF2-40B4-BE49-F238E27FC236}">
              <a16:creationId xmlns:a16="http://schemas.microsoft.com/office/drawing/2014/main" id="{00000000-0008-0000-0400-000011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17</xdr:row>
      <xdr:rowOff>0</xdr:rowOff>
    </xdr:from>
    <xdr:to>
      <xdr:col>4</xdr:col>
      <xdr:colOff>76200</xdr:colOff>
      <xdr:row>18</xdr:row>
      <xdr:rowOff>0</xdr:rowOff>
    </xdr:to>
    <xdr:sp macro="" textlink="">
      <xdr:nvSpPr>
        <xdr:cNvPr id="274" name="Text Box 1">
          <a:extLst>
            <a:ext uri="{FF2B5EF4-FFF2-40B4-BE49-F238E27FC236}">
              <a16:creationId xmlns:a16="http://schemas.microsoft.com/office/drawing/2014/main" id="{00000000-0008-0000-0400-000012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17</xdr:row>
      <xdr:rowOff>0</xdr:rowOff>
    </xdr:from>
    <xdr:to>
      <xdr:col>4</xdr:col>
      <xdr:colOff>76200</xdr:colOff>
      <xdr:row>18</xdr:row>
      <xdr:rowOff>0</xdr:rowOff>
    </xdr:to>
    <xdr:sp macro="" textlink="">
      <xdr:nvSpPr>
        <xdr:cNvPr id="275" name="Text Box 2">
          <a:extLst>
            <a:ext uri="{FF2B5EF4-FFF2-40B4-BE49-F238E27FC236}">
              <a16:creationId xmlns:a16="http://schemas.microsoft.com/office/drawing/2014/main" id="{00000000-0008-0000-0400-000013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17</xdr:row>
      <xdr:rowOff>0</xdr:rowOff>
    </xdr:from>
    <xdr:to>
      <xdr:col>4</xdr:col>
      <xdr:colOff>76200</xdr:colOff>
      <xdr:row>18</xdr:row>
      <xdr:rowOff>0</xdr:rowOff>
    </xdr:to>
    <xdr:sp macro="" textlink="">
      <xdr:nvSpPr>
        <xdr:cNvPr id="276" name="Text Box 1">
          <a:extLst>
            <a:ext uri="{FF2B5EF4-FFF2-40B4-BE49-F238E27FC236}">
              <a16:creationId xmlns:a16="http://schemas.microsoft.com/office/drawing/2014/main" id="{00000000-0008-0000-0400-000014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17</xdr:row>
      <xdr:rowOff>0</xdr:rowOff>
    </xdr:from>
    <xdr:to>
      <xdr:col>4</xdr:col>
      <xdr:colOff>76200</xdr:colOff>
      <xdr:row>18</xdr:row>
      <xdr:rowOff>0</xdr:rowOff>
    </xdr:to>
    <xdr:sp macro="" textlink="">
      <xdr:nvSpPr>
        <xdr:cNvPr id="277" name="Text Box 1">
          <a:extLst>
            <a:ext uri="{FF2B5EF4-FFF2-40B4-BE49-F238E27FC236}">
              <a16:creationId xmlns:a16="http://schemas.microsoft.com/office/drawing/2014/main" id="{00000000-0008-0000-0400-000015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76200</xdr:colOff>
      <xdr:row>19</xdr:row>
      <xdr:rowOff>0</xdr:rowOff>
    </xdr:to>
    <xdr:sp macro="" textlink="">
      <xdr:nvSpPr>
        <xdr:cNvPr id="278" name="Text Box 1">
          <a:extLst>
            <a:ext uri="{FF2B5EF4-FFF2-40B4-BE49-F238E27FC236}">
              <a16:creationId xmlns:a16="http://schemas.microsoft.com/office/drawing/2014/main" id="{00000000-0008-0000-0400-000016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76200</xdr:colOff>
      <xdr:row>19</xdr:row>
      <xdr:rowOff>0</xdr:rowOff>
    </xdr:to>
    <xdr:sp macro="" textlink="">
      <xdr:nvSpPr>
        <xdr:cNvPr id="279" name="Text Box 2">
          <a:extLst>
            <a:ext uri="{FF2B5EF4-FFF2-40B4-BE49-F238E27FC236}">
              <a16:creationId xmlns:a16="http://schemas.microsoft.com/office/drawing/2014/main" id="{00000000-0008-0000-0400-000017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76200</xdr:colOff>
      <xdr:row>19</xdr:row>
      <xdr:rowOff>0</xdr:rowOff>
    </xdr:to>
    <xdr:sp macro="" textlink="">
      <xdr:nvSpPr>
        <xdr:cNvPr id="280" name="Text Box 1">
          <a:extLst>
            <a:ext uri="{FF2B5EF4-FFF2-40B4-BE49-F238E27FC236}">
              <a16:creationId xmlns:a16="http://schemas.microsoft.com/office/drawing/2014/main" id="{00000000-0008-0000-0400-000018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76200</xdr:colOff>
      <xdr:row>19</xdr:row>
      <xdr:rowOff>0</xdr:rowOff>
    </xdr:to>
    <xdr:sp macro="" textlink="">
      <xdr:nvSpPr>
        <xdr:cNvPr id="281" name="Text Box 1">
          <a:extLst>
            <a:ext uri="{FF2B5EF4-FFF2-40B4-BE49-F238E27FC236}">
              <a16:creationId xmlns:a16="http://schemas.microsoft.com/office/drawing/2014/main" id="{00000000-0008-0000-0400-000019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76200</xdr:colOff>
      <xdr:row>19</xdr:row>
      <xdr:rowOff>0</xdr:rowOff>
    </xdr:to>
    <xdr:sp macro="" textlink="">
      <xdr:nvSpPr>
        <xdr:cNvPr id="282" name="Text Box 1">
          <a:extLst>
            <a:ext uri="{FF2B5EF4-FFF2-40B4-BE49-F238E27FC236}">
              <a16:creationId xmlns:a16="http://schemas.microsoft.com/office/drawing/2014/main" id="{00000000-0008-0000-0400-00001A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76200</xdr:colOff>
      <xdr:row>19</xdr:row>
      <xdr:rowOff>0</xdr:rowOff>
    </xdr:to>
    <xdr:sp macro="" textlink="">
      <xdr:nvSpPr>
        <xdr:cNvPr id="283" name="Text Box 2">
          <a:extLst>
            <a:ext uri="{FF2B5EF4-FFF2-40B4-BE49-F238E27FC236}">
              <a16:creationId xmlns:a16="http://schemas.microsoft.com/office/drawing/2014/main" id="{00000000-0008-0000-0400-00001B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76200</xdr:colOff>
      <xdr:row>19</xdr:row>
      <xdr:rowOff>0</xdr:rowOff>
    </xdr:to>
    <xdr:sp macro="" textlink="">
      <xdr:nvSpPr>
        <xdr:cNvPr id="284" name="Text Box 1">
          <a:extLst>
            <a:ext uri="{FF2B5EF4-FFF2-40B4-BE49-F238E27FC236}">
              <a16:creationId xmlns:a16="http://schemas.microsoft.com/office/drawing/2014/main" id="{00000000-0008-0000-0400-00001C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76200</xdr:colOff>
      <xdr:row>19</xdr:row>
      <xdr:rowOff>0</xdr:rowOff>
    </xdr:to>
    <xdr:sp macro="" textlink="">
      <xdr:nvSpPr>
        <xdr:cNvPr id="285" name="Text Box 1">
          <a:extLst>
            <a:ext uri="{FF2B5EF4-FFF2-40B4-BE49-F238E27FC236}">
              <a16:creationId xmlns:a16="http://schemas.microsoft.com/office/drawing/2014/main" id="{00000000-0008-0000-0400-00001D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76200</xdr:colOff>
      <xdr:row>19</xdr:row>
      <xdr:rowOff>0</xdr:rowOff>
    </xdr:to>
    <xdr:sp macro="" textlink="">
      <xdr:nvSpPr>
        <xdr:cNvPr id="286" name="Text Box 1">
          <a:extLst>
            <a:ext uri="{FF2B5EF4-FFF2-40B4-BE49-F238E27FC236}">
              <a16:creationId xmlns:a16="http://schemas.microsoft.com/office/drawing/2014/main" id="{00000000-0008-0000-0400-00001E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76200</xdr:colOff>
      <xdr:row>19</xdr:row>
      <xdr:rowOff>0</xdr:rowOff>
    </xdr:to>
    <xdr:sp macro="" textlink="">
      <xdr:nvSpPr>
        <xdr:cNvPr id="287" name="Text Box 2">
          <a:extLst>
            <a:ext uri="{FF2B5EF4-FFF2-40B4-BE49-F238E27FC236}">
              <a16:creationId xmlns:a16="http://schemas.microsoft.com/office/drawing/2014/main" id="{00000000-0008-0000-0400-00001F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76200</xdr:colOff>
      <xdr:row>19</xdr:row>
      <xdr:rowOff>0</xdr:rowOff>
    </xdr:to>
    <xdr:sp macro="" textlink="">
      <xdr:nvSpPr>
        <xdr:cNvPr id="288" name="Text Box 1">
          <a:extLst>
            <a:ext uri="{FF2B5EF4-FFF2-40B4-BE49-F238E27FC236}">
              <a16:creationId xmlns:a16="http://schemas.microsoft.com/office/drawing/2014/main" id="{00000000-0008-0000-0400-000020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76200</xdr:colOff>
      <xdr:row>19</xdr:row>
      <xdr:rowOff>0</xdr:rowOff>
    </xdr:to>
    <xdr:sp macro="" textlink="">
      <xdr:nvSpPr>
        <xdr:cNvPr id="289" name="Text Box 1">
          <a:extLst>
            <a:ext uri="{FF2B5EF4-FFF2-40B4-BE49-F238E27FC236}">
              <a16:creationId xmlns:a16="http://schemas.microsoft.com/office/drawing/2014/main" id="{00000000-0008-0000-0400-000021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76200</xdr:colOff>
      <xdr:row>19</xdr:row>
      <xdr:rowOff>0</xdr:rowOff>
    </xdr:to>
    <xdr:sp macro="" textlink="">
      <xdr:nvSpPr>
        <xdr:cNvPr id="290" name="Text Box 1">
          <a:extLst>
            <a:ext uri="{FF2B5EF4-FFF2-40B4-BE49-F238E27FC236}">
              <a16:creationId xmlns:a16="http://schemas.microsoft.com/office/drawing/2014/main" id="{00000000-0008-0000-0400-000022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76200</xdr:colOff>
      <xdr:row>19</xdr:row>
      <xdr:rowOff>0</xdr:rowOff>
    </xdr:to>
    <xdr:sp macro="" textlink="">
      <xdr:nvSpPr>
        <xdr:cNvPr id="291" name="Text Box 2">
          <a:extLst>
            <a:ext uri="{FF2B5EF4-FFF2-40B4-BE49-F238E27FC236}">
              <a16:creationId xmlns:a16="http://schemas.microsoft.com/office/drawing/2014/main" id="{00000000-0008-0000-0400-000023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76200</xdr:colOff>
      <xdr:row>19</xdr:row>
      <xdr:rowOff>0</xdr:rowOff>
    </xdr:to>
    <xdr:sp macro="" textlink="">
      <xdr:nvSpPr>
        <xdr:cNvPr id="292" name="Text Box 1">
          <a:extLst>
            <a:ext uri="{FF2B5EF4-FFF2-40B4-BE49-F238E27FC236}">
              <a16:creationId xmlns:a16="http://schemas.microsoft.com/office/drawing/2014/main" id="{00000000-0008-0000-0400-000024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76200</xdr:colOff>
      <xdr:row>19</xdr:row>
      <xdr:rowOff>0</xdr:rowOff>
    </xdr:to>
    <xdr:sp macro="" textlink="">
      <xdr:nvSpPr>
        <xdr:cNvPr id="293" name="Text Box 1">
          <a:extLst>
            <a:ext uri="{FF2B5EF4-FFF2-40B4-BE49-F238E27FC236}">
              <a16:creationId xmlns:a16="http://schemas.microsoft.com/office/drawing/2014/main" id="{00000000-0008-0000-0400-000025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76200</xdr:colOff>
      <xdr:row>19</xdr:row>
      <xdr:rowOff>0</xdr:rowOff>
    </xdr:to>
    <xdr:sp macro="" textlink="">
      <xdr:nvSpPr>
        <xdr:cNvPr id="294" name="Text Box 2">
          <a:extLst>
            <a:ext uri="{FF2B5EF4-FFF2-40B4-BE49-F238E27FC236}">
              <a16:creationId xmlns:a16="http://schemas.microsoft.com/office/drawing/2014/main" id="{00000000-0008-0000-0400-000026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76200</xdr:colOff>
      <xdr:row>19</xdr:row>
      <xdr:rowOff>0</xdr:rowOff>
    </xdr:to>
    <xdr:sp macro="" textlink="">
      <xdr:nvSpPr>
        <xdr:cNvPr id="295" name="Text Box 1">
          <a:extLst>
            <a:ext uri="{FF2B5EF4-FFF2-40B4-BE49-F238E27FC236}">
              <a16:creationId xmlns:a16="http://schemas.microsoft.com/office/drawing/2014/main" id="{00000000-0008-0000-0400-000027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76200</xdr:colOff>
      <xdr:row>19</xdr:row>
      <xdr:rowOff>0</xdr:rowOff>
    </xdr:to>
    <xdr:sp macro="" textlink="">
      <xdr:nvSpPr>
        <xdr:cNvPr id="296" name="Text Box 1">
          <a:extLst>
            <a:ext uri="{FF2B5EF4-FFF2-40B4-BE49-F238E27FC236}">
              <a16:creationId xmlns:a16="http://schemas.microsoft.com/office/drawing/2014/main" id="{00000000-0008-0000-0400-000028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76200</xdr:colOff>
      <xdr:row>19</xdr:row>
      <xdr:rowOff>0</xdr:rowOff>
    </xdr:to>
    <xdr:sp macro="" textlink="">
      <xdr:nvSpPr>
        <xdr:cNvPr id="297" name="Text Box 1">
          <a:extLst>
            <a:ext uri="{FF2B5EF4-FFF2-40B4-BE49-F238E27FC236}">
              <a16:creationId xmlns:a16="http://schemas.microsoft.com/office/drawing/2014/main" id="{00000000-0008-0000-0400-000029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76200</xdr:colOff>
      <xdr:row>19</xdr:row>
      <xdr:rowOff>0</xdr:rowOff>
    </xdr:to>
    <xdr:sp macro="" textlink="">
      <xdr:nvSpPr>
        <xdr:cNvPr id="298" name="Text Box 2">
          <a:extLst>
            <a:ext uri="{FF2B5EF4-FFF2-40B4-BE49-F238E27FC236}">
              <a16:creationId xmlns:a16="http://schemas.microsoft.com/office/drawing/2014/main" id="{00000000-0008-0000-0400-00002A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76200</xdr:colOff>
      <xdr:row>19</xdr:row>
      <xdr:rowOff>0</xdr:rowOff>
    </xdr:to>
    <xdr:sp macro="" textlink="">
      <xdr:nvSpPr>
        <xdr:cNvPr id="299" name="Text Box 1">
          <a:extLst>
            <a:ext uri="{FF2B5EF4-FFF2-40B4-BE49-F238E27FC236}">
              <a16:creationId xmlns:a16="http://schemas.microsoft.com/office/drawing/2014/main" id="{00000000-0008-0000-0400-00002B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76200</xdr:colOff>
      <xdr:row>19</xdr:row>
      <xdr:rowOff>0</xdr:rowOff>
    </xdr:to>
    <xdr:sp macro="" textlink="">
      <xdr:nvSpPr>
        <xdr:cNvPr id="300" name="Text Box 1">
          <a:extLst>
            <a:ext uri="{FF2B5EF4-FFF2-40B4-BE49-F238E27FC236}">
              <a16:creationId xmlns:a16="http://schemas.microsoft.com/office/drawing/2014/main" id="{00000000-0008-0000-0400-00002C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19</xdr:row>
      <xdr:rowOff>0</xdr:rowOff>
    </xdr:from>
    <xdr:to>
      <xdr:col>4</xdr:col>
      <xdr:colOff>76200</xdr:colOff>
      <xdr:row>20</xdr:row>
      <xdr:rowOff>0</xdr:rowOff>
    </xdr:to>
    <xdr:sp macro="" textlink="">
      <xdr:nvSpPr>
        <xdr:cNvPr id="301" name="Text Box 1">
          <a:extLst>
            <a:ext uri="{FF2B5EF4-FFF2-40B4-BE49-F238E27FC236}">
              <a16:creationId xmlns:a16="http://schemas.microsoft.com/office/drawing/2014/main" id="{00000000-0008-0000-0400-00002D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19</xdr:row>
      <xdr:rowOff>0</xdr:rowOff>
    </xdr:from>
    <xdr:to>
      <xdr:col>4</xdr:col>
      <xdr:colOff>76200</xdr:colOff>
      <xdr:row>20</xdr:row>
      <xdr:rowOff>0</xdr:rowOff>
    </xdr:to>
    <xdr:sp macro="" textlink="">
      <xdr:nvSpPr>
        <xdr:cNvPr id="302" name="Text Box 2">
          <a:extLst>
            <a:ext uri="{FF2B5EF4-FFF2-40B4-BE49-F238E27FC236}">
              <a16:creationId xmlns:a16="http://schemas.microsoft.com/office/drawing/2014/main" id="{00000000-0008-0000-0400-00002E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19</xdr:row>
      <xdr:rowOff>0</xdr:rowOff>
    </xdr:from>
    <xdr:to>
      <xdr:col>4</xdr:col>
      <xdr:colOff>76200</xdr:colOff>
      <xdr:row>20</xdr:row>
      <xdr:rowOff>0</xdr:rowOff>
    </xdr:to>
    <xdr:sp macro="" textlink="">
      <xdr:nvSpPr>
        <xdr:cNvPr id="303" name="Text Box 1">
          <a:extLst>
            <a:ext uri="{FF2B5EF4-FFF2-40B4-BE49-F238E27FC236}">
              <a16:creationId xmlns:a16="http://schemas.microsoft.com/office/drawing/2014/main" id="{00000000-0008-0000-0400-00002F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19</xdr:row>
      <xdr:rowOff>0</xdr:rowOff>
    </xdr:from>
    <xdr:to>
      <xdr:col>4</xdr:col>
      <xdr:colOff>76200</xdr:colOff>
      <xdr:row>20</xdr:row>
      <xdr:rowOff>0</xdr:rowOff>
    </xdr:to>
    <xdr:sp macro="" textlink="">
      <xdr:nvSpPr>
        <xdr:cNvPr id="304" name="Text Box 1">
          <a:extLst>
            <a:ext uri="{FF2B5EF4-FFF2-40B4-BE49-F238E27FC236}">
              <a16:creationId xmlns:a16="http://schemas.microsoft.com/office/drawing/2014/main" id="{00000000-0008-0000-0400-000030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19</xdr:row>
      <xdr:rowOff>0</xdr:rowOff>
    </xdr:from>
    <xdr:to>
      <xdr:col>4</xdr:col>
      <xdr:colOff>76200</xdr:colOff>
      <xdr:row>20</xdr:row>
      <xdr:rowOff>0</xdr:rowOff>
    </xdr:to>
    <xdr:sp macro="" textlink="">
      <xdr:nvSpPr>
        <xdr:cNvPr id="305" name="Text Box 1">
          <a:extLst>
            <a:ext uri="{FF2B5EF4-FFF2-40B4-BE49-F238E27FC236}">
              <a16:creationId xmlns:a16="http://schemas.microsoft.com/office/drawing/2014/main" id="{00000000-0008-0000-0400-000031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19</xdr:row>
      <xdr:rowOff>0</xdr:rowOff>
    </xdr:from>
    <xdr:to>
      <xdr:col>4</xdr:col>
      <xdr:colOff>76200</xdr:colOff>
      <xdr:row>20</xdr:row>
      <xdr:rowOff>0</xdr:rowOff>
    </xdr:to>
    <xdr:sp macro="" textlink="">
      <xdr:nvSpPr>
        <xdr:cNvPr id="306" name="Text Box 2">
          <a:extLst>
            <a:ext uri="{FF2B5EF4-FFF2-40B4-BE49-F238E27FC236}">
              <a16:creationId xmlns:a16="http://schemas.microsoft.com/office/drawing/2014/main" id="{00000000-0008-0000-0400-000032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19</xdr:row>
      <xdr:rowOff>0</xdr:rowOff>
    </xdr:from>
    <xdr:to>
      <xdr:col>4</xdr:col>
      <xdr:colOff>76200</xdr:colOff>
      <xdr:row>20</xdr:row>
      <xdr:rowOff>0</xdr:rowOff>
    </xdr:to>
    <xdr:sp macro="" textlink="">
      <xdr:nvSpPr>
        <xdr:cNvPr id="307" name="Text Box 1">
          <a:extLst>
            <a:ext uri="{FF2B5EF4-FFF2-40B4-BE49-F238E27FC236}">
              <a16:creationId xmlns:a16="http://schemas.microsoft.com/office/drawing/2014/main" id="{00000000-0008-0000-0400-000033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19</xdr:row>
      <xdr:rowOff>0</xdr:rowOff>
    </xdr:from>
    <xdr:to>
      <xdr:col>4</xdr:col>
      <xdr:colOff>76200</xdr:colOff>
      <xdr:row>20</xdr:row>
      <xdr:rowOff>0</xdr:rowOff>
    </xdr:to>
    <xdr:sp macro="" textlink="">
      <xdr:nvSpPr>
        <xdr:cNvPr id="308" name="Text Box 1">
          <a:extLst>
            <a:ext uri="{FF2B5EF4-FFF2-40B4-BE49-F238E27FC236}">
              <a16:creationId xmlns:a16="http://schemas.microsoft.com/office/drawing/2014/main" id="{00000000-0008-0000-0400-000034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19</xdr:row>
      <xdr:rowOff>0</xdr:rowOff>
    </xdr:from>
    <xdr:to>
      <xdr:col>4</xdr:col>
      <xdr:colOff>76200</xdr:colOff>
      <xdr:row>20</xdr:row>
      <xdr:rowOff>0</xdr:rowOff>
    </xdr:to>
    <xdr:sp macro="" textlink="">
      <xdr:nvSpPr>
        <xdr:cNvPr id="309" name="Text Box 1">
          <a:extLst>
            <a:ext uri="{FF2B5EF4-FFF2-40B4-BE49-F238E27FC236}">
              <a16:creationId xmlns:a16="http://schemas.microsoft.com/office/drawing/2014/main" id="{00000000-0008-0000-0400-000035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19</xdr:row>
      <xdr:rowOff>0</xdr:rowOff>
    </xdr:from>
    <xdr:to>
      <xdr:col>4</xdr:col>
      <xdr:colOff>76200</xdr:colOff>
      <xdr:row>20</xdr:row>
      <xdr:rowOff>0</xdr:rowOff>
    </xdr:to>
    <xdr:sp macro="" textlink="">
      <xdr:nvSpPr>
        <xdr:cNvPr id="310" name="Text Box 2">
          <a:extLst>
            <a:ext uri="{FF2B5EF4-FFF2-40B4-BE49-F238E27FC236}">
              <a16:creationId xmlns:a16="http://schemas.microsoft.com/office/drawing/2014/main" id="{00000000-0008-0000-0400-000036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19</xdr:row>
      <xdr:rowOff>0</xdr:rowOff>
    </xdr:from>
    <xdr:to>
      <xdr:col>4</xdr:col>
      <xdr:colOff>76200</xdr:colOff>
      <xdr:row>20</xdr:row>
      <xdr:rowOff>0</xdr:rowOff>
    </xdr:to>
    <xdr:sp macro="" textlink="">
      <xdr:nvSpPr>
        <xdr:cNvPr id="311" name="Text Box 1">
          <a:extLst>
            <a:ext uri="{FF2B5EF4-FFF2-40B4-BE49-F238E27FC236}">
              <a16:creationId xmlns:a16="http://schemas.microsoft.com/office/drawing/2014/main" id="{00000000-0008-0000-0400-000037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19</xdr:row>
      <xdr:rowOff>0</xdr:rowOff>
    </xdr:from>
    <xdr:to>
      <xdr:col>4</xdr:col>
      <xdr:colOff>76200</xdr:colOff>
      <xdr:row>20</xdr:row>
      <xdr:rowOff>0</xdr:rowOff>
    </xdr:to>
    <xdr:sp macro="" textlink="">
      <xdr:nvSpPr>
        <xdr:cNvPr id="312" name="Text Box 1">
          <a:extLst>
            <a:ext uri="{FF2B5EF4-FFF2-40B4-BE49-F238E27FC236}">
              <a16:creationId xmlns:a16="http://schemas.microsoft.com/office/drawing/2014/main" id="{00000000-0008-0000-0400-000038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19</xdr:row>
      <xdr:rowOff>0</xdr:rowOff>
    </xdr:from>
    <xdr:to>
      <xdr:col>4</xdr:col>
      <xdr:colOff>76200</xdr:colOff>
      <xdr:row>20</xdr:row>
      <xdr:rowOff>0</xdr:rowOff>
    </xdr:to>
    <xdr:sp macro="" textlink="">
      <xdr:nvSpPr>
        <xdr:cNvPr id="313" name="Text Box 1">
          <a:extLst>
            <a:ext uri="{FF2B5EF4-FFF2-40B4-BE49-F238E27FC236}">
              <a16:creationId xmlns:a16="http://schemas.microsoft.com/office/drawing/2014/main" id="{00000000-0008-0000-0400-000039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19</xdr:row>
      <xdr:rowOff>0</xdr:rowOff>
    </xdr:from>
    <xdr:to>
      <xdr:col>4</xdr:col>
      <xdr:colOff>76200</xdr:colOff>
      <xdr:row>20</xdr:row>
      <xdr:rowOff>0</xdr:rowOff>
    </xdr:to>
    <xdr:sp macro="" textlink="">
      <xdr:nvSpPr>
        <xdr:cNvPr id="314" name="Text Box 2">
          <a:extLst>
            <a:ext uri="{FF2B5EF4-FFF2-40B4-BE49-F238E27FC236}">
              <a16:creationId xmlns:a16="http://schemas.microsoft.com/office/drawing/2014/main" id="{00000000-0008-0000-0400-00003A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19</xdr:row>
      <xdr:rowOff>0</xdr:rowOff>
    </xdr:from>
    <xdr:to>
      <xdr:col>4</xdr:col>
      <xdr:colOff>76200</xdr:colOff>
      <xdr:row>20</xdr:row>
      <xdr:rowOff>0</xdr:rowOff>
    </xdr:to>
    <xdr:sp macro="" textlink="">
      <xdr:nvSpPr>
        <xdr:cNvPr id="315" name="Text Box 1">
          <a:extLst>
            <a:ext uri="{FF2B5EF4-FFF2-40B4-BE49-F238E27FC236}">
              <a16:creationId xmlns:a16="http://schemas.microsoft.com/office/drawing/2014/main" id="{00000000-0008-0000-0400-00003B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19</xdr:row>
      <xdr:rowOff>0</xdr:rowOff>
    </xdr:from>
    <xdr:to>
      <xdr:col>4</xdr:col>
      <xdr:colOff>76200</xdr:colOff>
      <xdr:row>20</xdr:row>
      <xdr:rowOff>0</xdr:rowOff>
    </xdr:to>
    <xdr:sp macro="" textlink="">
      <xdr:nvSpPr>
        <xdr:cNvPr id="316" name="Text Box 1">
          <a:extLst>
            <a:ext uri="{FF2B5EF4-FFF2-40B4-BE49-F238E27FC236}">
              <a16:creationId xmlns:a16="http://schemas.microsoft.com/office/drawing/2014/main" id="{00000000-0008-0000-0400-00003C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19</xdr:row>
      <xdr:rowOff>0</xdr:rowOff>
    </xdr:from>
    <xdr:to>
      <xdr:col>4</xdr:col>
      <xdr:colOff>76200</xdr:colOff>
      <xdr:row>20</xdr:row>
      <xdr:rowOff>0</xdr:rowOff>
    </xdr:to>
    <xdr:sp macro="" textlink="">
      <xdr:nvSpPr>
        <xdr:cNvPr id="317" name="Text Box 2">
          <a:extLst>
            <a:ext uri="{FF2B5EF4-FFF2-40B4-BE49-F238E27FC236}">
              <a16:creationId xmlns:a16="http://schemas.microsoft.com/office/drawing/2014/main" id="{00000000-0008-0000-0400-00003D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19</xdr:row>
      <xdr:rowOff>0</xdr:rowOff>
    </xdr:from>
    <xdr:to>
      <xdr:col>4</xdr:col>
      <xdr:colOff>76200</xdr:colOff>
      <xdr:row>20</xdr:row>
      <xdr:rowOff>0</xdr:rowOff>
    </xdr:to>
    <xdr:sp macro="" textlink="">
      <xdr:nvSpPr>
        <xdr:cNvPr id="318" name="Text Box 1">
          <a:extLst>
            <a:ext uri="{FF2B5EF4-FFF2-40B4-BE49-F238E27FC236}">
              <a16:creationId xmlns:a16="http://schemas.microsoft.com/office/drawing/2014/main" id="{00000000-0008-0000-0400-00003E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19</xdr:row>
      <xdr:rowOff>0</xdr:rowOff>
    </xdr:from>
    <xdr:to>
      <xdr:col>4</xdr:col>
      <xdr:colOff>76200</xdr:colOff>
      <xdr:row>20</xdr:row>
      <xdr:rowOff>0</xdr:rowOff>
    </xdr:to>
    <xdr:sp macro="" textlink="">
      <xdr:nvSpPr>
        <xdr:cNvPr id="319" name="Text Box 1">
          <a:extLst>
            <a:ext uri="{FF2B5EF4-FFF2-40B4-BE49-F238E27FC236}">
              <a16:creationId xmlns:a16="http://schemas.microsoft.com/office/drawing/2014/main" id="{00000000-0008-0000-0400-00003F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19</xdr:row>
      <xdr:rowOff>0</xdr:rowOff>
    </xdr:from>
    <xdr:to>
      <xdr:col>4</xdr:col>
      <xdr:colOff>76200</xdr:colOff>
      <xdr:row>20</xdr:row>
      <xdr:rowOff>0</xdr:rowOff>
    </xdr:to>
    <xdr:sp macro="" textlink="">
      <xdr:nvSpPr>
        <xdr:cNvPr id="320" name="Text Box 1">
          <a:extLst>
            <a:ext uri="{FF2B5EF4-FFF2-40B4-BE49-F238E27FC236}">
              <a16:creationId xmlns:a16="http://schemas.microsoft.com/office/drawing/2014/main" id="{00000000-0008-0000-0400-000040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19</xdr:row>
      <xdr:rowOff>0</xdr:rowOff>
    </xdr:from>
    <xdr:to>
      <xdr:col>4</xdr:col>
      <xdr:colOff>76200</xdr:colOff>
      <xdr:row>20</xdr:row>
      <xdr:rowOff>0</xdr:rowOff>
    </xdr:to>
    <xdr:sp macro="" textlink="">
      <xdr:nvSpPr>
        <xdr:cNvPr id="321" name="Text Box 2">
          <a:extLst>
            <a:ext uri="{FF2B5EF4-FFF2-40B4-BE49-F238E27FC236}">
              <a16:creationId xmlns:a16="http://schemas.microsoft.com/office/drawing/2014/main" id="{00000000-0008-0000-0400-000041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19</xdr:row>
      <xdr:rowOff>0</xdr:rowOff>
    </xdr:from>
    <xdr:to>
      <xdr:col>4</xdr:col>
      <xdr:colOff>76200</xdr:colOff>
      <xdr:row>20</xdr:row>
      <xdr:rowOff>0</xdr:rowOff>
    </xdr:to>
    <xdr:sp macro="" textlink="">
      <xdr:nvSpPr>
        <xdr:cNvPr id="322" name="Text Box 1">
          <a:extLst>
            <a:ext uri="{FF2B5EF4-FFF2-40B4-BE49-F238E27FC236}">
              <a16:creationId xmlns:a16="http://schemas.microsoft.com/office/drawing/2014/main" id="{00000000-0008-0000-0400-000042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19</xdr:row>
      <xdr:rowOff>0</xdr:rowOff>
    </xdr:from>
    <xdr:to>
      <xdr:col>4</xdr:col>
      <xdr:colOff>76200</xdr:colOff>
      <xdr:row>20</xdr:row>
      <xdr:rowOff>0</xdr:rowOff>
    </xdr:to>
    <xdr:sp macro="" textlink="">
      <xdr:nvSpPr>
        <xdr:cNvPr id="323" name="Text Box 1">
          <a:extLst>
            <a:ext uri="{FF2B5EF4-FFF2-40B4-BE49-F238E27FC236}">
              <a16:creationId xmlns:a16="http://schemas.microsoft.com/office/drawing/2014/main" id="{00000000-0008-0000-0400-000043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76200</xdr:colOff>
      <xdr:row>21</xdr:row>
      <xdr:rowOff>0</xdr:rowOff>
    </xdr:to>
    <xdr:sp macro="" textlink="">
      <xdr:nvSpPr>
        <xdr:cNvPr id="324" name="Text Box 1">
          <a:extLst>
            <a:ext uri="{FF2B5EF4-FFF2-40B4-BE49-F238E27FC236}">
              <a16:creationId xmlns:a16="http://schemas.microsoft.com/office/drawing/2014/main" id="{00000000-0008-0000-0400-000044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76200</xdr:colOff>
      <xdr:row>21</xdr:row>
      <xdr:rowOff>0</xdr:rowOff>
    </xdr:to>
    <xdr:sp macro="" textlink="">
      <xdr:nvSpPr>
        <xdr:cNvPr id="325" name="Text Box 2">
          <a:extLst>
            <a:ext uri="{FF2B5EF4-FFF2-40B4-BE49-F238E27FC236}">
              <a16:creationId xmlns:a16="http://schemas.microsoft.com/office/drawing/2014/main" id="{00000000-0008-0000-0400-000045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76200</xdr:colOff>
      <xdr:row>21</xdr:row>
      <xdr:rowOff>0</xdr:rowOff>
    </xdr:to>
    <xdr:sp macro="" textlink="">
      <xdr:nvSpPr>
        <xdr:cNvPr id="326" name="Text Box 1">
          <a:extLst>
            <a:ext uri="{FF2B5EF4-FFF2-40B4-BE49-F238E27FC236}">
              <a16:creationId xmlns:a16="http://schemas.microsoft.com/office/drawing/2014/main" id="{00000000-0008-0000-0400-000046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76200</xdr:colOff>
      <xdr:row>21</xdr:row>
      <xdr:rowOff>0</xdr:rowOff>
    </xdr:to>
    <xdr:sp macro="" textlink="">
      <xdr:nvSpPr>
        <xdr:cNvPr id="327" name="Text Box 1">
          <a:extLst>
            <a:ext uri="{FF2B5EF4-FFF2-40B4-BE49-F238E27FC236}">
              <a16:creationId xmlns:a16="http://schemas.microsoft.com/office/drawing/2014/main" id="{00000000-0008-0000-0400-000047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76200</xdr:colOff>
      <xdr:row>21</xdr:row>
      <xdr:rowOff>0</xdr:rowOff>
    </xdr:to>
    <xdr:sp macro="" textlink="">
      <xdr:nvSpPr>
        <xdr:cNvPr id="328" name="Text Box 1">
          <a:extLst>
            <a:ext uri="{FF2B5EF4-FFF2-40B4-BE49-F238E27FC236}">
              <a16:creationId xmlns:a16="http://schemas.microsoft.com/office/drawing/2014/main" id="{00000000-0008-0000-0400-000048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76200</xdr:colOff>
      <xdr:row>21</xdr:row>
      <xdr:rowOff>0</xdr:rowOff>
    </xdr:to>
    <xdr:sp macro="" textlink="">
      <xdr:nvSpPr>
        <xdr:cNvPr id="329" name="Text Box 2">
          <a:extLst>
            <a:ext uri="{FF2B5EF4-FFF2-40B4-BE49-F238E27FC236}">
              <a16:creationId xmlns:a16="http://schemas.microsoft.com/office/drawing/2014/main" id="{00000000-0008-0000-0400-000049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76200</xdr:colOff>
      <xdr:row>21</xdr:row>
      <xdr:rowOff>0</xdr:rowOff>
    </xdr:to>
    <xdr:sp macro="" textlink="">
      <xdr:nvSpPr>
        <xdr:cNvPr id="330" name="Text Box 1">
          <a:extLst>
            <a:ext uri="{FF2B5EF4-FFF2-40B4-BE49-F238E27FC236}">
              <a16:creationId xmlns:a16="http://schemas.microsoft.com/office/drawing/2014/main" id="{00000000-0008-0000-0400-00004A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76200</xdr:colOff>
      <xdr:row>21</xdr:row>
      <xdr:rowOff>0</xdr:rowOff>
    </xdr:to>
    <xdr:sp macro="" textlink="">
      <xdr:nvSpPr>
        <xdr:cNvPr id="331" name="Text Box 1">
          <a:extLst>
            <a:ext uri="{FF2B5EF4-FFF2-40B4-BE49-F238E27FC236}">
              <a16:creationId xmlns:a16="http://schemas.microsoft.com/office/drawing/2014/main" id="{00000000-0008-0000-0400-00004B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76200</xdr:colOff>
      <xdr:row>21</xdr:row>
      <xdr:rowOff>0</xdr:rowOff>
    </xdr:to>
    <xdr:sp macro="" textlink="">
      <xdr:nvSpPr>
        <xdr:cNvPr id="332" name="Text Box 1">
          <a:extLst>
            <a:ext uri="{FF2B5EF4-FFF2-40B4-BE49-F238E27FC236}">
              <a16:creationId xmlns:a16="http://schemas.microsoft.com/office/drawing/2014/main" id="{00000000-0008-0000-0400-00004C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76200</xdr:colOff>
      <xdr:row>21</xdr:row>
      <xdr:rowOff>0</xdr:rowOff>
    </xdr:to>
    <xdr:sp macro="" textlink="">
      <xdr:nvSpPr>
        <xdr:cNvPr id="333" name="Text Box 2">
          <a:extLst>
            <a:ext uri="{FF2B5EF4-FFF2-40B4-BE49-F238E27FC236}">
              <a16:creationId xmlns:a16="http://schemas.microsoft.com/office/drawing/2014/main" id="{00000000-0008-0000-0400-00004D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76200</xdr:colOff>
      <xdr:row>21</xdr:row>
      <xdr:rowOff>0</xdr:rowOff>
    </xdr:to>
    <xdr:sp macro="" textlink="">
      <xdr:nvSpPr>
        <xdr:cNvPr id="334" name="Text Box 1">
          <a:extLst>
            <a:ext uri="{FF2B5EF4-FFF2-40B4-BE49-F238E27FC236}">
              <a16:creationId xmlns:a16="http://schemas.microsoft.com/office/drawing/2014/main" id="{00000000-0008-0000-0400-00004E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76200</xdr:colOff>
      <xdr:row>21</xdr:row>
      <xdr:rowOff>0</xdr:rowOff>
    </xdr:to>
    <xdr:sp macro="" textlink="">
      <xdr:nvSpPr>
        <xdr:cNvPr id="335" name="Text Box 1">
          <a:extLst>
            <a:ext uri="{FF2B5EF4-FFF2-40B4-BE49-F238E27FC236}">
              <a16:creationId xmlns:a16="http://schemas.microsoft.com/office/drawing/2014/main" id="{00000000-0008-0000-0400-00004F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76200</xdr:colOff>
      <xdr:row>21</xdr:row>
      <xdr:rowOff>0</xdr:rowOff>
    </xdr:to>
    <xdr:sp macro="" textlink="">
      <xdr:nvSpPr>
        <xdr:cNvPr id="336" name="Text Box 1">
          <a:extLst>
            <a:ext uri="{FF2B5EF4-FFF2-40B4-BE49-F238E27FC236}">
              <a16:creationId xmlns:a16="http://schemas.microsoft.com/office/drawing/2014/main" id="{00000000-0008-0000-0400-000050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76200</xdr:colOff>
      <xdr:row>21</xdr:row>
      <xdr:rowOff>0</xdr:rowOff>
    </xdr:to>
    <xdr:sp macro="" textlink="">
      <xdr:nvSpPr>
        <xdr:cNvPr id="337" name="Text Box 2">
          <a:extLst>
            <a:ext uri="{FF2B5EF4-FFF2-40B4-BE49-F238E27FC236}">
              <a16:creationId xmlns:a16="http://schemas.microsoft.com/office/drawing/2014/main" id="{00000000-0008-0000-0400-000051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76200</xdr:colOff>
      <xdr:row>21</xdr:row>
      <xdr:rowOff>0</xdr:rowOff>
    </xdr:to>
    <xdr:sp macro="" textlink="">
      <xdr:nvSpPr>
        <xdr:cNvPr id="338" name="Text Box 1">
          <a:extLst>
            <a:ext uri="{FF2B5EF4-FFF2-40B4-BE49-F238E27FC236}">
              <a16:creationId xmlns:a16="http://schemas.microsoft.com/office/drawing/2014/main" id="{00000000-0008-0000-0400-000052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76200</xdr:colOff>
      <xdr:row>21</xdr:row>
      <xdr:rowOff>0</xdr:rowOff>
    </xdr:to>
    <xdr:sp macro="" textlink="">
      <xdr:nvSpPr>
        <xdr:cNvPr id="339" name="Text Box 1">
          <a:extLst>
            <a:ext uri="{FF2B5EF4-FFF2-40B4-BE49-F238E27FC236}">
              <a16:creationId xmlns:a16="http://schemas.microsoft.com/office/drawing/2014/main" id="{00000000-0008-0000-0400-000053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76200</xdr:colOff>
      <xdr:row>21</xdr:row>
      <xdr:rowOff>0</xdr:rowOff>
    </xdr:to>
    <xdr:sp macro="" textlink="">
      <xdr:nvSpPr>
        <xdr:cNvPr id="340" name="Text Box 2">
          <a:extLst>
            <a:ext uri="{FF2B5EF4-FFF2-40B4-BE49-F238E27FC236}">
              <a16:creationId xmlns:a16="http://schemas.microsoft.com/office/drawing/2014/main" id="{00000000-0008-0000-0400-000054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76200</xdr:colOff>
      <xdr:row>21</xdr:row>
      <xdr:rowOff>0</xdr:rowOff>
    </xdr:to>
    <xdr:sp macro="" textlink="">
      <xdr:nvSpPr>
        <xdr:cNvPr id="341" name="Text Box 1">
          <a:extLst>
            <a:ext uri="{FF2B5EF4-FFF2-40B4-BE49-F238E27FC236}">
              <a16:creationId xmlns:a16="http://schemas.microsoft.com/office/drawing/2014/main" id="{00000000-0008-0000-0400-000055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76200</xdr:colOff>
      <xdr:row>21</xdr:row>
      <xdr:rowOff>0</xdr:rowOff>
    </xdr:to>
    <xdr:sp macro="" textlink="">
      <xdr:nvSpPr>
        <xdr:cNvPr id="342" name="Text Box 1">
          <a:extLst>
            <a:ext uri="{FF2B5EF4-FFF2-40B4-BE49-F238E27FC236}">
              <a16:creationId xmlns:a16="http://schemas.microsoft.com/office/drawing/2014/main" id="{00000000-0008-0000-0400-000056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76200</xdr:colOff>
      <xdr:row>21</xdr:row>
      <xdr:rowOff>0</xdr:rowOff>
    </xdr:to>
    <xdr:sp macro="" textlink="">
      <xdr:nvSpPr>
        <xdr:cNvPr id="343" name="Text Box 1">
          <a:extLst>
            <a:ext uri="{FF2B5EF4-FFF2-40B4-BE49-F238E27FC236}">
              <a16:creationId xmlns:a16="http://schemas.microsoft.com/office/drawing/2014/main" id="{00000000-0008-0000-0400-000057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76200</xdr:colOff>
      <xdr:row>21</xdr:row>
      <xdr:rowOff>0</xdr:rowOff>
    </xdr:to>
    <xdr:sp macro="" textlink="">
      <xdr:nvSpPr>
        <xdr:cNvPr id="344" name="Text Box 2">
          <a:extLst>
            <a:ext uri="{FF2B5EF4-FFF2-40B4-BE49-F238E27FC236}">
              <a16:creationId xmlns:a16="http://schemas.microsoft.com/office/drawing/2014/main" id="{00000000-0008-0000-0400-000058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76200</xdr:colOff>
      <xdr:row>21</xdr:row>
      <xdr:rowOff>0</xdr:rowOff>
    </xdr:to>
    <xdr:sp macro="" textlink="">
      <xdr:nvSpPr>
        <xdr:cNvPr id="345" name="Text Box 1">
          <a:extLst>
            <a:ext uri="{FF2B5EF4-FFF2-40B4-BE49-F238E27FC236}">
              <a16:creationId xmlns:a16="http://schemas.microsoft.com/office/drawing/2014/main" id="{00000000-0008-0000-0400-000059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76200</xdr:colOff>
      <xdr:row>21</xdr:row>
      <xdr:rowOff>0</xdr:rowOff>
    </xdr:to>
    <xdr:sp macro="" textlink="">
      <xdr:nvSpPr>
        <xdr:cNvPr id="346" name="Text Box 1">
          <a:extLst>
            <a:ext uri="{FF2B5EF4-FFF2-40B4-BE49-F238E27FC236}">
              <a16:creationId xmlns:a16="http://schemas.microsoft.com/office/drawing/2014/main" id="{00000000-0008-0000-0400-00005A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76200</xdr:colOff>
      <xdr:row>22</xdr:row>
      <xdr:rowOff>0</xdr:rowOff>
    </xdr:to>
    <xdr:sp macro="" textlink="">
      <xdr:nvSpPr>
        <xdr:cNvPr id="347" name="Text Box 1">
          <a:extLst>
            <a:ext uri="{FF2B5EF4-FFF2-40B4-BE49-F238E27FC236}">
              <a16:creationId xmlns:a16="http://schemas.microsoft.com/office/drawing/2014/main" id="{00000000-0008-0000-0400-00005B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76200</xdr:colOff>
      <xdr:row>22</xdr:row>
      <xdr:rowOff>0</xdr:rowOff>
    </xdr:to>
    <xdr:sp macro="" textlink="">
      <xdr:nvSpPr>
        <xdr:cNvPr id="348" name="Text Box 2">
          <a:extLst>
            <a:ext uri="{FF2B5EF4-FFF2-40B4-BE49-F238E27FC236}">
              <a16:creationId xmlns:a16="http://schemas.microsoft.com/office/drawing/2014/main" id="{00000000-0008-0000-0400-00005C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76200</xdr:colOff>
      <xdr:row>22</xdr:row>
      <xdr:rowOff>0</xdr:rowOff>
    </xdr:to>
    <xdr:sp macro="" textlink="">
      <xdr:nvSpPr>
        <xdr:cNvPr id="349" name="Text Box 1">
          <a:extLst>
            <a:ext uri="{FF2B5EF4-FFF2-40B4-BE49-F238E27FC236}">
              <a16:creationId xmlns:a16="http://schemas.microsoft.com/office/drawing/2014/main" id="{00000000-0008-0000-0400-00005D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76200</xdr:colOff>
      <xdr:row>22</xdr:row>
      <xdr:rowOff>0</xdr:rowOff>
    </xdr:to>
    <xdr:sp macro="" textlink="">
      <xdr:nvSpPr>
        <xdr:cNvPr id="350" name="Text Box 1">
          <a:extLst>
            <a:ext uri="{FF2B5EF4-FFF2-40B4-BE49-F238E27FC236}">
              <a16:creationId xmlns:a16="http://schemas.microsoft.com/office/drawing/2014/main" id="{00000000-0008-0000-0400-00005E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76200</xdr:colOff>
      <xdr:row>22</xdr:row>
      <xdr:rowOff>0</xdr:rowOff>
    </xdr:to>
    <xdr:sp macro="" textlink="">
      <xdr:nvSpPr>
        <xdr:cNvPr id="351" name="Text Box 1">
          <a:extLst>
            <a:ext uri="{FF2B5EF4-FFF2-40B4-BE49-F238E27FC236}">
              <a16:creationId xmlns:a16="http://schemas.microsoft.com/office/drawing/2014/main" id="{00000000-0008-0000-0400-00005F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76200</xdr:colOff>
      <xdr:row>22</xdr:row>
      <xdr:rowOff>0</xdr:rowOff>
    </xdr:to>
    <xdr:sp macro="" textlink="">
      <xdr:nvSpPr>
        <xdr:cNvPr id="352" name="Text Box 2">
          <a:extLst>
            <a:ext uri="{FF2B5EF4-FFF2-40B4-BE49-F238E27FC236}">
              <a16:creationId xmlns:a16="http://schemas.microsoft.com/office/drawing/2014/main" id="{00000000-0008-0000-0400-000060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76200</xdr:colOff>
      <xdr:row>22</xdr:row>
      <xdr:rowOff>0</xdr:rowOff>
    </xdr:to>
    <xdr:sp macro="" textlink="">
      <xdr:nvSpPr>
        <xdr:cNvPr id="353" name="Text Box 1">
          <a:extLst>
            <a:ext uri="{FF2B5EF4-FFF2-40B4-BE49-F238E27FC236}">
              <a16:creationId xmlns:a16="http://schemas.microsoft.com/office/drawing/2014/main" id="{00000000-0008-0000-0400-000061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76200</xdr:colOff>
      <xdr:row>22</xdr:row>
      <xdr:rowOff>0</xdr:rowOff>
    </xdr:to>
    <xdr:sp macro="" textlink="">
      <xdr:nvSpPr>
        <xdr:cNvPr id="354" name="Text Box 1">
          <a:extLst>
            <a:ext uri="{FF2B5EF4-FFF2-40B4-BE49-F238E27FC236}">
              <a16:creationId xmlns:a16="http://schemas.microsoft.com/office/drawing/2014/main" id="{00000000-0008-0000-0400-000062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76200</xdr:colOff>
      <xdr:row>22</xdr:row>
      <xdr:rowOff>0</xdr:rowOff>
    </xdr:to>
    <xdr:sp macro="" textlink="">
      <xdr:nvSpPr>
        <xdr:cNvPr id="355" name="Text Box 1">
          <a:extLst>
            <a:ext uri="{FF2B5EF4-FFF2-40B4-BE49-F238E27FC236}">
              <a16:creationId xmlns:a16="http://schemas.microsoft.com/office/drawing/2014/main" id="{00000000-0008-0000-0400-000063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76200</xdr:colOff>
      <xdr:row>22</xdr:row>
      <xdr:rowOff>0</xdr:rowOff>
    </xdr:to>
    <xdr:sp macro="" textlink="">
      <xdr:nvSpPr>
        <xdr:cNvPr id="356" name="Text Box 2">
          <a:extLst>
            <a:ext uri="{FF2B5EF4-FFF2-40B4-BE49-F238E27FC236}">
              <a16:creationId xmlns:a16="http://schemas.microsoft.com/office/drawing/2014/main" id="{00000000-0008-0000-0400-000064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76200</xdr:colOff>
      <xdr:row>22</xdr:row>
      <xdr:rowOff>0</xdr:rowOff>
    </xdr:to>
    <xdr:sp macro="" textlink="">
      <xdr:nvSpPr>
        <xdr:cNvPr id="357" name="Text Box 1">
          <a:extLst>
            <a:ext uri="{FF2B5EF4-FFF2-40B4-BE49-F238E27FC236}">
              <a16:creationId xmlns:a16="http://schemas.microsoft.com/office/drawing/2014/main" id="{00000000-0008-0000-0400-000065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76200</xdr:colOff>
      <xdr:row>22</xdr:row>
      <xdr:rowOff>0</xdr:rowOff>
    </xdr:to>
    <xdr:sp macro="" textlink="">
      <xdr:nvSpPr>
        <xdr:cNvPr id="358" name="Text Box 1">
          <a:extLst>
            <a:ext uri="{FF2B5EF4-FFF2-40B4-BE49-F238E27FC236}">
              <a16:creationId xmlns:a16="http://schemas.microsoft.com/office/drawing/2014/main" id="{00000000-0008-0000-0400-000066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76200</xdr:colOff>
      <xdr:row>22</xdr:row>
      <xdr:rowOff>0</xdr:rowOff>
    </xdr:to>
    <xdr:sp macro="" textlink="">
      <xdr:nvSpPr>
        <xdr:cNvPr id="359" name="Text Box 1">
          <a:extLst>
            <a:ext uri="{FF2B5EF4-FFF2-40B4-BE49-F238E27FC236}">
              <a16:creationId xmlns:a16="http://schemas.microsoft.com/office/drawing/2014/main" id="{00000000-0008-0000-0400-000067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76200</xdr:colOff>
      <xdr:row>22</xdr:row>
      <xdr:rowOff>0</xdr:rowOff>
    </xdr:to>
    <xdr:sp macro="" textlink="">
      <xdr:nvSpPr>
        <xdr:cNvPr id="360" name="Text Box 2">
          <a:extLst>
            <a:ext uri="{FF2B5EF4-FFF2-40B4-BE49-F238E27FC236}">
              <a16:creationId xmlns:a16="http://schemas.microsoft.com/office/drawing/2014/main" id="{00000000-0008-0000-0400-000068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76200</xdr:colOff>
      <xdr:row>22</xdr:row>
      <xdr:rowOff>0</xdr:rowOff>
    </xdr:to>
    <xdr:sp macro="" textlink="">
      <xdr:nvSpPr>
        <xdr:cNvPr id="361" name="Text Box 1">
          <a:extLst>
            <a:ext uri="{FF2B5EF4-FFF2-40B4-BE49-F238E27FC236}">
              <a16:creationId xmlns:a16="http://schemas.microsoft.com/office/drawing/2014/main" id="{00000000-0008-0000-0400-000069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76200</xdr:colOff>
      <xdr:row>22</xdr:row>
      <xdr:rowOff>0</xdr:rowOff>
    </xdr:to>
    <xdr:sp macro="" textlink="">
      <xdr:nvSpPr>
        <xdr:cNvPr id="362" name="Text Box 1">
          <a:extLst>
            <a:ext uri="{FF2B5EF4-FFF2-40B4-BE49-F238E27FC236}">
              <a16:creationId xmlns:a16="http://schemas.microsoft.com/office/drawing/2014/main" id="{00000000-0008-0000-0400-00006A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76200</xdr:colOff>
      <xdr:row>22</xdr:row>
      <xdr:rowOff>0</xdr:rowOff>
    </xdr:to>
    <xdr:sp macro="" textlink="">
      <xdr:nvSpPr>
        <xdr:cNvPr id="363" name="Text Box 2">
          <a:extLst>
            <a:ext uri="{FF2B5EF4-FFF2-40B4-BE49-F238E27FC236}">
              <a16:creationId xmlns:a16="http://schemas.microsoft.com/office/drawing/2014/main" id="{00000000-0008-0000-0400-00006B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76200</xdr:colOff>
      <xdr:row>22</xdr:row>
      <xdr:rowOff>0</xdr:rowOff>
    </xdr:to>
    <xdr:sp macro="" textlink="">
      <xdr:nvSpPr>
        <xdr:cNvPr id="364" name="Text Box 1">
          <a:extLst>
            <a:ext uri="{FF2B5EF4-FFF2-40B4-BE49-F238E27FC236}">
              <a16:creationId xmlns:a16="http://schemas.microsoft.com/office/drawing/2014/main" id="{00000000-0008-0000-0400-00006C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76200</xdr:colOff>
      <xdr:row>22</xdr:row>
      <xdr:rowOff>0</xdr:rowOff>
    </xdr:to>
    <xdr:sp macro="" textlink="">
      <xdr:nvSpPr>
        <xdr:cNvPr id="365" name="Text Box 1">
          <a:extLst>
            <a:ext uri="{FF2B5EF4-FFF2-40B4-BE49-F238E27FC236}">
              <a16:creationId xmlns:a16="http://schemas.microsoft.com/office/drawing/2014/main" id="{00000000-0008-0000-0400-00006D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76200</xdr:colOff>
      <xdr:row>22</xdr:row>
      <xdr:rowOff>0</xdr:rowOff>
    </xdr:to>
    <xdr:sp macro="" textlink="">
      <xdr:nvSpPr>
        <xdr:cNvPr id="366" name="Text Box 1">
          <a:extLst>
            <a:ext uri="{FF2B5EF4-FFF2-40B4-BE49-F238E27FC236}">
              <a16:creationId xmlns:a16="http://schemas.microsoft.com/office/drawing/2014/main" id="{00000000-0008-0000-0400-00006E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76200</xdr:colOff>
      <xdr:row>22</xdr:row>
      <xdr:rowOff>0</xdr:rowOff>
    </xdr:to>
    <xdr:sp macro="" textlink="">
      <xdr:nvSpPr>
        <xdr:cNvPr id="367" name="Text Box 2">
          <a:extLst>
            <a:ext uri="{FF2B5EF4-FFF2-40B4-BE49-F238E27FC236}">
              <a16:creationId xmlns:a16="http://schemas.microsoft.com/office/drawing/2014/main" id="{00000000-0008-0000-0400-00006F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76200</xdr:colOff>
      <xdr:row>22</xdr:row>
      <xdr:rowOff>0</xdr:rowOff>
    </xdr:to>
    <xdr:sp macro="" textlink="">
      <xdr:nvSpPr>
        <xdr:cNvPr id="368" name="Text Box 1">
          <a:extLst>
            <a:ext uri="{FF2B5EF4-FFF2-40B4-BE49-F238E27FC236}">
              <a16:creationId xmlns:a16="http://schemas.microsoft.com/office/drawing/2014/main" id="{00000000-0008-0000-0400-000070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76200</xdr:colOff>
      <xdr:row>22</xdr:row>
      <xdr:rowOff>0</xdr:rowOff>
    </xdr:to>
    <xdr:sp macro="" textlink="">
      <xdr:nvSpPr>
        <xdr:cNvPr id="369" name="Text Box 1">
          <a:extLst>
            <a:ext uri="{FF2B5EF4-FFF2-40B4-BE49-F238E27FC236}">
              <a16:creationId xmlns:a16="http://schemas.microsoft.com/office/drawing/2014/main" id="{00000000-0008-0000-0400-000071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76200</xdr:colOff>
      <xdr:row>23</xdr:row>
      <xdr:rowOff>0</xdr:rowOff>
    </xdr:to>
    <xdr:sp macro="" textlink="">
      <xdr:nvSpPr>
        <xdr:cNvPr id="370" name="Text Box 1">
          <a:extLst>
            <a:ext uri="{FF2B5EF4-FFF2-40B4-BE49-F238E27FC236}">
              <a16:creationId xmlns:a16="http://schemas.microsoft.com/office/drawing/2014/main" id="{00000000-0008-0000-0400-000072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76200</xdr:colOff>
      <xdr:row>23</xdr:row>
      <xdr:rowOff>0</xdr:rowOff>
    </xdr:to>
    <xdr:sp macro="" textlink="">
      <xdr:nvSpPr>
        <xdr:cNvPr id="371" name="Text Box 2">
          <a:extLst>
            <a:ext uri="{FF2B5EF4-FFF2-40B4-BE49-F238E27FC236}">
              <a16:creationId xmlns:a16="http://schemas.microsoft.com/office/drawing/2014/main" id="{00000000-0008-0000-0400-000073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76200</xdr:colOff>
      <xdr:row>23</xdr:row>
      <xdr:rowOff>0</xdr:rowOff>
    </xdr:to>
    <xdr:sp macro="" textlink="">
      <xdr:nvSpPr>
        <xdr:cNvPr id="372" name="Text Box 1">
          <a:extLst>
            <a:ext uri="{FF2B5EF4-FFF2-40B4-BE49-F238E27FC236}">
              <a16:creationId xmlns:a16="http://schemas.microsoft.com/office/drawing/2014/main" id="{00000000-0008-0000-0400-000074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76200</xdr:colOff>
      <xdr:row>23</xdr:row>
      <xdr:rowOff>0</xdr:rowOff>
    </xdr:to>
    <xdr:sp macro="" textlink="">
      <xdr:nvSpPr>
        <xdr:cNvPr id="373" name="Text Box 1">
          <a:extLst>
            <a:ext uri="{FF2B5EF4-FFF2-40B4-BE49-F238E27FC236}">
              <a16:creationId xmlns:a16="http://schemas.microsoft.com/office/drawing/2014/main" id="{00000000-0008-0000-0400-000075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76200</xdr:colOff>
      <xdr:row>23</xdr:row>
      <xdr:rowOff>0</xdr:rowOff>
    </xdr:to>
    <xdr:sp macro="" textlink="">
      <xdr:nvSpPr>
        <xdr:cNvPr id="374" name="Text Box 1">
          <a:extLst>
            <a:ext uri="{FF2B5EF4-FFF2-40B4-BE49-F238E27FC236}">
              <a16:creationId xmlns:a16="http://schemas.microsoft.com/office/drawing/2014/main" id="{00000000-0008-0000-0400-000076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76200</xdr:colOff>
      <xdr:row>23</xdr:row>
      <xdr:rowOff>0</xdr:rowOff>
    </xdr:to>
    <xdr:sp macro="" textlink="">
      <xdr:nvSpPr>
        <xdr:cNvPr id="375" name="Text Box 2">
          <a:extLst>
            <a:ext uri="{FF2B5EF4-FFF2-40B4-BE49-F238E27FC236}">
              <a16:creationId xmlns:a16="http://schemas.microsoft.com/office/drawing/2014/main" id="{00000000-0008-0000-0400-000077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76200</xdr:colOff>
      <xdr:row>23</xdr:row>
      <xdr:rowOff>0</xdr:rowOff>
    </xdr:to>
    <xdr:sp macro="" textlink="">
      <xdr:nvSpPr>
        <xdr:cNvPr id="376" name="Text Box 1">
          <a:extLst>
            <a:ext uri="{FF2B5EF4-FFF2-40B4-BE49-F238E27FC236}">
              <a16:creationId xmlns:a16="http://schemas.microsoft.com/office/drawing/2014/main" id="{00000000-0008-0000-0400-000078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76200</xdr:colOff>
      <xdr:row>23</xdr:row>
      <xdr:rowOff>0</xdr:rowOff>
    </xdr:to>
    <xdr:sp macro="" textlink="">
      <xdr:nvSpPr>
        <xdr:cNvPr id="377" name="Text Box 1">
          <a:extLst>
            <a:ext uri="{FF2B5EF4-FFF2-40B4-BE49-F238E27FC236}">
              <a16:creationId xmlns:a16="http://schemas.microsoft.com/office/drawing/2014/main" id="{00000000-0008-0000-0400-000079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76200</xdr:colOff>
      <xdr:row>23</xdr:row>
      <xdr:rowOff>0</xdr:rowOff>
    </xdr:to>
    <xdr:sp macro="" textlink="">
      <xdr:nvSpPr>
        <xdr:cNvPr id="378" name="Text Box 1">
          <a:extLst>
            <a:ext uri="{FF2B5EF4-FFF2-40B4-BE49-F238E27FC236}">
              <a16:creationId xmlns:a16="http://schemas.microsoft.com/office/drawing/2014/main" id="{00000000-0008-0000-0400-00007A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76200</xdr:colOff>
      <xdr:row>23</xdr:row>
      <xdr:rowOff>0</xdr:rowOff>
    </xdr:to>
    <xdr:sp macro="" textlink="">
      <xdr:nvSpPr>
        <xdr:cNvPr id="379" name="Text Box 2">
          <a:extLst>
            <a:ext uri="{FF2B5EF4-FFF2-40B4-BE49-F238E27FC236}">
              <a16:creationId xmlns:a16="http://schemas.microsoft.com/office/drawing/2014/main" id="{00000000-0008-0000-0400-00007B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76200</xdr:colOff>
      <xdr:row>23</xdr:row>
      <xdr:rowOff>0</xdr:rowOff>
    </xdr:to>
    <xdr:sp macro="" textlink="">
      <xdr:nvSpPr>
        <xdr:cNvPr id="380" name="Text Box 1">
          <a:extLst>
            <a:ext uri="{FF2B5EF4-FFF2-40B4-BE49-F238E27FC236}">
              <a16:creationId xmlns:a16="http://schemas.microsoft.com/office/drawing/2014/main" id="{00000000-0008-0000-0400-00007C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76200</xdr:colOff>
      <xdr:row>23</xdr:row>
      <xdr:rowOff>0</xdr:rowOff>
    </xdr:to>
    <xdr:sp macro="" textlink="">
      <xdr:nvSpPr>
        <xdr:cNvPr id="381" name="Text Box 1">
          <a:extLst>
            <a:ext uri="{FF2B5EF4-FFF2-40B4-BE49-F238E27FC236}">
              <a16:creationId xmlns:a16="http://schemas.microsoft.com/office/drawing/2014/main" id="{00000000-0008-0000-0400-00007D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76200</xdr:colOff>
      <xdr:row>23</xdr:row>
      <xdr:rowOff>0</xdr:rowOff>
    </xdr:to>
    <xdr:sp macro="" textlink="">
      <xdr:nvSpPr>
        <xdr:cNvPr id="382" name="Text Box 1">
          <a:extLst>
            <a:ext uri="{FF2B5EF4-FFF2-40B4-BE49-F238E27FC236}">
              <a16:creationId xmlns:a16="http://schemas.microsoft.com/office/drawing/2014/main" id="{00000000-0008-0000-0400-00007E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76200</xdr:colOff>
      <xdr:row>23</xdr:row>
      <xdr:rowOff>0</xdr:rowOff>
    </xdr:to>
    <xdr:sp macro="" textlink="">
      <xdr:nvSpPr>
        <xdr:cNvPr id="383" name="Text Box 2">
          <a:extLst>
            <a:ext uri="{FF2B5EF4-FFF2-40B4-BE49-F238E27FC236}">
              <a16:creationId xmlns:a16="http://schemas.microsoft.com/office/drawing/2014/main" id="{00000000-0008-0000-0400-00007F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76200</xdr:colOff>
      <xdr:row>23</xdr:row>
      <xdr:rowOff>0</xdr:rowOff>
    </xdr:to>
    <xdr:sp macro="" textlink="">
      <xdr:nvSpPr>
        <xdr:cNvPr id="384" name="Text Box 1">
          <a:extLst>
            <a:ext uri="{FF2B5EF4-FFF2-40B4-BE49-F238E27FC236}">
              <a16:creationId xmlns:a16="http://schemas.microsoft.com/office/drawing/2014/main" id="{00000000-0008-0000-0400-000080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76200</xdr:colOff>
      <xdr:row>23</xdr:row>
      <xdr:rowOff>0</xdr:rowOff>
    </xdr:to>
    <xdr:sp macro="" textlink="">
      <xdr:nvSpPr>
        <xdr:cNvPr id="385" name="Text Box 1">
          <a:extLst>
            <a:ext uri="{FF2B5EF4-FFF2-40B4-BE49-F238E27FC236}">
              <a16:creationId xmlns:a16="http://schemas.microsoft.com/office/drawing/2014/main" id="{00000000-0008-0000-0400-000081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76200</xdr:colOff>
      <xdr:row>23</xdr:row>
      <xdr:rowOff>0</xdr:rowOff>
    </xdr:to>
    <xdr:sp macro="" textlink="">
      <xdr:nvSpPr>
        <xdr:cNvPr id="386" name="Text Box 2">
          <a:extLst>
            <a:ext uri="{FF2B5EF4-FFF2-40B4-BE49-F238E27FC236}">
              <a16:creationId xmlns:a16="http://schemas.microsoft.com/office/drawing/2014/main" id="{00000000-0008-0000-0400-000082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76200</xdr:colOff>
      <xdr:row>23</xdr:row>
      <xdr:rowOff>0</xdr:rowOff>
    </xdr:to>
    <xdr:sp macro="" textlink="">
      <xdr:nvSpPr>
        <xdr:cNvPr id="387" name="Text Box 1">
          <a:extLst>
            <a:ext uri="{FF2B5EF4-FFF2-40B4-BE49-F238E27FC236}">
              <a16:creationId xmlns:a16="http://schemas.microsoft.com/office/drawing/2014/main" id="{00000000-0008-0000-0400-000083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76200</xdr:colOff>
      <xdr:row>23</xdr:row>
      <xdr:rowOff>0</xdr:rowOff>
    </xdr:to>
    <xdr:sp macro="" textlink="">
      <xdr:nvSpPr>
        <xdr:cNvPr id="388" name="Text Box 1">
          <a:extLst>
            <a:ext uri="{FF2B5EF4-FFF2-40B4-BE49-F238E27FC236}">
              <a16:creationId xmlns:a16="http://schemas.microsoft.com/office/drawing/2014/main" id="{00000000-0008-0000-0400-000084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76200</xdr:colOff>
      <xdr:row>23</xdr:row>
      <xdr:rowOff>0</xdr:rowOff>
    </xdr:to>
    <xdr:sp macro="" textlink="">
      <xdr:nvSpPr>
        <xdr:cNvPr id="389" name="Text Box 1">
          <a:extLst>
            <a:ext uri="{FF2B5EF4-FFF2-40B4-BE49-F238E27FC236}">
              <a16:creationId xmlns:a16="http://schemas.microsoft.com/office/drawing/2014/main" id="{00000000-0008-0000-0400-000085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76200</xdr:colOff>
      <xdr:row>23</xdr:row>
      <xdr:rowOff>0</xdr:rowOff>
    </xdr:to>
    <xdr:sp macro="" textlink="">
      <xdr:nvSpPr>
        <xdr:cNvPr id="390" name="Text Box 2">
          <a:extLst>
            <a:ext uri="{FF2B5EF4-FFF2-40B4-BE49-F238E27FC236}">
              <a16:creationId xmlns:a16="http://schemas.microsoft.com/office/drawing/2014/main" id="{00000000-0008-0000-0400-000086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76200</xdr:colOff>
      <xdr:row>23</xdr:row>
      <xdr:rowOff>0</xdr:rowOff>
    </xdr:to>
    <xdr:sp macro="" textlink="">
      <xdr:nvSpPr>
        <xdr:cNvPr id="391" name="Text Box 1">
          <a:extLst>
            <a:ext uri="{FF2B5EF4-FFF2-40B4-BE49-F238E27FC236}">
              <a16:creationId xmlns:a16="http://schemas.microsoft.com/office/drawing/2014/main" id="{00000000-0008-0000-0400-000087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76200</xdr:colOff>
      <xdr:row>23</xdr:row>
      <xdr:rowOff>0</xdr:rowOff>
    </xdr:to>
    <xdr:sp macro="" textlink="">
      <xdr:nvSpPr>
        <xdr:cNvPr id="392" name="Text Box 1">
          <a:extLst>
            <a:ext uri="{FF2B5EF4-FFF2-40B4-BE49-F238E27FC236}">
              <a16:creationId xmlns:a16="http://schemas.microsoft.com/office/drawing/2014/main" id="{00000000-0008-0000-0400-000088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23</xdr:row>
      <xdr:rowOff>0</xdr:rowOff>
    </xdr:from>
    <xdr:to>
      <xdr:col>4</xdr:col>
      <xdr:colOff>76200</xdr:colOff>
      <xdr:row>24</xdr:row>
      <xdr:rowOff>0</xdr:rowOff>
    </xdr:to>
    <xdr:sp macro="" textlink="">
      <xdr:nvSpPr>
        <xdr:cNvPr id="393" name="Text Box 1">
          <a:extLst>
            <a:ext uri="{FF2B5EF4-FFF2-40B4-BE49-F238E27FC236}">
              <a16:creationId xmlns:a16="http://schemas.microsoft.com/office/drawing/2014/main" id="{00000000-0008-0000-0400-000089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23</xdr:row>
      <xdr:rowOff>0</xdr:rowOff>
    </xdr:from>
    <xdr:to>
      <xdr:col>4</xdr:col>
      <xdr:colOff>76200</xdr:colOff>
      <xdr:row>24</xdr:row>
      <xdr:rowOff>0</xdr:rowOff>
    </xdr:to>
    <xdr:sp macro="" textlink="">
      <xdr:nvSpPr>
        <xdr:cNvPr id="394" name="Text Box 2">
          <a:extLst>
            <a:ext uri="{FF2B5EF4-FFF2-40B4-BE49-F238E27FC236}">
              <a16:creationId xmlns:a16="http://schemas.microsoft.com/office/drawing/2014/main" id="{00000000-0008-0000-0400-00008A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23</xdr:row>
      <xdr:rowOff>0</xdr:rowOff>
    </xdr:from>
    <xdr:to>
      <xdr:col>4</xdr:col>
      <xdr:colOff>76200</xdr:colOff>
      <xdr:row>24</xdr:row>
      <xdr:rowOff>0</xdr:rowOff>
    </xdr:to>
    <xdr:sp macro="" textlink="">
      <xdr:nvSpPr>
        <xdr:cNvPr id="395" name="Text Box 1">
          <a:extLst>
            <a:ext uri="{FF2B5EF4-FFF2-40B4-BE49-F238E27FC236}">
              <a16:creationId xmlns:a16="http://schemas.microsoft.com/office/drawing/2014/main" id="{00000000-0008-0000-0400-00008B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23</xdr:row>
      <xdr:rowOff>0</xdr:rowOff>
    </xdr:from>
    <xdr:to>
      <xdr:col>4</xdr:col>
      <xdr:colOff>76200</xdr:colOff>
      <xdr:row>24</xdr:row>
      <xdr:rowOff>0</xdr:rowOff>
    </xdr:to>
    <xdr:sp macro="" textlink="">
      <xdr:nvSpPr>
        <xdr:cNvPr id="396" name="Text Box 1">
          <a:extLst>
            <a:ext uri="{FF2B5EF4-FFF2-40B4-BE49-F238E27FC236}">
              <a16:creationId xmlns:a16="http://schemas.microsoft.com/office/drawing/2014/main" id="{00000000-0008-0000-0400-00008C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23</xdr:row>
      <xdr:rowOff>0</xdr:rowOff>
    </xdr:from>
    <xdr:to>
      <xdr:col>4</xdr:col>
      <xdr:colOff>76200</xdr:colOff>
      <xdr:row>24</xdr:row>
      <xdr:rowOff>0</xdr:rowOff>
    </xdr:to>
    <xdr:sp macro="" textlink="">
      <xdr:nvSpPr>
        <xdr:cNvPr id="397" name="Text Box 1">
          <a:extLst>
            <a:ext uri="{FF2B5EF4-FFF2-40B4-BE49-F238E27FC236}">
              <a16:creationId xmlns:a16="http://schemas.microsoft.com/office/drawing/2014/main" id="{00000000-0008-0000-0400-00008D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23</xdr:row>
      <xdr:rowOff>0</xdr:rowOff>
    </xdr:from>
    <xdr:to>
      <xdr:col>4</xdr:col>
      <xdr:colOff>76200</xdr:colOff>
      <xdr:row>24</xdr:row>
      <xdr:rowOff>0</xdr:rowOff>
    </xdr:to>
    <xdr:sp macro="" textlink="">
      <xdr:nvSpPr>
        <xdr:cNvPr id="398" name="Text Box 2">
          <a:extLst>
            <a:ext uri="{FF2B5EF4-FFF2-40B4-BE49-F238E27FC236}">
              <a16:creationId xmlns:a16="http://schemas.microsoft.com/office/drawing/2014/main" id="{00000000-0008-0000-0400-00008E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23</xdr:row>
      <xdr:rowOff>0</xdr:rowOff>
    </xdr:from>
    <xdr:to>
      <xdr:col>4</xdr:col>
      <xdr:colOff>76200</xdr:colOff>
      <xdr:row>24</xdr:row>
      <xdr:rowOff>0</xdr:rowOff>
    </xdr:to>
    <xdr:sp macro="" textlink="">
      <xdr:nvSpPr>
        <xdr:cNvPr id="399" name="Text Box 1">
          <a:extLst>
            <a:ext uri="{FF2B5EF4-FFF2-40B4-BE49-F238E27FC236}">
              <a16:creationId xmlns:a16="http://schemas.microsoft.com/office/drawing/2014/main" id="{00000000-0008-0000-0400-00008F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23</xdr:row>
      <xdr:rowOff>0</xdr:rowOff>
    </xdr:from>
    <xdr:to>
      <xdr:col>4</xdr:col>
      <xdr:colOff>76200</xdr:colOff>
      <xdr:row>24</xdr:row>
      <xdr:rowOff>0</xdr:rowOff>
    </xdr:to>
    <xdr:sp macro="" textlink="">
      <xdr:nvSpPr>
        <xdr:cNvPr id="400" name="Text Box 1">
          <a:extLst>
            <a:ext uri="{FF2B5EF4-FFF2-40B4-BE49-F238E27FC236}">
              <a16:creationId xmlns:a16="http://schemas.microsoft.com/office/drawing/2014/main" id="{00000000-0008-0000-0400-000090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23</xdr:row>
      <xdr:rowOff>0</xdr:rowOff>
    </xdr:from>
    <xdr:to>
      <xdr:col>4</xdr:col>
      <xdr:colOff>76200</xdr:colOff>
      <xdr:row>24</xdr:row>
      <xdr:rowOff>0</xdr:rowOff>
    </xdr:to>
    <xdr:sp macro="" textlink="">
      <xdr:nvSpPr>
        <xdr:cNvPr id="401" name="Text Box 1">
          <a:extLst>
            <a:ext uri="{FF2B5EF4-FFF2-40B4-BE49-F238E27FC236}">
              <a16:creationId xmlns:a16="http://schemas.microsoft.com/office/drawing/2014/main" id="{00000000-0008-0000-0400-000091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23</xdr:row>
      <xdr:rowOff>0</xdr:rowOff>
    </xdr:from>
    <xdr:to>
      <xdr:col>4</xdr:col>
      <xdr:colOff>76200</xdr:colOff>
      <xdr:row>24</xdr:row>
      <xdr:rowOff>0</xdr:rowOff>
    </xdr:to>
    <xdr:sp macro="" textlink="">
      <xdr:nvSpPr>
        <xdr:cNvPr id="402" name="Text Box 2">
          <a:extLst>
            <a:ext uri="{FF2B5EF4-FFF2-40B4-BE49-F238E27FC236}">
              <a16:creationId xmlns:a16="http://schemas.microsoft.com/office/drawing/2014/main" id="{00000000-0008-0000-0400-000092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23</xdr:row>
      <xdr:rowOff>0</xdr:rowOff>
    </xdr:from>
    <xdr:to>
      <xdr:col>4</xdr:col>
      <xdr:colOff>76200</xdr:colOff>
      <xdr:row>24</xdr:row>
      <xdr:rowOff>0</xdr:rowOff>
    </xdr:to>
    <xdr:sp macro="" textlink="">
      <xdr:nvSpPr>
        <xdr:cNvPr id="403" name="Text Box 1">
          <a:extLst>
            <a:ext uri="{FF2B5EF4-FFF2-40B4-BE49-F238E27FC236}">
              <a16:creationId xmlns:a16="http://schemas.microsoft.com/office/drawing/2014/main" id="{00000000-0008-0000-0400-000093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23</xdr:row>
      <xdr:rowOff>0</xdr:rowOff>
    </xdr:from>
    <xdr:to>
      <xdr:col>4</xdr:col>
      <xdr:colOff>76200</xdr:colOff>
      <xdr:row>24</xdr:row>
      <xdr:rowOff>0</xdr:rowOff>
    </xdr:to>
    <xdr:sp macro="" textlink="">
      <xdr:nvSpPr>
        <xdr:cNvPr id="404" name="Text Box 1">
          <a:extLst>
            <a:ext uri="{FF2B5EF4-FFF2-40B4-BE49-F238E27FC236}">
              <a16:creationId xmlns:a16="http://schemas.microsoft.com/office/drawing/2014/main" id="{00000000-0008-0000-0400-000094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23</xdr:row>
      <xdr:rowOff>0</xdr:rowOff>
    </xdr:from>
    <xdr:to>
      <xdr:col>4</xdr:col>
      <xdr:colOff>76200</xdr:colOff>
      <xdr:row>24</xdr:row>
      <xdr:rowOff>0</xdr:rowOff>
    </xdr:to>
    <xdr:sp macro="" textlink="">
      <xdr:nvSpPr>
        <xdr:cNvPr id="405" name="Text Box 1">
          <a:extLst>
            <a:ext uri="{FF2B5EF4-FFF2-40B4-BE49-F238E27FC236}">
              <a16:creationId xmlns:a16="http://schemas.microsoft.com/office/drawing/2014/main" id="{00000000-0008-0000-0400-000095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23</xdr:row>
      <xdr:rowOff>0</xdr:rowOff>
    </xdr:from>
    <xdr:to>
      <xdr:col>4</xdr:col>
      <xdr:colOff>76200</xdr:colOff>
      <xdr:row>24</xdr:row>
      <xdr:rowOff>0</xdr:rowOff>
    </xdr:to>
    <xdr:sp macro="" textlink="">
      <xdr:nvSpPr>
        <xdr:cNvPr id="406" name="Text Box 2">
          <a:extLst>
            <a:ext uri="{FF2B5EF4-FFF2-40B4-BE49-F238E27FC236}">
              <a16:creationId xmlns:a16="http://schemas.microsoft.com/office/drawing/2014/main" id="{00000000-0008-0000-0400-000096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23</xdr:row>
      <xdr:rowOff>0</xdr:rowOff>
    </xdr:from>
    <xdr:to>
      <xdr:col>4</xdr:col>
      <xdr:colOff>76200</xdr:colOff>
      <xdr:row>24</xdr:row>
      <xdr:rowOff>0</xdr:rowOff>
    </xdr:to>
    <xdr:sp macro="" textlink="">
      <xdr:nvSpPr>
        <xdr:cNvPr id="407" name="Text Box 1">
          <a:extLst>
            <a:ext uri="{FF2B5EF4-FFF2-40B4-BE49-F238E27FC236}">
              <a16:creationId xmlns:a16="http://schemas.microsoft.com/office/drawing/2014/main" id="{00000000-0008-0000-0400-000097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23</xdr:row>
      <xdr:rowOff>0</xdr:rowOff>
    </xdr:from>
    <xdr:to>
      <xdr:col>4</xdr:col>
      <xdr:colOff>76200</xdr:colOff>
      <xdr:row>24</xdr:row>
      <xdr:rowOff>0</xdr:rowOff>
    </xdr:to>
    <xdr:sp macro="" textlink="">
      <xdr:nvSpPr>
        <xdr:cNvPr id="408" name="Text Box 1">
          <a:extLst>
            <a:ext uri="{FF2B5EF4-FFF2-40B4-BE49-F238E27FC236}">
              <a16:creationId xmlns:a16="http://schemas.microsoft.com/office/drawing/2014/main" id="{00000000-0008-0000-0400-000098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23</xdr:row>
      <xdr:rowOff>0</xdr:rowOff>
    </xdr:from>
    <xdr:to>
      <xdr:col>4</xdr:col>
      <xdr:colOff>76200</xdr:colOff>
      <xdr:row>24</xdr:row>
      <xdr:rowOff>0</xdr:rowOff>
    </xdr:to>
    <xdr:sp macro="" textlink="">
      <xdr:nvSpPr>
        <xdr:cNvPr id="409" name="Text Box 2">
          <a:extLst>
            <a:ext uri="{FF2B5EF4-FFF2-40B4-BE49-F238E27FC236}">
              <a16:creationId xmlns:a16="http://schemas.microsoft.com/office/drawing/2014/main" id="{00000000-0008-0000-0400-000099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23</xdr:row>
      <xdr:rowOff>0</xdr:rowOff>
    </xdr:from>
    <xdr:to>
      <xdr:col>4</xdr:col>
      <xdr:colOff>76200</xdr:colOff>
      <xdr:row>24</xdr:row>
      <xdr:rowOff>0</xdr:rowOff>
    </xdr:to>
    <xdr:sp macro="" textlink="">
      <xdr:nvSpPr>
        <xdr:cNvPr id="410" name="Text Box 1">
          <a:extLst>
            <a:ext uri="{FF2B5EF4-FFF2-40B4-BE49-F238E27FC236}">
              <a16:creationId xmlns:a16="http://schemas.microsoft.com/office/drawing/2014/main" id="{00000000-0008-0000-0400-00009A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23</xdr:row>
      <xdr:rowOff>0</xdr:rowOff>
    </xdr:from>
    <xdr:to>
      <xdr:col>4</xdr:col>
      <xdr:colOff>76200</xdr:colOff>
      <xdr:row>24</xdr:row>
      <xdr:rowOff>0</xdr:rowOff>
    </xdr:to>
    <xdr:sp macro="" textlink="">
      <xdr:nvSpPr>
        <xdr:cNvPr id="411" name="Text Box 1">
          <a:extLst>
            <a:ext uri="{FF2B5EF4-FFF2-40B4-BE49-F238E27FC236}">
              <a16:creationId xmlns:a16="http://schemas.microsoft.com/office/drawing/2014/main" id="{00000000-0008-0000-0400-00009B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23</xdr:row>
      <xdr:rowOff>0</xdr:rowOff>
    </xdr:from>
    <xdr:to>
      <xdr:col>4</xdr:col>
      <xdr:colOff>76200</xdr:colOff>
      <xdr:row>24</xdr:row>
      <xdr:rowOff>0</xdr:rowOff>
    </xdr:to>
    <xdr:sp macro="" textlink="">
      <xdr:nvSpPr>
        <xdr:cNvPr id="412" name="Text Box 1">
          <a:extLst>
            <a:ext uri="{FF2B5EF4-FFF2-40B4-BE49-F238E27FC236}">
              <a16:creationId xmlns:a16="http://schemas.microsoft.com/office/drawing/2014/main" id="{00000000-0008-0000-0400-00009C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23</xdr:row>
      <xdr:rowOff>0</xdr:rowOff>
    </xdr:from>
    <xdr:to>
      <xdr:col>4</xdr:col>
      <xdr:colOff>76200</xdr:colOff>
      <xdr:row>24</xdr:row>
      <xdr:rowOff>0</xdr:rowOff>
    </xdr:to>
    <xdr:sp macro="" textlink="">
      <xdr:nvSpPr>
        <xdr:cNvPr id="413" name="Text Box 2">
          <a:extLst>
            <a:ext uri="{FF2B5EF4-FFF2-40B4-BE49-F238E27FC236}">
              <a16:creationId xmlns:a16="http://schemas.microsoft.com/office/drawing/2014/main" id="{00000000-0008-0000-0400-00009D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23</xdr:row>
      <xdr:rowOff>0</xdr:rowOff>
    </xdr:from>
    <xdr:to>
      <xdr:col>4</xdr:col>
      <xdr:colOff>76200</xdr:colOff>
      <xdr:row>24</xdr:row>
      <xdr:rowOff>0</xdr:rowOff>
    </xdr:to>
    <xdr:sp macro="" textlink="">
      <xdr:nvSpPr>
        <xdr:cNvPr id="414" name="Text Box 1">
          <a:extLst>
            <a:ext uri="{FF2B5EF4-FFF2-40B4-BE49-F238E27FC236}">
              <a16:creationId xmlns:a16="http://schemas.microsoft.com/office/drawing/2014/main" id="{00000000-0008-0000-0400-00009E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23</xdr:row>
      <xdr:rowOff>0</xdr:rowOff>
    </xdr:from>
    <xdr:to>
      <xdr:col>4</xdr:col>
      <xdr:colOff>76200</xdr:colOff>
      <xdr:row>24</xdr:row>
      <xdr:rowOff>0</xdr:rowOff>
    </xdr:to>
    <xdr:sp macro="" textlink="">
      <xdr:nvSpPr>
        <xdr:cNvPr id="415" name="Text Box 1">
          <a:extLst>
            <a:ext uri="{FF2B5EF4-FFF2-40B4-BE49-F238E27FC236}">
              <a16:creationId xmlns:a16="http://schemas.microsoft.com/office/drawing/2014/main" id="{00000000-0008-0000-0400-00009F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76200</xdr:colOff>
      <xdr:row>25</xdr:row>
      <xdr:rowOff>0</xdr:rowOff>
    </xdr:to>
    <xdr:sp macro="" textlink="">
      <xdr:nvSpPr>
        <xdr:cNvPr id="416" name="Text Box 1">
          <a:extLst>
            <a:ext uri="{FF2B5EF4-FFF2-40B4-BE49-F238E27FC236}">
              <a16:creationId xmlns:a16="http://schemas.microsoft.com/office/drawing/2014/main" id="{00000000-0008-0000-0400-0000A0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76200</xdr:colOff>
      <xdr:row>25</xdr:row>
      <xdr:rowOff>0</xdr:rowOff>
    </xdr:to>
    <xdr:sp macro="" textlink="">
      <xdr:nvSpPr>
        <xdr:cNvPr id="417" name="Text Box 2">
          <a:extLst>
            <a:ext uri="{FF2B5EF4-FFF2-40B4-BE49-F238E27FC236}">
              <a16:creationId xmlns:a16="http://schemas.microsoft.com/office/drawing/2014/main" id="{00000000-0008-0000-0400-0000A1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76200</xdr:colOff>
      <xdr:row>25</xdr:row>
      <xdr:rowOff>0</xdr:rowOff>
    </xdr:to>
    <xdr:sp macro="" textlink="">
      <xdr:nvSpPr>
        <xdr:cNvPr id="418" name="Text Box 1">
          <a:extLst>
            <a:ext uri="{FF2B5EF4-FFF2-40B4-BE49-F238E27FC236}">
              <a16:creationId xmlns:a16="http://schemas.microsoft.com/office/drawing/2014/main" id="{00000000-0008-0000-0400-0000A2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76200</xdr:colOff>
      <xdr:row>25</xdr:row>
      <xdr:rowOff>0</xdr:rowOff>
    </xdr:to>
    <xdr:sp macro="" textlink="">
      <xdr:nvSpPr>
        <xdr:cNvPr id="419" name="Text Box 1">
          <a:extLst>
            <a:ext uri="{FF2B5EF4-FFF2-40B4-BE49-F238E27FC236}">
              <a16:creationId xmlns:a16="http://schemas.microsoft.com/office/drawing/2014/main" id="{00000000-0008-0000-0400-0000A3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76200</xdr:colOff>
      <xdr:row>25</xdr:row>
      <xdr:rowOff>0</xdr:rowOff>
    </xdr:to>
    <xdr:sp macro="" textlink="">
      <xdr:nvSpPr>
        <xdr:cNvPr id="420" name="Text Box 1">
          <a:extLst>
            <a:ext uri="{FF2B5EF4-FFF2-40B4-BE49-F238E27FC236}">
              <a16:creationId xmlns:a16="http://schemas.microsoft.com/office/drawing/2014/main" id="{00000000-0008-0000-0400-0000A4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76200</xdr:colOff>
      <xdr:row>25</xdr:row>
      <xdr:rowOff>0</xdr:rowOff>
    </xdr:to>
    <xdr:sp macro="" textlink="">
      <xdr:nvSpPr>
        <xdr:cNvPr id="421" name="Text Box 2">
          <a:extLst>
            <a:ext uri="{FF2B5EF4-FFF2-40B4-BE49-F238E27FC236}">
              <a16:creationId xmlns:a16="http://schemas.microsoft.com/office/drawing/2014/main" id="{00000000-0008-0000-0400-0000A5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76200</xdr:colOff>
      <xdr:row>25</xdr:row>
      <xdr:rowOff>0</xdr:rowOff>
    </xdr:to>
    <xdr:sp macro="" textlink="">
      <xdr:nvSpPr>
        <xdr:cNvPr id="422" name="Text Box 1">
          <a:extLst>
            <a:ext uri="{FF2B5EF4-FFF2-40B4-BE49-F238E27FC236}">
              <a16:creationId xmlns:a16="http://schemas.microsoft.com/office/drawing/2014/main" id="{00000000-0008-0000-0400-0000A6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76200</xdr:colOff>
      <xdr:row>25</xdr:row>
      <xdr:rowOff>0</xdr:rowOff>
    </xdr:to>
    <xdr:sp macro="" textlink="">
      <xdr:nvSpPr>
        <xdr:cNvPr id="423" name="Text Box 1">
          <a:extLst>
            <a:ext uri="{FF2B5EF4-FFF2-40B4-BE49-F238E27FC236}">
              <a16:creationId xmlns:a16="http://schemas.microsoft.com/office/drawing/2014/main" id="{00000000-0008-0000-0400-0000A7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76200</xdr:colOff>
      <xdr:row>25</xdr:row>
      <xdr:rowOff>0</xdr:rowOff>
    </xdr:to>
    <xdr:sp macro="" textlink="">
      <xdr:nvSpPr>
        <xdr:cNvPr id="424" name="Text Box 1">
          <a:extLst>
            <a:ext uri="{FF2B5EF4-FFF2-40B4-BE49-F238E27FC236}">
              <a16:creationId xmlns:a16="http://schemas.microsoft.com/office/drawing/2014/main" id="{00000000-0008-0000-0400-0000A8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76200</xdr:colOff>
      <xdr:row>25</xdr:row>
      <xdr:rowOff>0</xdr:rowOff>
    </xdr:to>
    <xdr:sp macro="" textlink="">
      <xdr:nvSpPr>
        <xdr:cNvPr id="425" name="Text Box 2">
          <a:extLst>
            <a:ext uri="{FF2B5EF4-FFF2-40B4-BE49-F238E27FC236}">
              <a16:creationId xmlns:a16="http://schemas.microsoft.com/office/drawing/2014/main" id="{00000000-0008-0000-0400-0000A9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76200</xdr:colOff>
      <xdr:row>25</xdr:row>
      <xdr:rowOff>0</xdr:rowOff>
    </xdr:to>
    <xdr:sp macro="" textlink="">
      <xdr:nvSpPr>
        <xdr:cNvPr id="426" name="Text Box 1">
          <a:extLst>
            <a:ext uri="{FF2B5EF4-FFF2-40B4-BE49-F238E27FC236}">
              <a16:creationId xmlns:a16="http://schemas.microsoft.com/office/drawing/2014/main" id="{00000000-0008-0000-0400-0000AA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76200</xdr:colOff>
      <xdr:row>25</xdr:row>
      <xdr:rowOff>0</xdr:rowOff>
    </xdr:to>
    <xdr:sp macro="" textlink="">
      <xdr:nvSpPr>
        <xdr:cNvPr id="427" name="Text Box 1">
          <a:extLst>
            <a:ext uri="{FF2B5EF4-FFF2-40B4-BE49-F238E27FC236}">
              <a16:creationId xmlns:a16="http://schemas.microsoft.com/office/drawing/2014/main" id="{00000000-0008-0000-0400-0000AB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76200</xdr:colOff>
      <xdr:row>25</xdr:row>
      <xdr:rowOff>0</xdr:rowOff>
    </xdr:to>
    <xdr:sp macro="" textlink="">
      <xdr:nvSpPr>
        <xdr:cNvPr id="428" name="Text Box 1">
          <a:extLst>
            <a:ext uri="{FF2B5EF4-FFF2-40B4-BE49-F238E27FC236}">
              <a16:creationId xmlns:a16="http://schemas.microsoft.com/office/drawing/2014/main" id="{00000000-0008-0000-0400-0000AC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76200</xdr:colOff>
      <xdr:row>25</xdr:row>
      <xdr:rowOff>0</xdr:rowOff>
    </xdr:to>
    <xdr:sp macro="" textlink="">
      <xdr:nvSpPr>
        <xdr:cNvPr id="429" name="Text Box 2">
          <a:extLst>
            <a:ext uri="{FF2B5EF4-FFF2-40B4-BE49-F238E27FC236}">
              <a16:creationId xmlns:a16="http://schemas.microsoft.com/office/drawing/2014/main" id="{00000000-0008-0000-0400-0000AD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76200</xdr:colOff>
      <xdr:row>25</xdr:row>
      <xdr:rowOff>0</xdr:rowOff>
    </xdr:to>
    <xdr:sp macro="" textlink="">
      <xdr:nvSpPr>
        <xdr:cNvPr id="430" name="Text Box 1">
          <a:extLst>
            <a:ext uri="{FF2B5EF4-FFF2-40B4-BE49-F238E27FC236}">
              <a16:creationId xmlns:a16="http://schemas.microsoft.com/office/drawing/2014/main" id="{00000000-0008-0000-0400-0000AE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76200</xdr:colOff>
      <xdr:row>25</xdr:row>
      <xdr:rowOff>0</xdr:rowOff>
    </xdr:to>
    <xdr:sp macro="" textlink="">
      <xdr:nvSpPr>
        <xdr:cNvPr id="431" name="Text Box 1">
          <a:extLst>
            <a:ext uri="{FF2B5EF4-FFF2-40B4-BE49-F238E27FC236}">
              <a16:creationId xmlns:a16="http://schemas.microsoft.com/office/drawing/2014/main" id="{00000000-0008-0000-0400-0000AF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76200</xdr:colOff>
      <xdr:row>25</xdr:row>
      <xdr:rowOff>0</xdr:rowOff>
    </xdr:to>
    <xdr:sp macro="" textlink="">
      <xdr:nvSpPr>
        <xdr:cNvPr id="432" name="Text Box 2">
          <a:extLst>
            <a:ext uri="{FF2B5EF4-FFF2-40B4-BE49-F238E27FC236}">
              <a16:creationId xmlns:a16="http://schemas.microsoft.com/office/drawing/2014/main" id="{00000000-0008-0000-0400-0000B0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76200</xdr:colOff>
      <xdr:row>25</xdr:row>
      <xdr:rowOff>0</xdr:rowOff>
    </xdr:to>
    <xdr:sp macro="" textlink="">
      <xdr:nvSpPr>
        <xdr:cNvPr id="433" name="Text Box 1">
          <a:extLst>
            <a:ext uri="{FF2B5EF4-FFF2-40B4-BE49-F238E27FC236}">
              <a16:creationId xmlns:a16="http://schemas.microsoft.com/office/drawing/2014/main" id="{00000000-0008-0000-0400-0000B1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76200</xdr:colOff>
      <xdr:row>25</xdr:row>
      <xdr:rowOff>0</xdr:rowOff>
    </xdr:to>
    <xdr:sp macro="" textlink="">
      <xdr:nvSpPr>
        <xdr:cNvPr id="434" name="Text Box 1">
          <a:extLst>
            <a:ext uri="{FF2B5EF4-FFF2-40B4-BE49-F238E27FC236}">
              <a16:creationId xmlns:a16="http://schemas.microsoft.com/office/drawing/2014/main" id="{00000000-0008-0000-0400-0000B2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76200</xdr:colOff>
      <xdr:row>25</xdr:row>
      <xdr:rowOff>0</xdr:rowOff>
    </xdr:to>
    <xdr:sp macro="" textlink="">
      <xdr:nvSpPr>
        <xdr:cNvPr id="435" name="Text Box 1">
          <a:extLst>
            <a:ext uri="{FF2B5EF4-FFF2-40B4-BE49-F238E27FC236}">
              <a16:creationId xmlns:a16="http://schemas.microsoft.com/office/drawing/2014/main" id="{00000000-0008-0000-0400-0000B3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76200</xdr:colOff>
      <xdr:row>25</xdr:row>
      <xdr:rowOff>0</xdr:rowOff>
    </xdr:to>
    <xdr:sp macro="" textlink="">
      <xdr:nvSpPr>
        <xdr:cNvPr id="436" name="Text Box 2">
          <a:extLst>
            <a:ext uri="{FF2B5EF4-FFF2-40B4-BE49-F238E27FC236}">
              <a16:creationId xmlns:a16="http://schemas.microsoft.com/office/drawing/2014/main" id="{00000000-0008-0000-0400-0000B4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76200</xdr:colOff>
      <xdr:row>25</xdr:row>
      <xdr:rowOff>0</xdr:rowOff>
    </xdr:to>
    <xdr:sp macro="" textlink="">
      <xdr:nvSpPr>
        <xdr:cNvPr id="437" name="Text Box 1">
          <a:extLst>
            <a:ext uri="{FF2B5EF4-FFF2-40B4-BE49-F238E27FC236}">
              <a16:creationId xmlns:a16="http://schemas.microsoft.com/office/drawing/2014/main" id="{00000000-0008-0000-0400-0000B5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76200</xdr:colOff>
      <xdr:row>25</xdr:row>
      <xdr:rowOff>0</xdr:rowOff>
    </xdr:to>
    <xdr:sp macro="" textlink="">
      <xdr:nvSpPr>
        <xdr:cNvPr id="438" name="Text Box 1">
          <a:extLst>
            <a:ext uri="{FF2B5EF4-FFF2-40B4-BE49-F238E27FC236}">
              <a16:creationId xmlns:a16="http://schemas.microsoft.com/office/drawing/2014/main" id="{00000000-0008-0000-0400-0000B6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25</xdr:row>
      <xdr:rowOff>0</xdr:rowOff>
    </xdr:from>
    <xdr:to>
      <xdr:col>4</xdr:col>
      <xdr:colOff>76200</xdr:colOff>
      <xdr:row>26</xdr:row>
      <xdr:rowOff>0</xdr:rowOff>
    </xdr:to>
    <xdr:sp macro="" textlink="">
      <xdr:nvSpPr>
        <xdr:cNvPr id="439" name="Text Box 1">
          <a:extLst>
            <a:ext uri="{FF2B5EF4-FFF2-40B4-BE49-F238E27FC236}">
              <a16:creationId xmlns:a16="http://schemas.microsoft.com/office/drawing/2014/main" id="{00000000-0008-0000-0400-0000B7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25</xdr:row>
      <xdr:rowOff>0</xdr:rowOff>
    </xdr:from>
    <xdr:to>
      <xdr:col>4</xdr:col>
      <xdr:colOff>76200</xdr:colOff>
      <xdr:row>26</xdr:row>
      <xdr:rowOff>0</xdr:rowOff>
    </xdr:to>
    <xdr:sp macro="" textlink="">
      <xdr:nvSpPr>
        <xdr:cNvPr id="440" name="Text Box 2">
          <a:extLst>
            <a:ext uri="{FF2B5EF4-FFF2-40B4-BE49-F238E27FC236}">
              <a16:creationId xmlns:a16="http://schemas.microsoft.com/office/drawing/2014/main" id="{00000000-0008-0000-0400-0000B8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25</xdr:row>
      <xdr:rowOff>0</xdr:rowOff>
    </xdr:from>
    <xdr:to>
      <xdr:col>4</xdr:col>
      <xdr:colOff>76200</xdr:colOff>
      <xdr:row>26</xdr:row>
      <xdr:rowOff>0</xdr:rowOff>
    </xdr:to>
    <xdr:sp macro="" textlink="">
      <xdr:nvSpPr>
        <xdr:cNvPr id="441" name="Text Box 1">
          <a:extLst>
            <a:ext uri="{FF2B5EF4-FFF2-40B4-BE49-F238E27FC236}">
              <a16:creationId xmlns:a16="http://schemas.microsoft.com/office/drawing/2014/main" id="{00000000-0008-0000-0400-0000B9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25</xdr:row>
      <xdr:rowOff>0</xdr:rowOff>
    </xdr:from>
    <xdr:to>
      <xdr:col>4</xdr:col>
      <xdr:colOff>76200</xdr:colOff>
      <xdr:row>26</xdr:row>
      <xdr:rowOff>0</xdr:rowOff>
    </xdr:to>
    <xdr:sp macro="" textlink="">
      <xdr:nvSpPr>
        <xdr:cNvPr id="442" name="Text Box 1">
          <a:extLst>
            <a:ext uri="{FF2B5EF4-FFF2-40B4-BE49-F238E27FC236}">
              <a16:creationId xmlns:a16="http://schemas.microsoft.com/office/drawing/2014/main" id="{00000000-0008-0000-0400-0000BA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25</xdr:row>
      <xdr:rowOff>0</xdr:rowOff>
    </xdr:from>
    <xdr:to>
      <xdr:col>4</xdr:col>
      <xdr:colOff>76200</xdr:colOff>
      <xdr:row>26</xdr:row>
      <xdr:rowOff>0</xdr:rowOff>
    </xdr:to>
    <xdr:sp macro="" textlink="">
      <xdr:nvSpPr>
        <xdr:cNvPr id="443" name="Text Box 1">
          <a:extLst>
            <a:ext uri="{FF2B5EF4-FFF2-40B4-BE49-F238E27FC236}">
              <a16:creationId xmlns:a16="http://schemas.microsoft.com/office/drawing/2014/main" id="{00000000-0008-0000-0400-0000BB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25</xdr:row>
      <xdr:rowOff>0</xdr:rowOff>
    </xdr:from>
    <xdr:to>
      <xdr:col>4</xdr:col>
      <xdr:colOff>76200</xdr:colOff>
      <xdr:row>26</xdr:row>
      <xdr:rowOff>0</xdr:rowOff>
    </xdr:to>
    <xdr:sp macro="" textlink="">
      <xdr:nvSpPr>
        <xdr:cNvPr id="444" name="Text Box 2">
          <a:extLst>
            <a:ext uri="{FF2B5EF4-FFF2-40B4-BE49-F238E27FC236}">
              <a16:creationId xmlns:a16="http://schemas.microsoft.com/office/drawing/2014/main" id="{00000000-0008-0000-0400-0000BC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25</xdr:row>
      <xdr:rowOff>0</xdr:rowOff>
    </xdr:from>
    <xdr:to>
      <xdr:col>4</xdr:col>
      <xdr:colOff>76200</xdr:colOff>
      <xdr:row>26</xdr:row>
      <xdr:rowOff>0</xdr:rowOff>
    </xdr:to>
    <xdr:sp macro="" textlink="">
      <xdr:nvSpPr>
        <xdr:cNvPr id="445" name="Text Box 1">
          <a:extLst>
            <a:ext uri="{FF2B5EF4-FFF2-40B4-BE49-F238E27FC236}">
              <a16:creationId xmlns:a16="http://schemas.microsoft.com/office/drawing/2014/main" id="{00000000-0008-0000-0400-0000BD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25</xdr:row>
      <xdr:rowOff>0</xdr:rowOff>
    </xdr:from>
    <xdr:to>
      <xdr:col>4</xdr:col>
      <xdr:colOff>76200</xdr:colOff>
      <xdr:row>26</xdr:row>
      <xdr:rowOff>0</xdr:rowOff>
    </xdr:to>
    <xdr:sp macro="" textlink="">
      <xdr:nvSpPr>
        <xdr:cNvPr id="446" name="Text Box 1">
          <a:extLst>
            <a:ext uri="{FF2B5EF4-FFF2-40B4-BE49-F238E27FC236}">
              <a16:creationId xmlns:a16="http://schemas.microsoft.com/office/drawing/2014/main" id="{00000000-0008-0000-0400-0000BE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25</xdr:row>
      <xdr:rowOff>0</xdr:rowOff>
    </xdr:from>
    <xdr:to>
      <xdr:col>4</xdr:col>
      <xdr:colOff>76200</xdr:colOff>
      <xdr:row>26</xdr:row>
      <xdr:rowOff>0</xdr:rowOff>
    </xdr:to>
    <xdr:sp macro="" textlink="">
      <xdr:nvSpPr>
        <xdr:cNvPr id="447" name="Text Box 1">
          <a:extLst>
            <a:ext uri="{FF2B5EF4-FFF2-40B4-BE49-F238E27FC236}">
              <a16:creationId xmlns:a16="http://schemas.microsoft.com/office/drawing/2014/main" id="{00000000-0008-0000-0400-0000BF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25</xdr:row>
      <xdr:rowOff>0</xdr:rowOff>
    </xdr:from>
    <xdr:to>
      <xdr:col>4</xdr:col>
      <xdr:colOff>76200</xdr:colOff>
      <xdr:row>26</xdr:row>
      <xdr:rowOff>0</xdr:rowOff>
    </xdr:to>
    <xdr:sp macro="" textlink="">
      <xdr:nvSpPr>
        <xdr:cNvPr id="448" name="Text Box 2">
          <a:extLst>
            <a:ext uri="{FF2B5EF4-FFF2-40B4-BE49-F238E27FC236}">
              <a16:creationId xmlns:a16="http://schemas.microsoft.com/office/drawing/2014/main" id="{00000000-0008-0000-0400-0000C0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25</xdr:row>
      <xdr:rowOff>0</xdr:rowOff>
    </xdr:from>
    <xdr:to>
      <xdr:col>4</xdr:col>
      <xdr:colOff>76200</xdr:colOff>
      <xdr:row>26</xdr:row>
      <xdr:rowOff>0</xdr:rowOff>
    </xdr:to>
    <xdr:sp macro="" textlink="">
      <xdr:nvSpPr>
        <xdr:cNvPr id="449" name="Text Box 1">
          <a:extLst>
            <a:ext uri="{FF2B5EF4-FFF2-40B4-BE49-F238E27FC236}">
              <a16:creationId xmlns:a16="http://schemas.microsoft.com/office/drawing/2014/main" id="{00000000-0008-0000-0400-0000C1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25</xdr:row>
      <xdr:rowOff>0</xdr:rowOff>
    </xdr:from>
    <xdr:to>
      <xdr:col>4</xdr:col>
      <xdr:colOff>76200</xdr:colOff>
      <xdr:row>26</xdr:row>
      <xdr:rowOff>0</xdr:rowOff>
    </xdr:to>
    <xdr:sp macro="" textlink="">
      <xdr:nvSpPr>
        <xdr:cNvPr id="450" name="Text Box 1">
          <a:extLst>
            <a:ext uri="{FF2B5EF4-FFF2-40B4-BE49-F238E27FC236}">
              <a16:creationId xmlns:a16="http://schemas.microsoft.com/office/drawing/2014/main" id="{00000000-0008-0000-0400-0000C2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25</xdr:row>
      <xdr:rowOff>0</xdr:rowOff>
    </xdr:from>
    <xdr:to>
      <xdr:col>4</xdr:col>
      <xdr:colOff>76200</xdr:colOff>
      <xdr:row>26</xdr:row>
      <xdr:rowOff>0</xdr:rowOff>
    </xdr:to>
    <xdr:sp macro="" textlink="">
      <xdr:nvSpPr>
        <xdr:cNvPr id="451" name="Text Box 1">
          <a:extLst>
            <a:ext uri="{FF2B5EF4-FFF2-40B4-BE49-F238E27FC236}">
              <a16:creationId xmlns:a16="http://schemas.microsoft.com/office/drawing/2014/main" id="{00000000-0008-0000-0400-0000C3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25</xdr:row>
      <xdr:rowOff>0</xdr:rowOff>
    </xdr:from>
    <xdr:to>
      <xdr:col>4</xdr:col>
      <xdr:colOff>76200</xdr:colOff>
      <xdr:row>26</xdr:row>
      <xdr:rowOff>0</xdr:rowOff>
    </xdr:to>
    <xdr:sp macro="" textlink="">
      <xdr:nvSpPr>
        <xdr:cNvPr id="452" name="Text Box 2">
          <a:extLst>
            <a:ext uri="{FF2B5EF4-FFF2-40B4-BE49-F238E27FC236}">
              <a16:creationId xmlns:a16="http://schemas.microsoft.com/office/drawing/2014/main" id="{00000000-0008-0000-0400-0000C4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25</xdr:row>
      <xdr:rowOff>0</xdr:rowOff>
    </xdr:from>
    <xdr:to>
      <xdr:col>4</xdr:col>
      <xdr:colOff>76200</xdr:colOff>
      <xdr:row>26</xdr:row>
      <xdr:rowOff>0</xdr:rowOff>
    </xdr:to>
    <xdr:sp macro="" textlink="">
      <xdr:nvSpPr>
        <xdr:cNvPr id="453" name="Text Box 1">
          <a:extLst>
            <a:ext uri="{FF2B5EF4-FFF2-40B4-BE49-F238E27FC236}">
              <a16:creationId xmlns:a16="http://schemas.microsoft.com/office/drawing/2014/main" id="{00000000-0008-0000-0400-0000C5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25</xdr:row>
      <xdr:rowOff>0</xdr:rowOff>
    </xdr:from>
    <xdr:to>
      <xdr:col>4</xdr:col>
      <xdr:colOff>76200</xdr:colOff>
      <xdr:row>26</xdr:row>
      <xdr:rowOff>0</xdr:rowOff>
    </xdr:to>
    <xdr:sp macro="" textlink="">
      <xdr:nvSpPr>
        <xdr:cNvPr id="454" name="Text Box 1">
          <a:extLst>
            <a:ext uri="{FF2B5EF4-FFF2-40B4-BE49-F238E27FC236}">
              <a16:creationId xmlns:a16="http://schemas.microsoft.com/office/drawing/2014/main" id="{00000000-0008-0000-0400-0000C6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25</xdr:row>
      <xdr:rowOff>0</xdr:rowOff>
    </xdr:from>
    <xdr:to>
      <xdr:col>4</xdr:col>
      <xdr:colOff>76200</xdr:colOff>
      <xdr:row>26</xdr:row>
      <xdr:rowOff>0</xdr:rowOff>
    </xdr:to>
    <xdr:sp macro="" textlink="">
      <xdr:nvSpPr>
        <xdr:cNvPr id="455" name="Text Box 2">
          <a:extLst>
            <a:ext uri="{FF2B5EF4-FFF2-40B4-BE49-F238E27FC236}">
              <a16:creationId xmlns:a16="http://schemas.microsoft.com/office/drawing/2014/main" id="{00000000-0008-0000-0400-0000C7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25</xdr:row>
      <xdr:rowOff>0</xdr:rowOff>
    </xdr:from>
    <xdr:to>
      <xdr:col>4</xdr:col>
      <xdr:colOff>76200</xdr:colOff>
      <xdr:row>26</xdr:row>
      <xdr:rowOff>0</xdr:rowOff>
    </xdr:to>
    <xdr:sp macro="" textlink="">
      <xdr:nvSpPr>
        <xdr:cNvPr id="456" name="Text Box 1">
          <a:extLst>
            <a:ext uri="{FF2B5EF4-FFF2-40B4-BE49-F238E27FC236}">
              <a16:creationId xmlns:a16="http://schemas.microsoft.com/office/drawing/2014/main" id="{00000000-0008-0000-0400-0000C8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25</xdr:row>
      <xdr:rowOff>0</xdr:rowOff>
    </xdr:from>
    <xdr:to>
      <xdr:col>4</xdr:col>
      <xdr:colOff>76200</xdr:colOff>
      <xdr:row>26</xdr:row>
      <xdr:rowOff>0</xdr:rowOff>
    </xdr:to>
    <xdr:sp macro="" textlink="">
      <xdr:nvSpPr>
        <xdr:cNvPr id="457" name="Text Box 1">
          <a:extLst>
            <a:ext uri="{FF2B5EF4-FFF2-40B4-BE49-F238E27FC236}">
              <a16:creationId xmlns:a16="http://schemas.microsoft.com/office/drawing/2014/main" id="{00000000-0008-0000-0400-0000C9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25</xdr:row>
      <xdr:rowOff>0</xdr:rowOff>
    </xdr:from>
    <xdr:to>
      <xdr:col>4</xdr:col>
      <xdr:colOff>76200</xdr:colOff>
      <xdr:row>26</xdr:row>
      <xdr:rowOff>0</xdr:rowOff>
    </xdr:to>
    <xdr:sp macro="" textlink="">
      <xdr:nvSpPr>
        <xdr:cNvPr id="458" name="Text Box 1">
          <a:extLst>
            <a:ext uri="{FF2B5EF4-FFF2-40B4-BE49-F238E27FC236}">
              <a16:creationId xmlns:a16="http://schemas.microsoft.com/office/drawing/2014/main" id="{00000000-0008-0000-0400-0000CA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25</xdr:row>
      <xdr:rowOff>0</xdr:rowOff>
    </xdr:from>
    <xdr:to>
      <xdr:col>4</xdr:col>
      <xdr:colOff>76200</xdr:colOff>
      <xdr:row>26</xdr:row>
      <xdr:rowOff>0</xdr:rowOff>
    </xdr:to>
    <xdr:sp macro="" textlink="">
      <xdr:nvSpPr>
        <xdr:cNvPr id="459" name="Text Box 2">
          <a:extLst>
            <a:ext uri="{FF2B5EF4-FFF2-40B4-BE49-F238E27FC236}">
              <a16:creationId xmlns:a16="http://schemas.microsoft.com/office/drawing/2014/main" id="{00000000-0008-0000-0400-0000CB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25</xdr:row>
      <xdr:rowOff>0</xdr:rowOff>
    </xdr:from>
    <xdr:to>
      <xdr:col>4</xdr:col>
      <xdr:colOff>76200</xdr:colOff>
      <xdr:row>26</xdr:row>
      <xdr:rowOff>0</xdr:rowOff>
    </xdr:to>
    <xdr:sp macro="" textlink="">
      <xdr:nvSpPr>
        <xdr:cNvPr id="460" name="Text Box 1">
          <a:extLst>
            <a:ext uri="{FF2B5EF4-FFF2-40B4-BE49-F238E27FC236}">
              <a16:creationId xmlns:a16="http://schemas.microsoft.com/office/drawing/2014/main" id="{00000000-0008-0000-0400-0000CC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25</xdr:row>
      <xdr:rowOff>0</xdr:rowOff>
    </xdr:from>
    <xdr:to>
      <xdr:col>4</xdr:col>
      <xdr:colOff>76200</xdr:colOff>
      <xdr:row>26</xdr:row>
      <xdr:rowOff>0</xdr:rowOff>
    </xdr:to>
    <xdr:sp macro="" textlink="">
      <xdr:nvSpPr>
        <xdr:cNvPr id="461" name="Text Box 1">
          <a:extLst>
            <a:ext uri="{FF2B5EF4-FFF2-40B4-BE49-F238E27FC236}">
              <a16:creationId xmlns:a16="http://schemas.microsoft.com/office/drawing/2014/main" id="{00000000-0008-0000-0400-0000CD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76200</xdr:colOff>
      <xdr:row>27</xdr:row>
      <xdr:rowOff>0</xdr:rowOff>
    </xdr:to>
    <xdr:sp macro="" textlink="">
      <xdr:nvSpPr>
        <xdr:cNvPr id="462" name="Text Box 1">
          <a:extLst>
            <a:ext uri="{FF2B5EF4-FFF2-40B4-BE49-F238E27FC236}">
              <a16:creationId xmlns:a16="http://schemas.microsoft.com/office/drawing/2014/main" id="{00000000-0008-0000-0400-0000CE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76200</xdr:colOff>
      <xdr:row>27</xdr:row>
      <xdr:rowOff>0</xdr:rowOff>
    </xdr:to>
    <xdr:sp macro="" textlink="">
      <xdr:nvSpPr>
        <xdr:cNvPr id="463" name="Text Box 2">
          <a:extLst>
            <a:ext uri="{FF2B5EF4-FFF2-40B4-BE49-F238E27FC236}">
              <a16:creationId xmlns:a16="http://schemas.microsoft.com/office/drawing/2014/main" id="{00000000-0008-0000-0400-0000CF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76200</xdr:colOff>
      <xdr:row>27</xdr:row>
      <xdr:rowOff>0</xdr:rowOff>
    </xdr:to>
    <xdr:sp macro="" textlink="">
      <xdr:nvSpPr>
        <xdr:cNvPr id="464" name="Text Box 1">
          <a:extLst>
            <a:ext uri="{FF2B5EF4-FFF2-40B4-BE49-F238E27FC236}">
              <a16:creationId xmlns:a16="http://schemas.microsoft.com/office/drawing/2014/main" id="{00000000-0008-0000-0400-0000D0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76200</xdr:colOff>
      <xdr:row>27</xdr:row>
      <xdr:rowOff>0</xdr:rowOff>
    </xdr:to>
    <xdr:sp macro="" textlink="">
      <xdr:nvSpPr>
        <xdr:cNvPr id="465" name="Text Box 1">
          <a:extLst>
            <a:ext uri="{FF2B5EF4-FFF2-40B4-BE49-F238E27FC236}">
              <a16:creationId xmlns:a16="http://schemas.microsoft.com/office/drawing/2014/main" id="{00000000-0008-0000-0400-0000D1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76200</xdr:colOff>
      <xdr:row>27</xdr:row>
      <xdr:rowOff>0</xdr:rowOff>
    </xdr:to>
    <xdr:sp macro="" textlink="">
      <xdr:nvSpPr>
        <xdr:cNvPr id="466" name="Text Box 1">
          <a:extLst>
            <a:ext uri="{FF2B5EF4-FFF2-40B4-BE49-F238E27FC236}">
              <a16:creationId xmlns:a16="http://schemas.microsoft.com/office/drawing/2014/main" id="{00000000-0008-0000-0400-0000D2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76200</xdr:colOff>
      <xdr:row>27</xdr:row>
      <xdr:rowOff>0</xdr:rowOff>
    </xdr:to>
    <xdr:sp macro="" textlink="">
      <xdr:nvSpPr>
        <xdr:cNvPr id="467" name="Text Box 2">
          <a:extLst>
            <a:ext uri="{FF2B5EF4-FFF2-40B4-BE49-F238E27FC236}">
              <a16:creationId xmlns:a16="http://schemas.microsoft.com/office/drawing/2014/main" id="{00000000-0008-0000-0400-0000D3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76200</xdr:colOff>
      <xdr:row>27</xdr:row>
      <xdr:rowOff>0</xdr:rowOff>
    </xdr:to>
    <xdr:sp macro="" textlink="">
      <xdr:nvSpPr>
        <xdr:cNvPr id="468" name="Text Box 1">
          <a:extLst>
            <a:ext uri="{FF2B5EF4-FFF2-40B4-BE49-F238E27FC236}">
              <a16:creationId xmlns:a16="http://schemas.microsoft.com/office/drawing/2014/main" id="{00000000-0008-0000-0400-0000D4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76200</xdr:colOff>
      <xdr:row>27</xdr:row>
      <xdr:rowOff>0</xdr:rowOff>
    </xdr:to>
    <xdr:sp macro="" textlink="">
      <xdr:nvSpPr>
        <xdr:cNvPr id="469" name="Text Box 1">
          <a:extLst>
            <a:ext uri="{FF2B5EF4-FFF2-40B4-BE49-F238E27FC236}">
              <a16:creationId xmlns:a16="http://schemas.microsoft.com/office/drawing/2014/main" id="{00000000-0008-0000-0400-0000D5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76200</xdr:colOff>
      <xdr:row>27</xdr:row>
      <xdr:rowOff>0</xdr:rowOff>
    </xdr:to>
    <xdr:sp macro="" textlink="">
      <xdr:nvSpPr>
        <xdr:cNvPr id="470" name="Text Box 1">
          <a:extLst>
            <a:ext uri="{FF2B5EF4-FFF2-40B4-BE49-F238E27FC236}">
              <a16:creationId xmlns:a16="http://schemas.microsoft.com/office/drawing/2014/main" id="{00000000-0008-0000-0400-0000D6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76200</xdr:colOff>
      <xdr:row>27</xdr:row>
      <xdr:rowOff>0</xdr:rowOff>
    </xdr:to>
    <xdr:sp macro="" textlink="">
      <xdr:nvSpPr>
        <xdr:cNvPr id="471" name="Text Box 2">
          <a:extLst>
            <a:ext uri="{FF2B5EF4-FFF2-40B4-BE49-F238E27FC236}">
              <a16:creationId xmlns:a16="http://schemas.microsoft.com/office/drawing/2014/main" id="{00000000-0008-0000-0400-0000D7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76200</xdr:colOff>
      <xdr:row>27</xdr:row>
      <xdr:rowOff>0</xdr:rowOff>
    </xdr:to>
    <xdr:sp macro="" textlink="">
      <xdr:nvSpPr>
        <xdr:cNvPr id="472" name="Text Box 1">
          <a:extLst>
            <a:ext uri="{FF2B5EF4-FFF2-40B4-BE49-F238E27FC236}">
              <a16:creationId xmlns:a16="http://schemas.microsoft.com/office/drawing/2014/main" id="{00000000-0008-0000-0400-0000D8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76200</xdr:colOff>
      <xdr:row>27</xdr:row>
      <xdr:rowOff>0</xdr:rowOff>
    </xdr:to>
    <xdr:sp macro="" textlink="">
      <xdr:nvSpPr>
        <xdr:cNvPr id="473" name="Text Box 1">
          <a:extLst>
            <a:ext uri="{FF2B5EF4-FFF2-40B4-BE49-F238E27FC236}">
              <a16:creationId xmlns:a16="http://schemas.microsoft.com/office/drawing/2014/main" id="{00000000-0008-0000-0400-0000D9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76200</xdr:colOff>
      <xdr:row>27</xdr:row>
      <xdr:rowOff>0</xdr:rowOff>
    </xdr:to>
    <xdr:sp macro="" textlink="">
      <xdr:nvSpPr>
        <xdr:cNvPr id="474" name="Text Box 1">
          <a:extLst>
            <a:ext uri="{FF2B5EF4-FFF2-40B4-BE49-F238E27FC236}">
              <a16:creationId xmlns:a16="http://schemas.microsoft.com/office/drawing/2014/main" id="{00000000-0008-0000-0400-0000DA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76200</xdr:colOff>
      <xdr:row>27</xdr:row>
      <xdr:rowOff>0</xdr:rowOff>
    </xdr:to>
    <xdr:sp macro="" textlink="">
      <xdr:nvSpPr>
        <xdr:cNvPr id="475" name="Text Box 2">
          <a:extLst>
            <a:ext uri="{FF2B5EF4-FFF2-40B4-BE49-F238E27FC236}">
              <a16:creationId xmlns:a16="http://schemas.microsoft.com/office/drawing/2014/main" id="{00000000-0008-0000-0400-0000DB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76200</xdr:colOff>
      <xdr:row>27</xdr:row>
      <xdr:rowOff>0</xdr:rowOff>
    </xdr:to>
    <xdr:sp macro="" textlink="">
      <xdr:nvSpPr>
        <xdr:cNvPr id="476" name="Text Box 1">
          <a:extLst>
            <a:ext uri="{FF2B5EF4-FFF2-40B4-BE49-F238E27FC236}">
              <a16:creationId xmlns:a16="http://schemas.microsoft.com/office/drawing/2014/main" id="{00000000-0008-0000-0400-0000DC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76200</xdr:colOff>
      <xdr:row>27</xdr:row>
      <xdr:rowOff>0</xdr:rowOff>
    </xdr:to>
    <xdr:sp macro="" textlink="">
      <xdr:nvSpPr>
        <xdr:cNvPr id="477" name="Text Box 1">
          <a:extLst>
            <a:ext uri="{FF2B5EF4-FFF2-40B4-BE49-F238E27FC236}">
              <a16:creationId xmlns:a16="http://schemas.microsoft.com/office/drawing/2014/main" id="{00000000-0008-0000-0400-0000DD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76200</xdr:colOff>
      <xdr:row>27</xdr:row>
      <xdr:rowOff>0</xdr:rowOff>
    </xdr:to>
    <xdr:sp macro="" textlink="">
      <xdr:nvSpPr>
        <xdr:cNvPr id="478" name="Text Box 2">
          <a:extLst>
            <a:ext uri="{FF2B5EF4-FFF2-40B4-BE49-F238E27FC236}">
              <a16:creationId xmlns:a16="http://schemas.microsoft.com/office/drawing/2014/main" id="{00000000-0008-0000-0400-0000DE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76200</xdr:colOff>
      <xdr:row>27</xdr:row>
      <xdr:rowOff>0</xdr:rowOff>
    </xdr:to>
    <xdr:sp macro="" textlink="">
      <xdr:nvSpPr>
        <xdr:cNvPr id="479" name="Text Box 1">
          <a:extLst>
            <a:ext uri="{FF2B5EF4-FFF2-40B4-BE49-F238E27FC236}">
              <a16:creationId xmlns:a16="http://schemas.microsoft.com/office/drawing/2014/main" id="{00000000-0008-0000-0400-0000DF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76200</xdr:colOff>
      <xdr:row>27</xdr:row>
      <xdr:rowOff>0</xdr:rowOff>
    </xdr:to>
    <xdr:sp macro="" textlink="">
      <xdr:nvSpPr>
        <xdr:cNvPr id="480" name="Text Box 1">
          <a:extLst>
            <a:ext uri="{FF2B5EF4-FFF2-40B4-BE49-F238E27FC236}">
              <a16:creationId xmlns:a16="http://schemas.microsoft.com/office/drawing/2014/main" id="{00000000-0008-0000-0400-0000E0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76200</xdr:colOff>
      <xdr:row>27</xdr:row>
      <xdr:rowOff>0</xdr:rowOff>
    </xdr:to>
    <xdr:sp macro="" textlink="">
      <xdr:nvSpPr>
        <xdr:cNvPr id="481" name="Text Box 1">
          <a:extLst>
            <a:ext uri="{FF2B5EF4-FFF2-40B4-BE49-F238E27FC236}">
              <a16:creationId xmlns:a16="http://schemas.microsoft.com/office/drawing/2014/main" id="{00000000-0008-0000-0400-0000E1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76200</xdr:colOff>
      <xdr:row>27</xdr:row>
      <xdr:rowOff>0</xdr:rowOff>
    </xdr:to>
    <xdr:sp macro="" textlink="">
      <xdr:nvSpPr>
        <xdr:cNvPr id="482" name="Text Box 2">
          <a:extLst>
            <a:ext uri="{FF2B5EF4-FFF2-40B4-BE49-F238E27FC236}">
              <a16:creationId xmlns:a16="http://schemas.microsoft.com/office/drawing/2014/main" id="{00000000-0008-0000-0400-0000E2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76200</xdr:colOff>
      <xdr:row>27</xdr:row>
      <xdr:rowOff>0</xdr:rowOff>
    </xdr:to>
    <xdr:sp macro="" textlink="">
      <xdr:nvSpPr>
        <xdr:cNvPr id="483" name="Text Box 1">
          <a:extLst>
            <a:ext uri="{FF2B5EF4-FFF2-40B4-BE49-F238E27FC236}">
              <a16:creationId xmlns:a16="http://schemas.microsoft.com/office/drawing/2014/main" id="{00000000-0008-0000-0400-0000E3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76200</xdr:colOff>
      <xdr:row>27</xdr:row>
      <xdr:rowOff>0</xdr:rowOff>
    </xdr:to>
    <xdr:sp macro="" textlink="">
      <xdr:nvSpPr>
        <xdr:cNvPr id="484" name="Text Box 1">
          <a:extLst>
            <a:ext uri="{FF2B5EF4-FFF2-40B4-BE49-F238E27FC236}">
              <a16:creationId xmlns:a16="http://schemas.microsoft.com/office/drawing/2014/main" id="{00000000-0008-0000-0400-0000E4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27</xdr:row>
      <xdr:rowOff>0</xdr:rowOff>
    </xdr:from>
    <xdr:to>
      <xdr:col>4</xdr:col>
      <xdr:colOff>76200</xdr:colOff>
      <xdr:row>28</xdr:row>
      <xdr:rowOff>0</xdr:rowOff>
    </xdr:to>
    <xdr:sp macro="" textlink="">
      <xdr:nvSpPr>
        <xdr:cNvPr id="485" name="Text Box 1">
          <a:extLst>
            <a:ext uri="{FF2B5EF4-FFF2-40B4-BE49-F238E27FC236}">
              <a16:creationId xmlns:a16="http://schemas.microsoft.com/office/drawing/2014/main" id="{00000000-0008-0000-0400-0000E5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27</xdr:row>
      <xdr:rowOff>0</xdr:rowOff>
    </xdr:from>
    <xdr:to>
      <xdr:col>4</xdr:col>
      <xdr:colOff>76200</xdr:colOff>
      <xdr:row>28</xdr:row>
      <xdr:rowOff>0</xdr:rowOff>
    </xdr:to>
    <xdr:sp macro="" textlink="">
      <xdr:nvSpPr>
        <xdr:cNvPr id="486" name="Text Box 2">
          <a:extLst>
            <a:ext uri="{FF2B5EF4-FFF2-40B4-BE49-F238E27FC236}">
              <a16:creationId xmlns:a16="http://schemas.microsoft.com/office/drawing/2014/main" id="{00000000-0008-0000-0400-0000E6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27</xdr:row>
      <xdr:rowOff>0</xdr:rowOff>
    </xdr:from>
    <xdr:to>
      <xdr:col>4</xdr:col>
      <xdr:colOff>76200</xdr:colOff>
      <xdr:row>28</xdr:row>
      <xdr:rowOff>0</xdr:rowOff>
    </xdr:to>
    <xdr:sp macro="" textlink="">
      <xdr:nvSpPr>
        <xdr:cNvPr id="487" name="Text Box 1">
          <a:extLst>
            <a:ext uri="{FF2B5EF4-FFF2-40B4-BE49-F238E27FC236}">
              <a16:creationId xmlns:a16="http://schemas.microsoft.com/office/drawing/2014/main" id="{00000000-0008-0000-0400-0000E7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27</xdr:row>
      <xdr:rowOff>0</xdr:rowOff>
    </xdr:from>
    <xdr:to>
      <xdr:col>4</xdr:col>
      <xdr:colOff>76200</xdr:colOff>
      <xdr:row>28</xdr:row>
      <xdr:rowOff>0</xdr:rowOff>
    </xdr:to>
    <xdr:sp macro="" textlink="">
      <xdr:nvSpPr>
        <xdr:cNvPr id="488" name="Text Box 1">
          <a:extLst>
            <a:ext uri="{FF2B5EF4-FFF2-40B4-BE49-F238E27FC236}">
              <a16:creationId xmlns:a16="http://schemas.microsoft.com/office/drawing/2014/main" id="{00000000-0008-0000-0400-0000E8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27</xdr:row>
      <xdr:rowOff>0</xdr:rowOff>
    </xdr:from>
    <xdr:to>
      <xdr:col>4</xdr:col>
      <xdr:colOff>76200</xdr:colOff>
      <xdr:row>28</xdr:row>
      <xdr:rowOff>0</xdr:rowOff>
    </xdr:to>
    <xdr:sp macro="" textlink="">
      <xdr:nvSpPr>
        <xdr:cNvPr id="489" name="Text Box 1">
          <a:extLst>
            <a:ext uri="{FF2B5EF4-FFF2-40B4-BE49-F238E27FC236}">
              <a16:creationId xmlns:a16="http://schemas.microsoft.com/office/drawing/2014/main" id="{00000000-0008-0000-0400-0000E9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27</xdr:row>
      <xdr:rowOff>0</xdr:rowOff>
    </xdr:from>
    <xdr:to>
      <xdr:col>4</xdr:col>
      <xdr:colOff>76200</xdr:colOff>
      <xdr:row>28</xdr:row>
      <xdr:rowOff>0</xdr:rowOff>
    </xdr:to>
    <xdr:sp macro="" textlink="">
      <xdr:nvSpPr>
        <xdr:cNvPr id="490" name="Text Box 2">
          <a:extLst>
            <a:ext uri="{FF2B5EF4-FFF2-40B4-BE49-F238E27FC236}">
              <a16:creationId xmlns:a16="http://schemas.microsoft.com/office/drawing/2014/main" id="{00000000-0008-0000-0400-0000EA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27</xdr:row>
      <xdr:rowOff>0</xdr:rowOff>
    </xdr:from>
    <xdr:to>
      <xdr:col>4</xdr:col>
      <xdr:colOff>76200</xdr:colOff>
      <xdr:row>28</xdr:row>
      <xdr:rowOff>0</xdr:rowOff>
    </xdr:to>
    <xdr:sp macro="" textlink="">
      <xdr:nvSpPr>
        <xdr:cNvPr id="491" name="Text Box 1">
          <a:extLst>
            <a:ext uri="{FF2B5EF4-FFF2-40B4-BE49-F238E27FC236}">
              <a16:creationId xmlns:a16="http://schemas.microsoft.com/office/drawing/2014/main" id="{00000000-0008-0000-0400-0000EB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27</xdr:row>
      <xdr:rowOff>0</xdr:rowOff>
    </xdr:from>
    <xdr:to>
      <xdr:col>4</xdr:col>
      <xdr:colOff>76200</xdr:colOff>
      <xdr:row>28</xdr:row>
      <xdr:rowOff>0</xdr:rowOff>
    </xdr:to>
    <xdr:sp macro="" textlink="">
      <xdr:nvSpPr>
        <xdr:cNvPr id="492" name="Text Box 1">
          <a:extLst>
            <a:ext uri="{FF2B5EF4-FFF2-40B4-BE49-F238E27FC236}">
              <a16:creationId xmlns:a16="http://schemas.microsoft.com/office/drawing/2014/main" id="{00000000-0008-0000-0400-0000EC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27</xdr:row>
      <xdr:rowOff>0</xdr:rowOff>
    </xdr:from>
    <xdr:to>
      <xdr:col>4</xdr:col>
      <xdr:colOff>76200</xdr:colOff>
      <xdr:row>28</xdr:row>
      <xdr:rowOff>0</xdr:rowOff>
    </xdr:to>
    <xdr:sp macro="" textlink="">
      <xdr:nvSpPr>
        <xdr:cNvPr id="493" name="Text Box 1">
          <a:extLst>
            <a:ext uri="{FF2B5EF4-FFF2-40B4-BE49-F238E27FC236}">
              <a16:creationId xmlns:a16="http://schemas.microsoft.com/office/drawing/2014/main" id="{00000000-0008-0000-0400-0000ED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27</xdr:row>
      <xdr:rowOff>0</xdr:rowOff>
    </xdr:from>
    <xdr:to>
      <xdr:col>4</xdr:col>
      <xdr:colOff>76200</xdr:colOff>
      <xdr:row>28</xdr:row>
      <xdr:rowOff>0</xdr:rowOff>
    </xdr:to>
    <xdr:sp macro="" textlink="">
      <xdr:nvSpPr>
        <xdr:cNvPr id="494" name="Text Box 2">
          <a:extLst>
            <a:ext uri="{FF2B5EF4-FFF2-40B4-BE49-F238E27FC236}">
              <a16:creationId xmlns:a16="http://schemas.microsoft.com/office/drawing/2014/main" id="{00000000-0008-0000-0400-0000EE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27</xdr:row>
      <xdr:rowOff>0</xdr:rowOff>
    </xdr:from>
    <xdr:to>
      <xdr:col>4</xdr:col>
      <xdr:colOff>76200</xdr:colOff>
      <xdr:row>28</xdr:row>
      <xdr:rowOff>0</xdr:rowOff>
    </xdr:to>
    <xdr:sp macro="" textlink="">
      <xdr:nvSpPr>
        <xdr:cNvPr id="495" name="Text Box 1">
          <a:extLst>
            <a:ext uri="{FF2B5EF4-FFF2-40B4-BE49-F238E27FC236}">
              <a16:creationId xmlns:a16="http://schemas.microsoft.com/office/drawing/2014/main" id="{00000000-0008-0000-0400-0000EF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27</xdr:row>
      <xdr:rowOff>0</xdr:rowOff>
    </xdr:from>
    <xdr:to>
      <xdr:col>4</xdr:col>
      <xdr:colOff>76200</xdr:colOff>
      <xdr:row>28</xdr:row>
      <xdr:rowOff>0</xdr:rowOff>
    </xdr:to>
    <xdr:sp macro="" textlink="">
      <xdr:nvSpPr>
        <xdr:cNvPr id="496" name="Text Box 1">
          <a:extLst>
            <a:ext uri="{FF2B5EF4-FFF2-40B4-BE49-F238E27FC236}">
              <a16:creationId xmlns:a16="http://schemas.microsoft.com/office/drawing/2014/main" id="{00000000-0008-0000-0400-0000F0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27</xdr:row>
      <xdr:rowOff>0</xdr:rowOff>
    </xdr:from>
    <xdr:to>
      <xdr:col>4</xdr:col>
      <xdr:colOff>76200</xdr:colOff>
      <xdr:row>28</xdr:row>
      <xdr:rowOff>0</xdr:rowOff>
    </xdr:to>
    <xdr:sp macro="" textlink="">
      <xdr:nvSpPr>
        <xdr:cNvPr id="497" name="Text Box 1">
          <a:extLst>
            <a:ext uri="{FF2B5EF4-FFF2-40B4-BE49-F238E27FC236}">
              <a16:creationId xmlns:a16="http://schemas.microsoft.com/office/drawing/2014/main" id="{00000000-0008-0000-0400-0000F1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27</xdr:row>
      <xdr:rowOff>0</xdr:rowOff>
    </xdr:from>
    <xdr:to>
      <xdr:col>4</xdr:col>
      <xdr:colOff>76200</xdr:colOff>
      <xdr:row>28</xdr:row>
      <xdr:rowOff>0</xdr:rowOff>
    </xdr:to>
    <xdr:sp macro="" textlink="">
      <xdr:nvSpPr>
        <xdr:cNvPr id="498" name="Text Box 2">
          <a:extLst>
            <a:ext uri="{FF2B5EF4-FFF2-40B4-BE49-F238E27FC236}">
              <a16:creationId xmlns:a16="http://schemas.microsoft.com/office/drawing/2014/main" id="{00000000-0008-0000-0400-0000F2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27</xdr:row>
      <xdr:rowOff>0</xdr:rowOff>
    </xdr:from>
    <xdr:to>
      <xdr:col>4</xdr:col>
      <xdr:colOff>76200</xdr:colOff>
      <xdr:row>28</xdr:row>
      <xdr:rowOff>0</xdr:rowOff>
    </xdr:to>
    <xdr:sp macro="" textlink="">
      <xdr:nvSpPr>
        <xdr:cNvPr id="499" name="Text Box 1">
          <a:extLst>
            <a:ext uri="{FF2B5EF4-FFF2-40B4-BE49-F238E27FC236}">
              <a16:creationId xmlns:a16="http://schemas.microsoft.com/office/drawing/2014/main" id="{00000000-0008-0000-0400-0000F3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27</xdr:row>
      <xdr:rowOff>0</xdr:rowOff>
    </xdr:from>
    <xdr:to>
      <xdr:col>4</xdr:col>
      <xdr:colOff>76200</xdr:colOff>
      <xdr:row>28</xdr:row>
      <xdr:rowOff>0</xdr:rowOff>
    </xdr:to>
    <xdr:sp macro="" textlink="">
      <xdr:nvSpPr>
        <xdr:cNvPr id="500" name="Text Box 1">
          <a:extLst>
            <a:ext uri="{FF2B5EF4-FFF2-40B4-BE49-F238E27FC236}">
              <a16:creationId xmlns:a16="http://schemas.microsoft.com/office/drawing/2014/main" id="{00000000-0008-0000-0400-0000F4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27</xdr:row>
      <xdr:rowOff>0</xdr:rowOff>
    </xdr:from>
    <xdr:to>
      <xdr:col>4</xdr:col>
      <xdr:colOff>76200</xdr:colOff>
      <xdr:row>28</xdr:row>
      <xdr:rowOff>0</xdr:rowOff>
    </xdr:to>
    <xdr:sp macro="" textlink="">
      <xdr:nvSpPr>
        <xdr:cNvPr id="501" name="Text Box 2">
          <a:extLst>
            <a:ext uri="{FF2B5EF4-FFF2-40B4-BE49-F238E27FC236}">
              <a16:creationId xmlns:a16="http://schemas.microsoft.com/office/drawing/2014/main" id="{00000000-0008-0000-0400-0000F5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27</xdr:row>
      <xdr:rowOff>0</xdr:rowOff>
    </xdr:from>
    <xdr:to>
      <xdr:col>4</xdr:col>
      <xdr:colOff>76200</xdr:colOff>
      <xdr:row>28</xdr:row>
      <xdr:rowOff>0</xdr:rowOff>
    </xdr:to>
    <xdr:sp macro="" textlink="">
      <xdr:nvSpPr>
        <xdr:cNvPr id="502" name="Text Box 1">
          <a:extLst>
            <a:ext uri="{FF2B5EF4-FFF2-40B4-BE49-F238E27FC236}">
              <a16:creationId xmlns:a16="http://schemas.microsoft.com/office/drawing/2014/main" id="{00000000-0008-0000-0400-0000F6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27</xdr:row>
      <xdr:rowOff>0</xdr:rowOff>
    </xdr:from>
    <xdr:to>
      <xdr:col>4</xdr:col>
      <xdr:colOff>76200</xdr:colOff>
      <xdr:row>28</xdr:row>
      <xdr:rowOff>0</xdr:rowOff>
    </xdr:to>
    <xdr:sp macro="" textlink="">
      <xdr:nvSpPr>
        <xdr:cNvPr id="503" name="Text Box 1">
          <a:extLst>
            <a:ext uri="{FF2B5EF4-FFF2-40B4-BE49-F238E27FC236}">
              <a16:creationId xmlns:a16="http://schemas.microsoft.com/office/drawing/2014/main" id="{00000000-0008-0000-0400-0000F7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27</xdr:row>
      <xdr:rowOff>0</xdr:rowOff>
    </xdr:from>
    <xdr:to>
      <xdr:col>4</xdr:col>
      <xdr:colOff>76200</xdr:colOff>
      <xdr:row>28</xdr:row>
      <xdr:rowOff>0</xdr:rowOff>
    </xdr:to>
    <xdr:sp macro="" textlink="">
      <xdr:nvSpPr>
        <xdr:cNvPr id="504" name="Text Box 1">
          <a:extLst>
            <a:ext uri="{FF2B5EF4-FFF2-40B4-BE49-F238E27FC236}">
              <a16:creationId xmlns:a16="http://schemas.microsoft.com/office/drawing/2014/main" id="{00000000-0008-0000-0400-0000F8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27</xdr:row>
      <xdr:rowOff>0</xdr:rowOff>
    </xdr:from>
    <xdr:to>
      <xdr:col>4</xdr:col>
      <xdr:colOff>76200</xdr:colOff>
      <xdr:row>28</xdr:row>
      <xdr:rowOff>0</xdr:rowOff>
    </xdr:to>
    <xdr:sp macro="" textlink="">
      <xdr:nvSpPr>
        <xdr:cNvPr id="505" name="Text Box 2">
          <a:extLst>
            <a:ext uri="{FF2B5EF4-FFF2-40B4-BE49-F238E27FC236}">
              <a16:creationId xmlns:a16="http://schemas.microsoft.com/office/drawing/2014/main" id="{00000000-0008-0000-0400-0000F9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27</xdr:row>
      <xdr:rowOff>0</xdr:rowOff>
    </xdr:from>
    <xdr:to>
      <xdr:col>4</xdr:col>
      <xdr:colOff>76200</xdr:colOff>
      <xdr:row>28</xdr:row>
      <xdr:rowOff>0</xdr:rowOff>
    </xdr:to>
    <xdr:sp macro="" textlink="">
      <xdr:nvSpPr>
        <xdr:cNvPr id="506" name="Text Box 1">
          <a:extLst>
            <a:ext uri="{FF2B5EF4-FFF2-40B4-BE49-F238E27FC236}">
              <a16:creationId xmlns:a16="http://schemas.microsoft.com/office/drawing/2014/main" id="{00000000-0008-0000-0400-0000FA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27</xdr:row>
      <xdr:rowOff>0</xdr:rowOff>
    </xdr:from>
    <xdr:to>
      <xdr:col>4</xdr:col>
      <xdr:colOff>76200</xdr:colOff>
      <xdr:row>28</xdr:row>
      <xdr:rowOff>0</xdr:rowOff>
    </xdr:to>
    <xdr:sp macro="" textlink="">
      <xdr:nvSpPr>
        <xdr:cNvPr id="507" name="Text Box 1">
          <a:extLst>
            <a:ext uri="{FF2B5EF4-FFF2-40B4-BE49-F238E27FC236}">
              <a16:creationId xmlns:a16="http://schemas.microsoft.com/office/drawing/2014/main" id="{00000000-0008-0000-0400-0000FB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28</xdr:row>
      <xdr:rowOff>0</xdr:rowOff>
    </xdr:from>
    <xdr:to>
      <xdr:col>4</xdr:col>
      <xdr:colOff>76200</xdr:colOff>
      <xdr:row>29</xdr:row>
      <xdr:rowOff>0</xdr:rowOff>
    </xdr:to>
    <xdr:sp macro="" textlink="">
      <xdr:nvSpPr>
        <xdr:cNvPr id="508" name="Text Box 1">
          <a:extLst>
            <a:ext uri="{FF2B5EF4-FFF2-40B4-BE49-F238E27FC236}">
              <a16:creationId xmlns:a16="http://schemas.microsoft.com/office/drawing/2014/main" id="{00000000-0008-0000-0400-0000FC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28</xdr:row>
      <xdr:rowOff>0</xdr:rowOff>
    </xdr:from>
    <xdr:to>
      <xdr:col>4</xdr:col>
      <xdr:colOff>76200</xdr:colOff>
      <xdr:row>29</xdr:row>
      <xdr:rowOff>0</xdr:rowOff>
    </xdr:to>
    <xdr:sp macro="" textlink="">
      <xdr:nvSpPr>
        <xdr:cNvPr id="509" name="Text Box 2">
          <a:extLst>
            <a:ext uri="{FF2B5EF4-FFF2-40B4-BE49-F238E27FC236}">
              <a16:creationId xmlns:a16="http://schemas.microsoft.com/office/drawing/2014/main" id="{00000000-0008-0000-0400-0000FD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28</xdr:row>
      <xdr:rowOff>0</xdr:rowOff>
    </xdr:from>
    <xdr:to>
      <xdr:col>4</xdr:col>
      <xdr:colOff>76200</xdr:colOff>
      <xdr:row>29</xdr:row>
      <xdr:rowOff>0</xdr:rowOff>
    </xdr:to>
    <xdr:sp macro="" textlink="">
      <xdr:nvSpPr>
        <xdr:cNvPr id="510" name="Text Box 1">
          <a:extLst>
            <a:ext uri="{FF2B5EF4-FFF2-40B4-BE49-F238E27FC236}">
              <a16:creationId xmlns:a16="http://schemas.microsoft.com/office/drawing/2014/main" id="{00000000-0008-0000-0400-0000FE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28</xdr:row>
      <xdr:rowOff>0</xdr:rowOff>
    </xdr:from>
    <xdr:to>
      <xdr:col>4</xdr:col>
      <xdr:colOff>76200</xdr:colOff>
      <xdr:row>29</xdr:row>
      <xdr:rowOff>0</xdr:rowOff>
    </xdr:to>
    <xdr:sp macro="" textlink="">
      <xdr:nvSpPr>
        <xdr:cNvPr id="511" name="Text Box 1">
          <a:extLst>
            <a:ext uri="{FF2B5EF4-FFF2-40B4-BE49-F238E27FC236}">
              <a16:creationId xmlns:a16="http://schemas.microsoft.com/office/drawing/2014/main" id="{00000000-0008-0000-0400-0000FF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28</xdr:row>
      <xdr:rowOff>0</xdr:rowOff>
    </xdr:from>
    <xdr:to>
      <xdr:col>4</xdr:col>
      <xdr:colOff>76200</xdr:colOff>
      <xdr:row>29</xdr:row>
      <xdr:rowOff>0</xdr:rowOff>
    </xdr:to>
    <xdr:sp macro="" textlink="">
      <xdr:nvSpPr>
        <xdr:cNvPr id="512" name="Text Box 1">
          <a:extLst>
            <a:ext uri="{FF2B5EF4-FFF2-40B4-BE49-F238E27FC236}">
              <a16:creationId xmlns:a16="http://schemas.microsoft.com/office/drawing/2014/main" id="{00000000-0008-0000-0400-000000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28</xdr:row>
      <xdr:rowOff>0</xdr:rowOff>
    </xdr:from>
    <xdr:to>
      <xdr:col>4</xdr:col>
      <xdr:colOff>76200</xdr:colOff>
      <xdr:row>29</xdr:row>
      <xdr:rowOff>0</xdr:rowOff>
    </xdr:to>
    <xdr:sp macro="" textlink="">
      <xdr:nvSpPr>
        <xdr:cNvPr id="513" name="Text Box 2">
          <a:extLst>
            <a:ext uri="{FF2B5EF4-FFF2-40B4-BE49-F238E27FC236}">
              <a16:creationId xmlns:a16="http://schemas.microsoft.com/office/drawing/2014/main" id="{00000000-0008-0000-0400-000001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28</xdr:row>
      <xdr:rowOff>0</xdr:rowOff>
    </xdr:from>
    <xdr:to>
      <xdr:col>4</xdr:col>
      <xdr:colOff>76200</xdr:colOff>
      <xdr:row>29</xdr:row>
      <xdr:rowOff>0</xdr:rowOff>
    </xdr:to>
    <xdr:sp macro="" textlink="">
      <xdr:nvSpPr>
        <xdr:cNvPr id="514" name="Text Box 1">
          <a:extLst>
            <a:ext uri="{FF2B5EF4-FFF2-40B4-BE49-F238E27FC236}">
              <a16:creationId xmlns:a16="http://schemas.microsoft.com/office/drawing/2014/main" id="{00000000-0008-0000-0400-000002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28</xdr:row>
      <xdr:rowOff>0</xdr:rowOff>
    </xdr:from>
    <xdr:to>
      <xdr:col>4</xdr:col>
      <xdr:colOff>76200</xdr:colOff>
      <xdr:row>29</xdr:row>
      <xdr:rowOff>0</xdr:rowOff>
    </xdr:to>
    <xdr:sp macro="" textlink="">
      <xdr:nvSpPr>
        <xdr:cNvPr id="515" name="Text Box 1">
          <a:extLst>
            <a:ext uri="{FF2B5EF4-FFF2-40B4-BE49-F238E27FC236}">
              <a16:creationId xmlns:a16="http://schemas.microsoft.com/office/drawing/2014/main" id="{00000000-0008-0000-0400-000003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28</xdr:row>
      <xdr:rowOff>0</xdr:rowOff>
    </xdr:from>
    <xdr:to>
      <xdr:col>4</xdr:col>
      <xdr:colOff>76200</xdr:colOff>
      <xdr:row>29</xdr:row>
      <xdr:rowOff>0</xdr:rowOff>
    </xdr:to>
    <xdr:sp macro="" textlink="">
      <xdr:nvSpPr>
        <xdr:cNvPr id="516" name="Text Box 1">
          <a:extLst>
            <a:ext uri="{FF2B5EF4-FFF2-40B4-BE49-F238E27FC236}">
              <a16:creationId xmlns:a16="http://schemas.microsoft.com/office/drawing/2014/main" id="{00000000-0008-0000-0400-000004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28</xdr:row>
      <xdr:rowOff>0</xdr:rowOff>
    </xdr:from>
    <xdr:to>
      <xdr:col>4</xdr:col>
      <xdr:colOff>76200</xdr:colOff>
      <xdr:row>29</xdr:row>
      <xdr:rowOff>0</xdr:rowOff>
    </xdr:to>
    <xdr:sp macro="" textlink="">
      <xdr:nvSpPr>
        <xdr:cNvPr id="517" name="Text Box 2">
          <a:extLst>
            <a:ext uri="{FF2B5EF4-FFF2-40B4-BE49-F238E27FC236}">
              <a16:creationId xmlns:a16="http://schemas.microsoft.com/office/drawing/2014/main" id="{00000000-0008-0000-0400-000005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28</xdr:row>
      <xdr:rowOff>0</xdr:rowOff>
    </xdr:from>
    <xdr:to>
      <xdr:col>4</xdr:col>
      <xdr:colOff>76200</xdr:colOff>
      <xdr:row>29</xdr:row>
      <xdr:rowOff>0</xdr:rowOff>
    </xdr:to>
    <xdr:sp macro="" textlink="">
      <xdr:nvSpPr>
        <xdr:cNvPr id="518" name="Text Box 1">
          <a:extLst>
            <a:ext uri="{FF2B5EF4-FFF2-40B4-BE49-F238E27FC236}">
              <a16:creationId xmlns:a16="http://schemas.microsoft.com/office/drawing/2014/main" id="{00000000-0008-0000-0400-000006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28</xdr:row>
      <xdr:rowOff>0</xdr:rowOff>
    </xdr:from>
    <xdr:to>
      <xdr:col>4</xdr:col>
      <xdr:colOff>76200</xdr:colOff>
      <xdr:row>29</xdr:row>
      <xdr:rowOff>0</xdr:rowOff>
    </xdr:to>
    <xdr:sp macro="" textlink="">
      <xdr:nvSpPr>
        <xdr:cNvPr id="519" name="Text Box 1">
          <a:extLst>
            <a:ext uri="{FF2B5EF4-FFF2-40B4-BE49-F238E27FC236}">
              <a16:creationId xmlns:a16="http://schemas.microsoft.com/office/drawing/2014/main" id="{00000000-0008-0000-0400-000007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28</xdr:row>
      <xdr:rowOff>0</xdr:rowOff>
    </xdr:from>
    <xdr:to>
      <xdr:col>4</xdr:col>
      <xdr:colOff>76200</xdr:colOff>
      <xdr:row>29</xdr:row>
      <xdr:rowOff>0</xdr:rowOff>
    </xdr:to>
    <xdr:sp macro="" textlink="">
      <xdr:nvSpPr>
        <xdr:cNvPr id="520" name="Text Box 1">
          <a:extLst>
            <a:ext uri="{FF2B5EF4-FFF2-40B4-BE49-F238E27FC236}">
              <a16:creationId xmlns:a16="http://schemas.microsoft.com/office/drawing/2014/main" id="{00000000-0008-0000-0400-000008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28</xdr:row>
      <xdr:rowOff>0</xdr:rowOff>
    </xdr:from>
    <xdr:to>
      <xdr:col>4</xdr:col>
      <xdr:colOff>76200</xdr:colOff>
      <xdr:row>29</xdr:row>
      <xdr:rowOff>0</xdr:rowOff>
    </xdr:to>
    <xdr:sp macro="" textlink="">
      <xdr:nvSpPr>
        <xdr:cNvPr id="521" name="Text Box 2">
          <a:extLst>
            <a:ext uri="{FF2B5EF4-FFF2-40B4-BE49-F238E27FC236}">
              <a16:creationId xmlns:a16="http://schemas.microsoft.com/office/drawing/2014/main" id="{00000000-0008-0000-0400-000009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28</xdr:row>
      <xdr:rowOff>0</xdr:rowOff>
    </xdr:from>
    <xdr:to>
      <xdr:col>4</xdr:col>
      <xdr:colOff>76200</xdr:colOff>
      <xdr:row>29</xdr:row>
      <xdr:rowOff>0</xdr:rowOff>
    </xdr:to>
    <xdr:sp macro="" textlink="">
      <xdr:nvSpPr>
        <xdr:cNvPr id="522" name="Text Box 1">
          <a:extLst>
            <a:ext uri="{FF2B5EF4-FFF2-40B4-BE49-F238E27FC236}">
              <a16:creationId xmlns:a16="http://schemas.microsoft.com/office/drawing/2014/main" id="{00000000-0008-0000-0400-00000A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28</xdr:row>
      <xdr:rowOff>0</xdr:rowOff>
    </xdr:from>
    <xdr:to>
      <xdr:col>4</xdr:col>
      <xdr:colOff>76200</xdr:colOff>
      <xdr:row>29</xdr:row>
      <xdr:rowOff>0</xdr:rowOff>
    </xdr:to>
    <xdr:sp macro="" textlink="">
      <xdr:nvSpPr>
        <xdr:cNvPr id="523" name="Text Box 1">
          <a:extLst>
            <a:ext uri="{FF2B5EF4-FFF2-40B4-BE49-F238E27FC236}">
              <a16:creationId xmlns:a16="http://schemas.microsoft.com/office/drawing/2014/main" id="{00000000-0008-0000-0400-00000B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28</xdr:row>
      <xdr:rowOff>0</xdr:rowOff>
    </xdr:from>
    <xdr:to>
      <xdr:col>4</xdr:col>
      <xdr:colOff>76200</xdr:colOff>
      <xdr:row>29</xdr:row>
      <xdr:rowOff>0</xdr:rowOff>
    </xdr:to>
    <xdr:sp macro="" textlink="">
      <xdr:nvSpPr>
        <xdr:cNvPr id="524" name="Text Box 2">
          <a:extLst>
            <a:ext uri="{FF2B5EF4-FFF2-40B4-BE49-F238E27FC236}">
              <a16:creationId xmlns:a16="http://schemas.microsoft.com/office/drawing/2014/main" id="{00000000-0008-0000-0400-00000C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28</xdr:row>
      <xdr:rowOff>0</xdr:rowOff>
    </xdr:from>
    <xdr:to>
      <xdr:col>4</xdr:col>
      <xdr:colOff>76200</xdr:colOff>
      <xdr:row>29</xdr:row>
      <xdr:rowOff>0</xdr:rowOff>
    </xdr:to>
    <xdr:sp macro="" textlink="">
      <xdr:nvSpPr>
        <xdr:cNvPr id="525" name="Text Box 1">
          <a:extLst>
            <a:ext uri="{FF2B5EF4-FFF2-40B4-BE49-F238E27FC236}">
              <a16:creationId xmlns:a16="http://schemas.microsoft.com/office/drawing/2014/main" id="{00000000-0008-0000-0400-00000D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28</xdr:row>
      <xdr:rowOff>0</xdr:rowOff>
    </xdr:from>
    <xdr:to>
      <xdr:col>4</xdr:col>
      <xdr:colOff>76200</xdr:colOff>
      <xdr:row>29</xdr:row>
      <xdr:rowOff>0</xdr:rowOff>
    </xdr:to>
    <xdr:sp macro="" textlink="">
      <xdr:nvSpPr>
        <xdr:cNvPr id="526" name="Text Box 1">
          <a:extLst>
            <a:ext uri="{FF2B5EF4-FFF2-40B4-BE49-F238E27FC236}">
              <a16:creationId xmlns:a16="http://schemas.microsoft.com/office/drawing/2014/main" id="{00000000-0008-0000-0400-00000E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28</xdr:row>
      <xdr:rowOff>0</xdr:rowOff>
    </xdr:from>
    <xdr:to>
      <xdr:col>4</xdr:col>
      <xdr:colOff>76200</xdr:colOff>
      <xdr:row>29</xdr:row>
      <xdr:rowOff>0</xdr:rowOff>
    </xdr:to>
    <xdr:sp macro="" textlink="">
      <xdr:nvSpPr>
        <xdr:cNvPr id="527" name="Text Box 1">
          <a:extLst>
            <a:ext uri="{FF2B5EF4-FFF2-40B4-BE49-F238E27FC236}">
              <a16:creationId xmlns:a16="http://schemas.microsoft.com/office/drawing/2014/main" id="{00000000-0008-0000-0400-00000F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28</xdr:row>
      <xdr:rowOff>0</xdr:rowOff>
    </xdr:from>
    <xdr:to>
      <xdr:col>4</xdr:col>
      <xdr:colOff>76200</xdr:colOff>
      <xdr:row>29</xdr:row>
      <xdr:rowOff>0</xdr:rowOff>
    </xdr:to>
    <xdr:sp macro="" textlink="">
      <xdr:nvSpPr>
        <xdr:cNvPr id="528" name="Text Box 2">
          <a:extLst>
            <a:ext uri="{FF2B5EF4-FFF2-40B4-BE49-F238E27FC236}">
              <a16:creationId xmlns:a16="http://schemas.microsoft.com/office/drawing/2014/main" id="{00000000-0008-0000-0400-000010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28</xdr:row>
      <xdr:rowOff>0</xdr:rowOff>
    </xdr:from>
    <xdr:to>
      <xdr:col>4</xdr:col>
      <xdr:colOff>76200</xdr:colOff>
      <xdr:row>29</xdr:row>
      <xdr:rowOff>0</xdr:rowOff>
    </xdr:to>
    <xdr:sp macro="" textlink="">
      <xdr:nvSpPr>
        <xdr:cNvPr id="529" name="Text Box 1">
          <a:extLst>
            <a:ext uri="{FF2B5EF4-FFF2-40B4-BE49-F238E27FC236}">
              <a16:creationId xmlns:a16="http://schemas.microsoft.com/office/drawing/2014/main" id="{00000000-0008-0000-0400-000011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28</xdr:row>
      <xdr:rowOff>0</xdr:rowOff>
    </xdr:from>
    <xdr:to>
      <xdr:col>4</xdr:col>
      <xdr:colOff>76200</xdr:colOff>
      <xdr:row>29</xdr:row>
      <xdr:rowOff>0</xdr:rowOff>
    </xdr:to>
    <xdr:sp macro="" textlink="">
      <xdr:nvSpPr>
        <xdr:cNvPr id="530" name="Text Box 1">
          <a:extLst>
            <a:ext uri="{FF2B5EF4-FFF2-40B4-BE49-F238E27FC236}">
              <a16:creationId xmlns:a16="http://schemas.microsoft.com/office/drawing/2014/main" id="{00000000-0008-0000-0400-000012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29</xdr:row>
      <xdr:rowOff>0</xdr:rowOff>
    </xdr:from>
    <xdr:to>
      <xdr:col>4</xdr:col>
      <xdr:colOff>76200</xdr:colOff>
      <xdr:row>30</xdr:row>
      <xdr:rowOff>0</xdr:rowOff>
    </xdr:to>
    <xdr:sp macro="" textlink="">
      <xdr:nvSpPr>
        <xdr:cNvPr id="531" name="Text Box 1">
          <a:extLst>
            <a:ext uri="{FF2B5EF4-FFF2-40B4-BE49-F238E27FC236}">
              <a16:creationId xmlns:a16="http://schemas.microsoft.com/office/drawing/2014/main" id="{00000000-0008-0000-0400-000013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29</xdr:row>
      <xdr:rowOff>0</xdr:rowOff>
    </xdr:from>
    <xdr:to>
      <xdr:col>4</xdr:col>
      <xdr:colOff>76200</xdr:colOff>
      <xdr:row>30</xdr:row>
      <xdr:rowOff>0</xdr:rowOff>
    </xdr:to>
    <xdr:sp macro="" textlink="">
      <xdr:nvSpPr>
        <xdr:cNvPr id="532" name="Text Box 2">
          <a:extLst>
            <a:ext uri="{FF2B5EF4-FFF2-40B4-BE49-F238E27FC236}">
              <a16:creationId xmlns:a16="http://schemas.microsoft.com/office/drawing/2014/main" id="{00000000-0008-0000-0400-000014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29</xdr:row>
      <xdr:rowOff>0</xdr:rowOff>
    </xdr:from>
    <xdr:to>
      <xdr:col>4</xdr:col>
      <xdr:colOff>76200</xdr:colOff>
      <xdr:row>30</xdr:row>
      <xdr:rowOff>0</xdr:rowOff>
    </xdr:to>
    <xdr:sp macro="" textlink="">
      <xdr:nvSpPr>
        <xdr:cNvPr id="533" name="Text Box 1">
          <a:extLst>
            <a:ext uri="{FF2B5EF4-FFF2-40B4-BE49-F238E27FC236}">
              <a16:creationId xmlns:a16="http://schemas.microsoft.com/office/drawing/2014/main" id="{00000000-0008-0000-0400-000015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29</xdr:row>
      <xdr:rowOff>0</xdr:rowOff>
    </xdr:from>
    <xdr:to>
      <xdr:col>4</xdr:col>
      <xdr:colOff>76200</xdr:colOff>
      <xdr:row>30</xdr:row>
      <xdr:rowOff>0</xdr:rowOff>
    </xdr:to>
    <xdr:sp macro="" textlink="">
      <xdr:nvSpPr>
        <xdr:cNvPr id="534" name="Text Box 1">
          <a:extLst>
            <a:ext uri="{FF2B5EF4-FFF2-40B4-BE49-F238E27FC236}">
              <a16:creationId xmlns:a16="http://schemas.microsoft.com/office/drawing/2014/main" id="{00000000-0008-0000-0400-000016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29</xdr:row>
      <xdr:rowOff>0</xdr:rowOff>
    </xdr:from>
    <xdr:to>
      <xdr:col>4</xdr:col>
      <xdr:colOff>76200</xdr:colOff>
      <xdr:row>30</xdr:row>
      <xdr:rowOff>0</xdr:rowOff>
    </xdr:to>
    <xdr:sp macro="" textlink="">
      <xdr:nvSpPr>
        <xdr:cNvPr id="535" name="Text Box 1">
          <a:extLst>
            <a:ext uri="{FF2B5EF4-FFF2-40B4-BE49-F238E27FC236}">
              <a16:creationId xmlns:a16="http://schemas.microsoft.com/office/drawing/2014/main" id="{00000000-0008-0000-0400-000017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29</xdr:row>
      <xdr:rowOff>0</xdr:rowOff>
    </xdr:from>
    <xdr:to>
      <xdr:col>4</xdr:col>
      <xdr:colOff>76200</xdr:colOff>
      <xdr:row>30</xdr:row>
      <xdr:rowOff>0</xdr:rowOff>
    </xdr:to>
    <xdr:sp macro="" textlink="">
      <xdr:nvSpPr>
        <xdr:cNvPr id="536" name="Text Box 2">
          <a:extLst>
            <a:ext uri="{FF2B5EF4-FFF2-40B4-BE49-F238E27FC236}">
              <a16:creationId xmlns:a16="http://schemas.microsoft.com/office/drawing/2014/main" id="{00000000-0008-0000-0400-000018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29</xdr:row>
      <xdr:rowOff>0</xdr:rowOff>
    </xdr:from>
    <xdr:to>
      <xdr:col>4</xdr:col>
      <xdr:colOff>76200</xdr:colOff>
      <xdr:row>30</xdr:row>
      <xdr:rowOff>0</xdr:rowOff>
    </xdr:to>
    <xdr:sp macro="" textlink="">
      <xdr:nvSpPr>
        <xdr:cNvPr id="537" name="Text Box 1">
          <a:extLst>
            <a:ext uri="{FF2B5EF4-FFF2-40B4-BE49-F238E27FC236}">
              <a16:creationId xmlns:a16="http://schemas.microsoft.com/office/drawing/2014/main" id="{00000000-0008-0000-0400-000019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29</xdr:row>
      <xdr:rowOff>0</xdr:rowOff>
    </xdr:from>
    <xdr:to>
      <xdr:col>4</xdr:col>
      <xdr:colOff>76200</xdr:colOff>
      <xdr:row>30</xdr:row>
      <xdr:rowOff>0</xdr:rowOff>
    </xdr:to>
    <xdr:sp macro="" textlink="">
      <xdr:nvSpPr>
        <xdr:cNvPr id="538" name="Text Box 1">
          <a:extLst>
            <a:ext uri="{FF2B5EF4-FFF2-40B4-BE49-F238E27FC236}">
              <a16:creationId xmlns:a16="http://schemas.microsoft.com/office/drawing/2014/main" id="{00000000-0008-0000-0400-00001A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29</xdr:row>
      <xdr:rowOff>0</xdr:rowOff>
    </xdr:from>
    <xdr:to>
      <xdr:col>4</xdr:col>
      <xdr:colOff>76200</xdr:colOff>
      <xdr:row>30</xdr:row>
      <xdr:rowOff>0</xdr:rowOff>
    </xdr:to>
    <xdr:sp macro="" textlink="">
      <xdr:nvSpPr>
        <xdr:cNvPr id="539" name="Text Box 1">
          <a:extLst>
            <a:ext uri="{FF2B5EF4-FFF2-40B4-BE49-F238E27FC236}">
              <a16:creationId xmlns:a16="http://schemas.microsoft.com/office/drawing/2014/main" id="{00000000-0008-0000-0400-00001B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29</xdr:row>
      <xdr:rowOff>0</xdr:rowOff>
    </xdr:from>
    <xdr:to>
      <xdr:col>4</xdr:col>
      <xdr:colOff>76200</xdr:colOff>
      <xdr:row>30</xdr:row>
      <xdr:rowOff>0</xdr:rowOff>
    </xdr:to>
    <xdr:sp macro="" textlink="">
      <xdr:nvSpPr>
        <xdr:cNvPr id="540" name="Text Box 2">
          <a:extLst>
            <a:ext uri="{FF2B5EF4-FFF2-40B4-BE49-F238E27FC236}">
              <a16:creationId xmlns:a16="http://schemas.microsoft.com/office/drawing/2014/main" id="{00000000-0008-0000-0400-00001C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29</xdr:row>
      <xdr:rowOff>0</xdr:rowOff>
    </xdr:from>
    <xdr:to>
      <xdr:col>4</xdr:col>
      <xdr:colOff>76200</xdr:colOff>
      <xdr:row>30</xdr:row>
      <xdr:rowOff>0</xdr:rowOff>
    </xdr:to>
    <xdr:sp macro="" textlink="">
      <xdr:nvSpPr>
        <xdr:cNvPr id="541" name="Text Box 1">
          <a:extLst>
            <a:ext uri="{FF2B5EF4-FFF2-40B4-BE49-F238E27FC236}">
              <a16:creationId xmlns:a16="http://schemas.microsoft.com/office/drawing/2014/main" id="{00000000-0008-0000-0400-00001D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29</xdr:row>
      <xdr:rowOff>0</xdr:rowOff>
    </xdr:from>
    <xdr:to>
      <xdr:col>4</xdr:col>
      <xdr:colOff>76200</xdr:colOff>
      <xdr:row>30</xdr:row>
      <xdr:rowOff>0</xdr:rowOff>
    </xdr:to>
    <xdr:sp macro="" textlink="">
      <xdr:nvSpPr>
        <xdr:cNvPr id="542" name="Text Box 1">
          <a:extLst>
            <a:ext uri="{FF2B5EF4-FFF2-40B4-BE49-F238E27FC236}">
              <a16:creationId xmlns:a16="http://schemas.microsoft.com/office/drawing/2014/main" id="{00000000-0008-0000-0400-00001E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29</xdr:row>
      <xdr:rowOff>0</xdr:rowOff>
    </xdr:from>
    <xdr:to>
      <xdr:col>4</xdr:col>
      <xdr:colOff>76200</xdr:colOff>
      <xdr:row>30</xdr:row>
      <xdr:rowOff>0</xdr:rowOff>
    </xdr:to>
    <xdr:sp macro="" textlink="">
      <xdr:nvSpPr>
        <xdr:cNvPr id="543" name="Text Box 1">
          <a:extLst>
            <a:ext uri="{FF2B5EF4-FFF2-40B4-BE49-F238E27FC236}">
              <a16:creationId xmlns:a16="http://schemas.microsoft.com/office/drawing/2014/main" id="{00000000-0008-0000-0400-00001F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29</xdr:row>
      <xdr:rowOff>0</xdr:rowOff>
    </xdr:from>
    <xdr:to>
      <xdr:col>4</xdr:col>
      <xdr:colOff>76200</xdr:colOff>
      <xdr:row>30</xdr:row>
      <xdr:rowOff>0</xdr:rowOff>
    </xdr:to>
    <xdr:sp macro="" textlink="">
      <xdr:nvSpPr>
        <xdr:cNvPr id="544" name="Text Box 2">
          <a:extLst>
            <a:ext uri="{FF2B5EF4-FFF2-40B4-BE49-F238E27FC236}">
              <a16:creationId xmlns:a16="http://schemas.microsoft.com/office/drawing/2014/main" id="{00000000-0008-0000-0400-000020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29</xdr:row>
      <xdr:rowOff>0</xdr:rowOff>
    </xdr:from>
    <xdr:to>
      <xdr:col>4</xdr:col>
      <xdr:colOff>76200</xdr:colOff>
      <xdr:row>30</xdr:row>
      <xdr:rowOff>0</xdr:rowOff>
    </xdr:to>
    <xdr:sp macro="" textlink="">
      <xdr:nvSpPr>
        <xdr:cNvPr id="545" name="Text Box 1">
          <a:extLst>
            <a:ext uri="{FF2B5EF4-FFF2-40B4-BE49-F238E27FC236}">
              <a16:creationId xmlns:a16="http://schemas.microsoft.com/office/drawing/2014/main" id="{00000000-0008-0000-0400-000021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29</xdr:row>
      <xdr:rowOff>0</xdr:rowOff>
    </xdr:from>
    <xdr:to>
      <xdr:col>4</xdr:col>
      <xdr:colOff>76200</xdr:colOff>
      <xdr:row>30</xdr:row>
      <xdr:rowOff>0</xdr:rowOff>
    </xdr:to>
    <xdr:sp macro="" textlink="">
      <xdr:nvSpPr>
        <xdr:cNvPr id="546" name="Text Box 1">
          <a:extLst>
            <a:ext uri="{FF2B5EF4-FFF2-40B4-BE49-F238E27FC236}">
              <a16:creationId xmlns:a16="http://schemas.microsoft.com/office/drawing/2014/main" id="{00000000-0008-0000-0400-000022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29</xdr:row>
      <xdr:rowOff>0</xdr:rowOff>
    </xdr:from>
    <xdr:to>
      <xdr:col>4</xdr:col>
      <xdr:colOff>76200</xdr:colOff>
      <xdr:row>30</xdr:row>
      <xdr:rowOff>0</xdr:rowOff>
    </xdr:to>
    <xdr:sp macro="" textlink="">
      <xdr:nvSpPr>
        <xdr:cNvPr id="547" name="Text Box 2">
          <a:extLst>
            <a:ext uri="{FF2B5EF4-FFF2-40B4-BE49-F238E27FC236}">
              <a16:creationId xmlns:a16="http://schemas.microsoft.com/office/drawing/2014/main" id="{00000000-0008-0000-0400-000023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29</xdr:row>
      <xdr:rowOff>0</xdr:rowOff>
    </xdr:from>
    <xdr:to>
      <xdr:col>4</xdr:col>
      <xdr:colOff>76200</xdr:colOff>
      <xdr:row>30</xdr:row>
      <xdr:rowOff>0</xdr:rowOff>
    </xdr:to>
    <xdr:sp macro="" textlink="">
      <xdr:nvSpPr>
        <xdr:cNvPr id="548" name="Text Box 1">
          <a:extLst>
            <a:ext uri="{FF2B5EF4-FFF2-40B4-BE49-F238E27FC236}">
              <a16:creationId xmlns:a16="http://schemas.microsoft.com/office/drawing/2014/main" id="{00000000-0008-0000-0400-000024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29</xdr:row>
      <xdr:rowOff>0</xdr:rowOff>
    </xdr:from>
    <xdr:to>
      <xdr:col>4</xdr:col>
      <xdr:colOff>76200</xdr:colOff>
      <xdr:row>30</xdr:row>
      <xdr:rowOff>0</xdr:rowOff>
    </xdr:to>
    <xdr:sp macro="" textlink="">
      <xdr:nvSpPr>
        <xdr:cNvPr id="549" name="Text Box 1">
          <a:extLst>
            <a:ext uri="{FF2B5EF4-FFF2-40B4-BE49-F238E27FC236}">
              <a16:creationId xmlns:a16="http://schemas.microsoft.com/office/drawing/2014/main" id="{00000000-0008-0000-0400-000025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29</xdr:row>
      <xdr:rowOff>0</xdr:rowOff>
    </xdr:from>
    <xdr:to>
      <xdr:col>4</xdr:col>
      <xdr:colOff>76200</xdr:colOff>
      <xdr:row>30</xdr:row>
      <xdr:rowOff>0</xdr:rowOff>
    </xdr:to>
    <xdr:sp macro="" textlink="">
      <xdr:nvSpPr>
        <xdr:cNvPr id="550" name="Text Box 1">
          <a:extLst>
            <a:ext uri="{FF2B5EF4-FFF2-40B4-BE49-F238E27FC236}">
              <a16:creationId xmlns:a16="http://schemas.microsoft.com/office/drawing/2014/main" id="{00000000-0008-0000-0400-000026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29</xdr:row>
      <xdr:rowOff>0</xdr:rowOff>
    </xdr:from>
    <xdr:to>
      <xdr:col>4</xdr:col>
      <xdr:colOff>76200</xdr:colOff>
      <xdr:row>30</xdr:row>
      <xdr:rowOff>0</xdr:rowOff>
    </xdr:to>
    <xdr:sp macro="" textlink="">
      <xdr:nvSpPr>
        <xdr:cNvPr id="551" name="Text Box 2">
          <a:extLst>
            <a:ext uri="{FF2B5EF4-FFF2-40B4-BE49-F238E27FC236}">
              <a16:creationId xmlns:a16="http://schemas.microsoft.com/office/drawing/2014/main" id="{00000000-0008-0000-0400-000027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29</xdr:row>
      <xdr:rowOff>0</xdr:rowOff>
    </xdr:from>
    <xdr:to>
      <xdr:col>4</xdr:col>
      <xdr:colOff>76200</xdr:colOff>
      <xdr:row>30</xdr:row>
      <xdr:rowOff>0</xdr:rowOff>
    </xdr:to>
    <xdr:sp macro="" textlink="">
      <xdr:nvSpPr>
        <xdr:cNvPr id="552" name="Text Box 1">
          <a:extLst>
            <a:ext uri="{FF2B5EF4-FFF2-40B4-BE49-F238E27FC236}">
              <a16:creationId xmlns:a16="http://schemas.microsoft.com/office/drawing/2014/main" id="{00000000-0008-0000-0400-000028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29</xdr:row>
      <xdr:rowOff>0</xdr:rowOff>
    </xdr:from>
    <xdr:to>
      <xdr:col>4</xdr:col>
      <xdr:colOff>76200</xdr:colOff>
      <xdr:row>30</xdr:row>
      <xdr:rowOff>0</xdr:rowOff>
    </xdr:to>
    <xdr:sp macro="" textlink="">
      <xdr:nvSpPr>
        <xdr:cNvPr id="553" name="Text Box 1">
          <a:extLst>
            <a:ext uri="{FF2B5EF4-FFF2-40B4-BE49-F238E27FC236}">
              <a16:creationId xmlns:a16="http://schemas.microsoft.com/office/drawing/2014/main" id="{00000000-0008-0000-0400-000029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30</xdr:row>
      <xdr:rowOff>0</xdr:rowOff>
    </xdr:from>
    <xdr:to>
      <xdr:col>4</xdr:col>
      <xdr:colOff>76200</xdr:colOff>
      <xdr:row>31</xdr:row>
      <xdr:rowOff>0</xdr:rowOff>
    </xdr:to>
    <xdr:sp macro="" textlink="">
      <xdr:nvSpPr>
        <xdr:cNvPr id="554" name="Text Box 1">
          <a:extLst>
            <a:ext uri="{FF2B5EF4-FFF2-40B4-BE49-F238E27FC236}">
              <a16:creationId xmlns:a16="http://schemas.microsoft.com/office/drawing/2014/main" id="{00000000-0008-0000-0400-00002A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30</xdr:row>
      <xdr:rowOff>0</xdr:rowOff>
    </xdr:from>
    <xdr:to>
      <xdr:col>4</xdr:col>
      <xdr:colOff>76200</xdr:colOff>
      <xdr:row>31</xdr:row>
      <xdr:rowOff>0</xdr:rowOff>
    </xdr:to>
    <xdr:sp macro="" textlink="">
      <xdr:nvSpPr>
        <xdr:cNvPr id="555" name="Text Box 2">
          <a:extLst>
            <a:ext uri="{FF2B5EF4-FFF2-40B4-BE49-F238E27FC236}">
              <a16:creationId xmlns:a16="http://schemas.microsoft.com/office/drawing/2014/main" id="{00000000-0008-0000-0400-00002B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30</xdr:row>
      <xdr:rowOff>0</xdr:rowOff>
    </xdr:from>
    <xdr:to>
      <xdr:col>4</xdr:col>
      <xdr:colOff>76200</xdr:colOff>
      <xdr:row>31</xdr:row>
      <xdr:rowOff>0</xdr:rowOff>
    </xdr:to>
    <xdr:sp macro="" textlink="">
      <xdr:nvSpPr>
        <xdr:cNvPr id="556" name="Text Box 1">
          <a:extLst>
            <a:ext uri="{FF2B5EF4-FFF2-40B4-BE49-F238E27FC236}">
              <a16:creationId xmlns:a16="http://schemas.microsoft.com/office/drawing/2014/main" id="{00000000-0008-0000-0400-00002C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30</xdr:row>
      <xdr:rowOff>0</xdr:rowOff>
    </xdr:from>
    <xdr:to>
      <xdr:col>4</xdr:col>
      <xdr:colOff>76200</xdr:colOff>
      <xdr:row>31</xdr:row>
      <xdr:rowOff>0</xdr:rowOff>
    </xdr:to>
    <xdr:sp macro="" textlink="">
      <xdr:nvSpPr>
        <xdr:cNvPr id="557" name="Text Box 1">
          <a:extLst>
            <a:ext uri="{FF2B5EF4-FFF2-40B4-BE49-F238E27FC236}">
              <a16:creationId xmlns:a16="http://schemas.microsoft.com/office/drawing/2014/main" id="{00000000-0008-0000-0400-00002D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30</xdr:row>
      <xdr:rowOff>0</xdr:rowOff>
    </xdr:from>
    <xdr:to>
      <xdr:col>4</xdr:col>
      <xdr:colOff>76200</xdr:colOff>
      <xdr:row>31</xdr:row>
      <xdr:rowOff>0</xdr:rowOff>
    </xdr:to>
    <xdr:sp macro="" textlink="">
      <xdr:nvSpPr>
        <xdr:cNvPr id="558" name="Text Box 1">
          <a:extLst>
            <a:ext uri="{FF2B5EF4-FFF2-40B4-BE49-F238E27FC236}">
              <a16:creationId xmlns:a16="http://schemas.microsoft.com/office/drawing/2014/main" id="{00000000-0008-0000-0400-00002E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30</xdr:row>
      <xdr:rowOff>0</xdr:rowOff>
    </xdr:from>
    <xdr:to>
      <xdr:col>4</xdr:col>
      <xdr:colOff>76200</xdr:colOff>
      <xdr:row>31</xdr:row>
      <xdr:rowOff>0</xdr:rowOff>
    </xdr:to>
    <xdr:sp macro="" textlink="">
      <xdr:nvSpPr>
        <xdr:cNvPr id="559" name="Text Box 2">
          <a:extLst>
            <a:ext uri="{FF2B5EF4-FFF2-40B4-BE49-F238E27FC236}">
              <a16:creationId xmlns:a16="http://schemas.microsoft.com/office/drawing/2014/main" id="{00000000-0008-0000-0400-00002F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30</xdr:row>
      <xdr:rowOff>0</xdr:rowOff>
    </xdr:from>
    <xdr:to>
      <xdr:col>4</xdr:col>
      <xdr:colOff>76200</xdr:colOff>
      <xdr:row>31</xdr:row>
      <xdr:rowOff>0</xdr:rowOff>
    </xdr:to>
    <xdr:sp macro="" textlink="">
      <xdr:nvSpPr>
        <xdr:cNvPr id="560" name="Text Box 1">
          <a:extLst>
            <a:ext uri="{FF2B5EF4-FFF2-40B4-BE49-F238E27FC236}">
              <a16:creationId xmlns:a16="http://schemas.microsoft.com/office/drawing/2014/main" id="{00000000-0008-0000-0400-000030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30</xdr:row>
      <xdr:rowOff>0</xdr:rowOff>
    </xdr:from>
    <xdr:to>
      <xdr:col>4</xdr:col>
      <xdr:colOff>76200</xdr:colOff>
      <xdr:row>31</xdr:row>
      <xdr:rowOff>0</xdr:rowOff>
    </xdr:to>
    <xdr:sp macro="" textlink="">
      <xdr:nvSpPr>
        <xdr:cNvPr id="561" name="Text Box 1">
          <a:extLst>
            <a:ext uri="{FF2B5EF4-FFF2-40B4-BE49-F238E27FC236}">
              <a16:creationId xmlns:a16="http://schemas.microsoft.com/office/drawing/2014/main" id="{00000000-0008-0000-0400-000031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30</xdr:row>
      <xdr:rowOff>0</xdr:rowOff>
    </xdr:from>
    <xdr:to>
      <xdr:col>4</xdr:col>
      <xdr:colOff>76200</xdr:colOff>
      <xdr:row>31</xdr:row>
      <xdr:rowOff>0</xdr:rowOff>
    </xdr:to>
    <xdr:sp macro="" textlink="">
      <xdr:nvSpPr>
        <xdr:cNvPr id="562" name="Text Box 1">
          <a:extLst>
            <a:ext uri="{FF2B5EF4-FFF2-40B4-BE49-F238E27FC236}">
              <a16:creationId xmlns:a16="http://schemas.microsoft.com/office/drawing/2014/main" id="{00000000-0008-0000-0400-000032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30</xdr:row>
      <xdr:rowOff>0</xdr:rowOff>
    </xdr:from>
    <xdr:to>
      <xdr:col>4</xdr:col>
      <xdr:colOff>76200</xdr:colOff>
      <xdr:row>31</xdr:row>
      <xdr:rowOff>0</xdr:rowOff>
    </xdr:to>
    <xdr:sp macro="" textlink="">
      <xdr:nvSpPr>
        <xdr:cNvPr id="563" name="Text Box 2">
          <a:extLst>
            <a:ext uri="{FF2B5EF4-FFF2-40B4-BE49-F238E27FC236}">
              <a16:creationId xmlns:a16="http://schemas.microsoft.com/office/drawing/2014/main" id="{00000000-0008-0000-0400-000033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30</xdr:row>
      <xdr:rowOff>0</xdr:rowOff>
    </xdr:from>
    <xdr:to>
      <xdr:col>4</xdr:col>
      <xdr:colOff>76200</xdr:colOff>
      <xdr:row>31</xdr:row>
      <xdr:rowOff>0</xdr:rowOff>
    </xdr:to>
    <xdr:sp macro="" textlink="">
      <xdr:nvSpPr>
        <xdr:cNvPr id="564" name="Text Box 1">
          <a:extLst>
            <a:ext uri="{FF2B5EF4-FFF2-40B4-BE49-F238E27FC236}">
              <a16:creationId xmlns:a16="http://schemas.microsoft.com/office/drawing/2014/main" id="{00000000-0008-0000-0400-000034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30</xdr:row>
      <xdr:rowOff>0</xdr:rowOff>
    </xdr:from>
    <xdr:to>
      <xdr:col>4</xdr:col>
      <xdr:colOff>76200</xdr:colOff>
      <xdr:row>31</xdr:row>
      <xdr:rowOff>0</xdr:rowOff>
    </xdr:to>
    <xdr:sp macro="" textlink="">
      <xdr:nvSpPr>
        <xdr:cNvPr id="565" name="Text Box 1">
          <a:extLst>
            <a:ext uri="{FF2B5EF4-FFF2-40B4-BE49-F238E27FC236}">
              <a16:creationId xmlns:a16="http://schemas.microsoft.com/office/drawing/2014/main" id="{00000000-0008-0000-0400-000035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30</xdr:row>
      <xdr:rowOff>0</xdr:rowOff>
    </xdr:from>
    <xdr:to>
      <xdr:col>4</xdr:col>
      <xdr:colOff>76200</xdr:colOff>
      <xdr:row>31</xdr:row>
      <xdr:rowOff>0</xdr:rowOff>
    </xdr:to>
    <xdr:sp macro="" textlink="">
      <xdr:nvSpPr>
        <xdr:cNvPr id="566" name="Text Box 1">
          <a:extLst>
            <a:ext uri="{FF2B5EF4-FFF2-40B4-BE49-F238E27FC236}">
              <a16:creationId xmlns:a16="http://schemas.microsoft.com/office/drawing/2014/main" id="{00000000-0008-0000-0400-000036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30</xdr:row>
      <xdr:rowOff>0</xdr:rowOff>
    </xdr:from>
    <xdr:to>
      <xdr:col>4</xdr:col>
      <xdr:colOff>76200</xdr:colOff>
      <xdr:row>31</xdr:row>
      <xdr:rowOff>0</xdr:rowOff>
    </xdr:to>
    <xdr:sp macro="" textlink="">
      <xdr:nvSpPr>
        <xdr:cNvPr id="567" name="Text Box 2">
          <a:extLst>
            <a:ext uri="{FF2B5EF4-FFF2-40B4-BE49-F238E27FC236}">
              <a16:creationId xmlns:a16="http://schemas.microsoft.com/office/drawing/2014/main" id="{00000000-0008-0000-0400-000037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30</xdr:row>
      <xdr:rowOff>0</xdr:rowOff>
    </xdr:from>
    <xdr:to>
      <xdr:col>4</xdr:col>
      <xdr:colOff>76200</xdr:colOff>
      <xdr:row>31</xdr:row>
      <xdr:rowOff>0</xdr:rowOff>
    </xdr:to>
    <xdr:sp macro="" textlink="">
      <xdr:nvSpPr>
        <xdr:cNvPr id="568" name="Text Box 1">
          <a:extLst>
            <a:ext uri="{FF2B5EF4-FFF2-40B4-BE49-F238E27FC236}">
              <a16:creationId xmlns:a16="http://schemas.microsoft.com/office/drawing/2014/main" id="{00000000-0008-0000-0400-000038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30</xdr:row>
      <xdr:rowOff>0</xdr:rowOff>
    </xdr:from>
    <xdr:to>
      <xdr:col>4</xdr:col>
      <xdr:colOff>76200</xdr:colOff>
      <xdr:row>31</xdr:row>
      <xdr:rowOff>0</xdr:rowOff>
    </xdr:to>
    <xdr:sp macro="" textlink="">
      <xdr:nvSpPr>
        <xdr:cNvPr id="569" name="Text Box 1">
          <a:extLst>
            <a:ext uri="{FF2B5EF4-FFF2-40B4-BE49-F238E27FC236}">
              <a16:creationId xmlns:a16="http://schemas.microsoft.com/office/drawing/2014/main" id="{00000000-0008-0000-0400-000039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30</xdr:row>
      <xdr:rowOff>0</xdr:rowOff>
    </xdr:from>
    <xdr:to>
      <xdr:col>4</xdr:col>
      <xdr:colOff>76200</xdr:colOff>
      <xdr:row>31</xdr:row>
      <xdr:rowOff>0</xdr:rowOff>
    </xdr:to>
    <xdr:sp macro="" textlink="">
      <xdr:nvSpPr>
        <xdr:cNvPr id="570" name="Text Box 2">
          <a:extLst>
            <a:ext uri="{FF2B5EF4-FFF2-40B4-BE49-F238E27FC236}">
              <a16:creationId xmlns:a16="http://schemas.microsoft.com/office/drawing/2014/main" id="{00000000-0008-0000-0400-00003A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30</xdr:row>
      <xdr:rowOff>0</xdr:rowOff>
    </xdr:from>
    <xdr:to>
      <xdr:col>4</xdr:col>
      <xdr:colOff>76200</xdr:colOff>
      <xdr:row>31</xdr:row>
      <xdr:rowOff>0</xdr:rowOff>
    </xdr:to>
    <xdr:sp macro="" textlink="">
      <xdr:nvSpPr>
        <xdr:cNvPr id="571" name="Text Box 1">
          <a:extLst>
            <a:ext uri="{FF2B5EF4-FFF2-40B4-BE49-F238E27FC236}">
              <a16:creationId xmlns:a16="http://schemas.microsoft.com/office/drawing/2014/main" id="{00000000-0008-0000-0400-00003B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30</xdr:row>
      <xdr:rowOff>0</xdr:rowOff>
    </xdr:from>
    <xdr:to>
      <xdr:col>4</xdr:col>
      <xdr:colOff>76200</xdr:colOff>
      <xdr:row>31</xdr:row>
      <xdr:rowOff>0</xdr:rowOff>
    </xdr:to>
    <xdr:sp macro="" textlink="">
      <xdr:nvSpPr>
        <xdr:cNvPr id="572" name="Text Box 1">
          <a:extLst>
            <a:ext uri="{FF2B5EF4-FFF2-40B4-BE49-F238E27FC236}">
              <a16:creationId xmlns:a16="http://schemas.microsoft.com/office/drawing/2014/main" id="{00000000-0008-0000-0400-00003C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30</xdr:row>
      <xdr:rowOff>0</xdr:rowOff>
    </xdr:from>
    <xdr:to>
      <xdr:col>4</xdr:col>
      <xdr:colOff>76200</xdr:colOff>
      <xdr:row>31</xdr:row>
      <xdr:rowOff>0</xdr:rowOff>
    </xdr:to>
    <xdr:sp macro="" textlink="">
      <xdr:nvSpPr>
        <xdr:cNvPr id="573" name="Text Box 1">
          <a:extLst>
            <a:ext uri="{FF2B5EF4-FFF2-40B4-BE49-F238E27FC236}">
              <a16:creationId xmlns:a16="http://schemas.microsoft.com/office/drawing/2014/main" id="{00000000-0008-0000-0400-00003D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30</xdr:row>
      <xdr:rowOff>0</xdr:rowOff>
    </xdr:from>
    <xdr:to>
      <xdr:col>4</xdr:col>
      <xdr:colOff>76200</xdr:colOff>
      <xdr:row>31</xdr:row>
      <xdr:rowOff>0</xdr:rowOff>
    </xdr:to>
    <xdr:sp macro="" textlink="">
      <xdr:nvSpPr>
        <xdr:cNvPr id="574" name="Text Box 2">
          <a:extLst>
            <a:ext uri="{FF2B5EF4-FFF2-40B4-BE49-F238E27FC236}">
              <a16:creationId xmlns:a16="http://schemas.microsoft.com/office/drawing/2014/main" id="{00000000-0008-0000-0400-00003E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30</xdr:row>
      <xdr:rowOff>0</xdr:rowOff>
    </xdr:from>
    <xdr:to>
      <xdr:col>4</xdr:col>
      <xdr:colOff>76200</xdr:colOff>
      <xdr:row>31</xdr:row>
      <xdr:rowOff>0</xdr:rowOff>
    </xdr:to>
    <xdr:sp macro="" textlink="">
      <xdr:nvSpPr>
        <xdr:cNvPr id="575" name="Text Box 1">
          <a:extLst>
            <a:ext uri="{FF2B5EF4-FFF2-40B4-BE49-F238E27FC236}">
              <a16:creationId xmlns:a16="http://schemas.microsoft.com/office/drawing/2014/main" id="{00000000-0008-0000-0400-00003F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30</xdr:row>
      <xdr:rowOff>0</xdr:rowOff>
    </xdr:from>
    <xdr:to>
      <xdr:col>4</xdr:col>
      <xdr:colOff>76200</xdr:colOff>
      <xdr:row>31</xdr:row>
      <xdr:rowOff>0</xdr:rowOff>
    </xdr:to>
    <xdr:sp macro="" textlink="">
      <xdr:nvSpPr>
        <xdr:cNvPr id="576" name="Text Box 1">
          <a:extLst>
            <a:ext uri="{FF2B5EF4-FFF2-40B4-BE49-F238E27FC236}">
              <a16:creationId xmlns:a16="http://schemas.microsoft.com/office/drawing/2014/main" id="{00000000-0008-0000-0400-000040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31</xdr:row>
      <xdr:rowOff>0</xdr:rowOff>
    </xdr:from>
    <xdr:to>
      <xdr:col>4</xdr:col>
      <xdr:colOff>76200</xdr:colOff>
      <xdr:row>32</xdr:row>
      <xdr:rowOff>0</xdr:rowOff>
    </xdr:to>
    <xdr:sp macro="" textlink="">
      <xdr:nvSpPr>
        <xdr:cNvPr id="577" name="Text Box 1">
          <a:extLst>
            <a:ext uri="{FF2B5EF4-FFF2-40B4-BE49-F238E27FC236}">
              <a16:creationId xmlns:a16="http://schemas.microsoft.com/office/drawing/2014/main" id="{00000000-0008-0000-0400-000041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31</xdr:row>
      <xdr:rowOff>0</xdr:rowOff>
    </xdr:from>
    <xdr:to>
      <xdr:col>4</xdr:col>
      <xdr:colOff>76200</xdr:colOff>
      <xdr:row>32</xdr:row>
      <xdr:rowOff>0</xdr:rowOff>
    </xdr:to>
    <xdr:sp macro="" textlink="">
      <xdr:nvSpPr>
        <xdr:cNvPr id="578" name="Text Box 2">
          <a:extLst>
            <a:ext uri="{FF2B5EF4-FFF2-40B4-BE49-F238E27FC236}">
              <a16:creationId xmlns:a16="http://schemas.microsoft.com/office/drawing/2014/main" id="{00000000-0008-0000-0400-000042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31</xdr:row>
      <xdr:rowOff>0</xdr:rowOff>
    </xdr:from>
    <xdr:to>
      <xdr:col>4</xdr:col>
      <xdr:colOff>76200</xdr:colOff>
      <xdr:row>32</xdr:row>
      <xdr:rowOff>0</xdr:rowOff>
    </xdr:to>
    <xdr:sp macro="" textlink="">
      <xdr:nvSpPr>
        <xdr:cNvPr id="579" name="Text Box 1">
          <a:extLst>
            <a:ext uri="{FF2B5EF4-FFF2-40B4-BE49-F238E27FC236}">
              <a16:creationId xmlns:a16="http://schemas.microsoft.com/office/drawing/2014/main" id="{00000000-0008-0000-0400-000043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31</xdr:row>
      <xdr:rowOff>0</xdr:rowOff>
    </xdr:from>
    <xdr:to>
      <xdr:col>4</xdr:col>
      <xdr:colOff>76200</xdr:colOff>
      <xdr:row>32</xdr:row>
      <xdr:rowOff>0</xdr:rowOff>
    </xdr:to>
    <xdr:sp macro="" textlink="">
      <xdr:nvSpPr>
        <xdr:cNvPr id="580" name="Text Box 1">
          <a:extLst>
            <a:ext uri="{FF2B5EF4-FFF2-40B4-BE49-F238E27FC236}">
              <a16:creationId xmlns:a16="http://schemas.microsoft.com/office/drawing/2014/main" id="{00000000-0008-0000-0400-000044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31</xdr:row>
      <xdr:rowOff>0</xdr:rowOff>
    </xdr:from>
    <xdr:to>
      <xdr:col>4</xdr:col>
      <xdr:colOff>76200</xdr:colOff>
      <xdr:row>32</xdr:row>
      <xdr:rowOff>0</xdr:rowOff>
    </xdr:to>
    <xdr:sp macro="" textlink="">
      <xdr:nvSpPr>
        <xdr:cNvPr id="581" name="Text Box 1">
          <a:extLst>
            <a:ext uri="{FF2B5EF4-FFF2-40B4-BE49-F238E27FC236}">
              <a16:creationId xmlns:a16="http://schemas.microsoft.com/office/drawing/2014/main" id="{00000000-0008-0000-0400-000045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31</xdr:row>
      <xdr:rowOff>0</xdr:rowOff>
    </xdr:from>
    <xdr:to>
      <xdr:col>4</xdr:col>
      <xdr:colOff>76200</xdr:colOff>
      <xdr:row>32</xdr:row>
      <xdr:rowOff>0</xdr:rowOff>
    </xdr:to>
    <xdr:sp macro="" textlink="">
      <xdr:nvSpPr>
        <xdr:cNvPr id="582" name="Text Box 2">
          <a:extLst>
            <a:ext uri="{FF2B5EF4-FFF2-40B4-BE49-F238E27FC236}">
              <a16:creationId xmlns:a16="http://schemas.microsoft.com/office/drawing/2014/main" id="{00000000-0008-0000-0400-000046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31</xdr:row>
      <xdr:rowOff>0</xdr:rowOff>
    </xdr:from>
    <xdr:to>
      <xdr:col>4</xdr:col>
      <xdr:colOff>76200</xdr:colOff>
      <xdr:row>32</xdr:row>
      <xdr:rowOff>0</xdr:rowOff>
    </xdr:to>
    <xdr:sp macro="" textlink="">
      <xdr:nvSpPr>
        <xdr:cNvPr id="583" name="Text Box 1">
          <a:extLst>
            <a:ext uri="{FF2B5EF4-FFF2-40B4-BE49-F238E27FC236}">
              <a16:creationId xmlns:a16="http://schemas.microsoft.com/office/drawing/2014/main" id="{00000000-0008-0000-0400-000047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31</xdr:row>
      <xdr:rowOff>0</xdr:rowOff>
    </xdr:from>
    <xdr:to>
      <xdr:col>4</xdr:col>
      <xdr:colOff>76200</xdr:colOff>
      <xdr:row>32</xdr:row>
      <xdr:rowOff>0</xdr:rowOff>
    </xdr:to>
    <xdr:sp macro="" textlink="">
      <xdr:nvSpPr>
        <xdr:cNvPr id="584" name="Text Box 1">
          <a:extLst>
            <a:ext uri="{FF2B5EF4-FFF2-40B4-BE49-F238E27FC236}">
              <a16:creationId xmlns:a16="http://schemas.microsoft.com/office/drawing/2014/main" id="{00000000-0008-0000-0400-000048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31</xdr:row>
      <xdr:rowOff>0</xdr:rowOff>
    </xdr:from>
    <xdr:to>
      <xdr:col>4</xdr:col>
      <xdr:colOff>76200</xdr:colOff>
      <xdr:row>32</xdr:row>
      <xdr:rowOff>0</xdr:rowOff>
    </xdr:to>
    <xdr:sp macro="" textlink="">
      <xdr:nvSpPr>
        <xdr:cNvPr id="585" name="Text Box 1">
          <a:extLst>
            <a:ext uri="{FF2B5EF4-FFF2-40B4-BE49-F238E27FC236}">
              <a16:creationId xmlns:a16="http://schemas.microsoft.com/office/drawing/2014/main" id="{00000000-0008-0000-0400-000049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31</xdr:row>
      <xdr:rowOff>0</xdr:rowOff>
    </xdr:from>
    <xdr:to>
      <xdr:col>4</xdr:col>
      <xdr:colOff>76200</xdr:colOff>
      <xdr:row>32</xdr:row>
      <xdr:rowOff>0</xdr:rowOff>
    </xdr:to>
    <xdr:sp macro="" textlink="">
      <xdr:nvSpPr>
        <xdr:cNvPr id="586" name="Text Box 2">
          <a:extLst>
            <a:ext uri="{FF2B5EF4-FFF2-40B4-BE49-F238E27FC236}">
              <a16:creationId xmlns:a16="http://schemas.microsoft.com/office/drawing/2014/main" id="{00000000-0008-0000-0400-00004A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31</xdr:row>
      <xdr:rowOff>0</xdr:rowOff>
    </xdr:from>
    <xdr:to>
      <xdr:col>4</xdr:col>
      <xdr:colOff>76200</xdr:colOff>
      <xdr:row>32</xdr:row>
      <xdr:rowOff>0</xdr:rowOff>
    </xdr:to>
    <xdr:sp macro="" textlink="">
      <xdr:nvSpPr>
        <xdr:cNvPr id="587" name="Text Box 1">
          <a:extLst>
            <a:ext uri="{FF2B5EF4-FFF2-40B4-BE49-F238E27FC236}">
              <a16:creationId xmlns:a16="http://schemas.microsoft.com/office/drawing/2014/main" id="{00000000-0008-0000-0400-00004B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31</xdr:row>
      <xdr:rowOff>0</xdr:rowOff>
    </xdr:from>
    <xdr:to>
      <xdr:col>4</xdr:col>
      <xdr:colOff>76200</xdr:colOff>
      <xdr:row>32</xdr:row>
      <xdr:rowOff>0</xdr:rowOff>
    </xdr:to>
    <xdr:sp macro="" textlink="">
      <xdr:nvSpPr>
        <xdr:cNvPr id="588" name="Text Box 1">
          <a:extLst>
            <a:ext uri="{FF2B5EF4-FFF2-40B4-BE49-F238E27FC236}">
              <a16:creationId xmlns:a16="http://schemas.microsoft.com/office/drawing/2014/main" id="{00000000-0008-0000-0400-00004C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31</xdr:row>
      <xdr:rowOff>0</xdr:rowOff>
    </xdr:from>
    <xdr:to>
      <xdr:col>4</xdr:col>
      <xdr:colOff>76200</xdr:colOff>
      <xdr:row>32</xdr:row>
      <xdr:rowOff>0</xdr:rowOff>
    </xdr:to>
    <xdr:sp macro="" textlink="">
      <xdr:nvSpPr>
        <xdr:cNvPr id="589" name="Text Box 1">
          <a:extLst>
            <a:ext uri="{FF2B5EF4-FFF2-40B4-BE49-F238E27FC236}">
              <a16:creationId xmlns:a16="http://schemas.microsoft.com/office/drawing/2014/main" id="{00000000-0008-0000-0400-00004D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31</xdr:row>
      <xdr:rowOff>0</xdr:rowOff>
    </xdr:from>
    <xdr:to>
      <xdr:col>4</xdr:col>
      <xdr:colOff>76200</xdr:colOff>
      <xdr:row>32</xdr:row>
      <xdr:rowOff>0</xdr:rowOff>
    </xdr:to>
    <xdr:sp macro="" textlink="">
      <xdr:nvSpPr>
        <xdr:cNvPr id="590" name="Text Box 2">
          <a:extLst>
            <a:ext uri="{FF2B5EF4-FFF2-40B4-BE49-F238E27FC236}">
              <a16:creationId xmlns:a16="http://schemas.microsoft.com/office/drawing/2014/main" id="{00000000-0008-0000-0400-00004E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31</xdr:row>
      <xdr:rowOff>0</xdr:rowOff>
    </xdr:from>
    <xdr:to>
      <xdr:col>4</xdr:col>
      <xdr:colOff>76200</xdr:colOff>
      <xdr:row>32</xdr:row>
      <xdr:rowOff>0</xdr:rowOff>
    </xdr:to>
    <xdr:sp macro="" textlink="">
      <xdr:nvSpPr>
        <xdr:cNvPr id="591" name="Text Box 1">
          <a:extLst>
            <a:ext uri="{FF2B5EF4-FFF2-40B4-BE49-F238E27FC236}">
              <a16:creationId xmlns:a16="http://schemas.microsoft.com/office/drawing/2014/main" id="{00000000-0008-0000-0400-00004F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31</xdr:row>
      <xdr:rowOff>0</xdr:rowOff>
    </xdr:from>
    <xdr:to>
      <xdr:col>4</xdr:col>
      <xdr:colOff>76200</xdr:colOff>
      <xdr:row>32</xdr:row>
      <xdr:rowOff>0</xdr:rowOff>
    </xdr:to>
    <xdr:sp macro="" textlink="">
      <xdr:nvSpPr>
        <xdr:cNvPr id="592" name="Text Box 1">
          <a:extLst>
            <a:ext uri="{FF2B5EF4-FFF2-40B4-BE49-F238E27FC236}">
              <a16:creationId xmlns:a16="http://schemas.microsoft.com/office/drawing/2014/main" id="{00000000-0008-0000-0400-000050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31</xdr:row>
      <xdr:rowOff>0</xdr:rowOff>
    </xdr:from>
    <xdr:to>
      <xdr:col>4</xdr:col>
      <xdr:colOff>76200</xdr:colOff>
      <xdr:row>32</xdr:row>
      <xdr:rowOff>0</xdr:rowOff>
    </xdr:to>
    <xdr:sp macro="" textlink="">
      <xdr:nvSpPr>
        <xdr:cNvPr id="593" name="Text Box 2">
          <a:extLst>
            <a:ext uri="{FF2B5EF4-FFF2-40B4-BE49-F238E27FC236}">
              <a16:creationId xmlns:a16="http://schemas.microsoft.com/office/drawing/2014/main" id="{00000000-0008-0000-0400-000051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31</xdr:row>
      <xdr:rowOff>0</xdr:rowOff>
    </xdr:from>
    <xdr:to>
      <xdr:col>4</xdr:col>
      <xdr:colOff>76200</xdr:colOff>
      <xdr:row>32</xdr:row>
      <xdr:rowOff>0</xdr:rowOff>
    </xdr:to>
    <xdr:sp macro="" textlink="">
      <xdr:nvSpPr>
        <xdr:cNvPr id="594" name="Text Box 1">
          <a:extLst>
            <a:ext uri="{FF2B5EF4-FFF2-40B4-BE49-F238E27FC236}">
              <a16:creationId xmlns:a16="http://schemas.microsoft.com/office/drawing/2014/main" id="{00000000-0008-0000-0400-000052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31</xdr:row>
      <xdr:rowOff>0</xdr:rowOff>
    </xdr:from>
    <xdr:to>
      <xdr:col>4</xdr:col>
      <xdr:colOff>76200</xdr:colOff>
      <xdr:row>32</xdr:row>
      <xdr:rowOff>0</xdr:rowOff>
    </xdr:to>
    <xdr:sp macro="" textlink="">
      <xdr:nvSpPr>
        <xdr:cNvPr id="595" name="Text Box 1">
          <a:extLst>
            <a:ext uri="{FF2B5EF4-FFF2-40B4-BE49-F238E27FC236}">
              <a16:creationId xmlns:a16="http://schemas.microsoft.com/office/drawing/2014/main" id="{00000000-0008-0000-0400-000053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31</xdr:row>
      <xdr:rowOff>0</xdr:rowOff>
    </xdr:from>
    <xdr:to>
      <xdr:col>4</xdr:col>
      <xdr:colOff>76200</xdr:colOff>
      <xdr:row>32</xdr:row>
      <xdr:rowOff>0</xdr:rowOff>
    </xdr:to>
    <xdr:sp macro="" textlink="">
      <xdr:nvSpPr>
        <xdr:cNvPr id="596" name="Text Box 1">
          <a:extLst>
            <a:ext uri="{FF2B5EF4-FFF2-40B4-BE49-F238E27FC236}">
              <a16:creationId xmlns:a16="http://schemas.microsoft.com/office/drawing/2014/main" id="{00000000-0008-0000-0400-000054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31</xdr:row>
      <xdr:rowOff>0</xdr:rowOff>
    </xdr:from>
    <xdr:to>
      <xdr:col>4</xdr:col>
      <xdr:colOff>76200</xdr:colOff>
      <xdr:row>32</xdr:row>
      <xdr:rowOff>0</xdr:rowOff>
    </xdr:to>
    <xdr:sp macro="" textlink="">
      <xdr:nvSpPr>
        <xdr:cNvPr id="597" name="Text Box 2">
          <a:extLst>
            <a:ext uri="{FF2B5EF4-FFF2-40B4-BE49-F238E27FC236}">
              <a16:creationId xmlns:a16="http://schemas.microsoft.com/office/drawing/2014/main" id="{00000000-0008-0000-0400-000055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31</xdr:row>
      <xdr:rowOff>0</xdr:rowOff>
    </xdr:from>
    <xdr:to>
      <xdr:col>4</xdr:col>
      <xdr:colOff>76200</xdr:colOff>
      <xdr:row>32</xdr:row>
      <xdr:rowOff>0</xdr:rowOff>
    </xdr:to>
    <xdr:sp macro="" textlink="">
      <xdr:nvSpPr>
        <xdr:cNvPr id="598" name="Text Box 1">
          <a:extLst>
            <a:ext uri="{FF2B5EF4-FFF2-40B4-BE49-F238E27FC236}">
              <a16:creationId xmlns:a16="http://schemas.microsoft.com/office/drawing/2014/main" id="{00000000-0008-0000-0400-000056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31</xdr:row>
      <xdr:rowOff>0</xdr:rowOff>
    </xdr:from>
    <xdr:to>
      <xdr:col>4</xdr:col>
      <xdr:colOff>76200</xdr:colOff>
      <xdr:row>32</xdr:row>
      <xdr:rowOff>0</xdr:rowOff>
    </xdr:to>
    <xdr:sp macro="" textlink="">
      <xdr:nvSpPr>
        <xdr:cNvPr id="599" name="Text Box 1">
          <a:extLst>
            <a:ext uri="{FF2B5EF4-FFF2-40B4-BE49-F238E27FC236}">
              <a16:creationId xmlns:a16="http://schemas.microsoft.com/office/drawing/2014/main" id="{00000000-0008-0000-0400-000057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32</xdr:row>
      <xdr:rowOff>0</xdr:rowOff>
    </xdr:from>
    <xdr:to>
      <xdr:col>4</xdr:col>
      <xdr:colOff>76200</xdr:colOff>
      <xdr:row>33</xdr:row>
      <xdr:rowOff>0</xdr:rowOff>
    </xdr:to>
    <xdr:sp macro="" textlink="">
      <xdr:nvSpPr>
        <xdr:cNvPr id="600" name="Text Box 1">
          <a:extLst>
            <a:ext uri="{FF2B5EF4-FFF2-40B4-BE49-F238E27FC236}">
              <a16:creationId xmlns:a16="http://schemas.microsoft.com/office/drawing/2014/main" id="{00000000-0008-0000-0400-000058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32</xdr:row>
      <xdr:rowOff>0</xdr:rowOff>
    </xdr:from>
    <xdr:to>
      <xdr:col>4</xdr:col>
      <xdr:colOff>76200</xdr:colOff>
      <xdr:row>33</xdr:row>
      <xdr:rowOff>0</xdr:rowOff>
    </xdr:to>
    <xdr:sp macro="" textlink="">
      <xdr:nvSpPr>
        <xdr:cNvPr id="601" name="Text Box 2">
          <a:extLst>
            <a:ext uri="{FF2B5EF4-FFF2-40B4-BE49-F238E27FC236}">
              <a16:creationId xmlns:a16="http://schemas.microsoft.com/office/drawing/2014/main" id="{00000000-0008-0000-0400-000059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32</xdr:row>
      <xdr:rowOff>0</xdr:rowOff>
    </xdr:from>
    <xdr:to>
      <xdr:col>4</xdr:col>
      <xdr:colOff>76200</xdr:colOff>
      <xdr:row>33</xdr:row>
      <xdr:rowOff>0</xdr:rowOff>
    </xdr:to>
    <xdr:sp macro="" textlink="">
      <xdr:nvSpPr>
        <xdr:cNvPr id="602" name="Text Box 1">
          <a:extLst>
            <a:ext uri="{FF2B5EF4-FFF2-40B4-BE49-F238E27FC236}">
              <a16:creationId xmlns:a16="http://schemas.microsoft.com/office/drawing/2014/main" id="{00000000-0008-0000-0400-00005A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32</xdr:row>
      <xdr:rowOff>0</xdr:rowOff>
    </xdr:from>
    <xdr:to>
      <xdr:col>4</xdr:col>
      <xdr:colOff>76200</xdr:colOff>
      <xdr:row>33</xdr:row>
      <xdr:rowOff>0</xdr:rowOff>
    </xdr:to>
    <xdr:sp macro="" textlink="">
      <xdr:nvSpPr>
        <xdr:cNvPr id="603" name="Text Box 1">
          <a:extLst>
            <a:ext uri="{FF2B5EF4-FFF2-40B4-BE49-F238E27FC236}">
              <a16:creationId xmlns:a16="http://schemas.microsoft.com/office/drawing/2014/main" id="{00000000-0008-0000-0400-00005B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32</xdr:row>
      <xdr:rowOff>0</xdr:rowOff>
    </xdr:from>
    <xdr:to>
      <xdr:col>4</xdr:col>
      <xdr:colOff>76200</xdr:colOff>
      <xdr:row>33</xdr:row>
      <xdr:rowOff>0</xdr:rowOff>
    </xdr:to>
    <xdr:sp macro="" textlink="">
      <xdr:nvSpPr>
        <xdr:cNvPr id="604" name="Text Box 1">
          <a:extLst>
            <a:ext uri="{FF2B5EF4-FFF2-40B4-BE49-F238E27FC236}">
              <a16:creationId xmlns:a16="http://schemas.microsoft.com/office/drawing/2014/main" id="{00000000-0008-0000-0400-00005C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32</xdr:row>
      <xdr:rowOff>0</xdr:rowOff>
    </xdr:from>
    <xdr:to>
      <xdr:col>4</xdr:col>
      <xdr:colOff>76200</xdr:colOff>
      <xdr:row>33</xdr:row>
      <xdr:rowOff>0</xdr:rowOff>
    </xdr:to>
    <xdr:sp macro="" textlink="">
      <xdr:nvSpPr>
        <xdr:cNvPr id="605" name="Text Box 2">
          <a:extLst>
            <a:ext uri="{FF2B5EF4-FFF2-40B4-BE49-F238E27FC236}">
              <a16:creationId xmlns:a16="http://schemas.microsoft.com/office/drawing/2014/main" id="{00000000-0008-0000-0400-00005D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32</xdr:row>
      <xdr:rowOff>0</xdr:rowOff>
    </xdr:from>
    <xdr:to>
      <xdr:col>4</xdr:col>
      <xdr:colOff>76200</xdr:colOff>
      <xdr:row>33</xdr:row>
      <xdr:rowOff>0</xdr:rowOff>
    </xdr:to>
    <xdr:sp macro="" textlink="">
      <xdr:nvSpPr>
        <xdr:cNvPr id="606" name="Text Box 1">
          <a:extLst>
            <a:ext uri="{FF2B5EF4-FFF2-40B4-BE49-F238E27FC236}">
              <a16:creationId xmlns:a16="http://schemas.microsoft.com/office/drawing/2014/main" id="{00000000-0008-0000-0400-00005E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32</xdr:row>
      <xdr:rowOff>0</xdr:rowOff>
    </xdr:from>
    <xdr:to>
      <xdr:col>4</xdr:col>
      <xdr:colOff>76200</xdr:colOff>
      <xdr:row>33</xdr:row>
      <xdr:rowOff>0</xdr:rowOff>
    </xdr:to>
    <xdr:sp macro="" textlink="">
      <xdr:nvSpPr>
        <xdr:cNvPr id="607" name="Text Box 1">
          <a:extLst>
            <a:ext uri="{FF2B5EF4-FFF2-40B4-BE49-F238E27FC236}">
              <a16:creationId xmlns:a16="http://schemas.microsoft.com/office/drawing/2014/main" id="{00000000-0008-0000-0400-00005F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32</xdr:row>
      <xdr:rowOff>0</xdr:rowOff>
    </xdr:from>
    <xdr:to>
      <xdr:col>4</xdr:col>
      <xdr:colOff>76200</xdr:colOff>
      <xdr:row>33</xdr:row>
      <xdr:rowOff>0</xdr:rowOff>
    </xdr:to>
    <xdr:sp macro="" textlink="">
      <xdr:nvSpPr>
        <xdr:cNvPr id="608" name="Text Box 1">
          <a:extLst>
            <a:ext uri="{FF2B5EF4-FFF2-40B4-BE49-F238E27FC236}">
              <a16:creationId xmlns:a16="http://schemas.microsoft.com/office/drawing/2014/main" id="{00000000-0008-0000-0400-000060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32</xdr:row>
      <xdr:rowOff>0</xdr:rowOff>
    </xdr:from>
    <xdr:to>
      <xdr:col>4</xdr:col>
      <xdr:colOff>76200</xdr:colOff>
      <xdr:row>33</xdr:row>
      <xdr:rowOff>0</xdr:rowOff>
    </xdr:to>
    <xdr:sp macro="" textlink="">
      <xdr:nvSpPr>
        <xdr:cNvPr id="609" name="Text Box 2">
          <a:extLst>
            <a:ext uri="{FF2B5EF4-FFF2-40B4-BE49-F238E27FC236}">
              <a16:creationId xmlns:a16="http://schemas.microsoft.com/office/drawing/2014/main" id="{00000000-0008-0000-0400-000061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32</xdr:row>
      <xdr:rowOff>0</xdr:rowOff>
    </xdr:from>
    <xdr:to>
      <xdr:col>4</xdr:col>
      <xdr:colOff>76200</xdr:colOff>
      <xdr:row>33</xdr:row>
      <xdr:rowOff>0</xdr:rowOff>
    </xdr:to>
    <xdr:sp macro="" textlink="">
      <xdr:nvSpPr>
        <xdr:cNvPr id="610" name="Text Box 1">
          <a:extLst>
            <a:ext uri="{FF2B5EF4-FFF2-40B4-BE49-F238E27FC236}">
              <a16:creationId xmlns:a16="http://schemas.microsoft.com/office/drawing/2014/main" id="{00000000-0008-0000-0400-000062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32</xdr:row>
      <xdr:rowOff>0</xdr:rowOff>
    </xdr:from>
    <xdr:to>
      <xdr:col>4</xdr:col>
      <xdr:colOff>76200</xdr:colOff>
      <xdr:row>33</xdr:row>
      <xdr:rowOff>0</xdr:rowOff>
    </xdr:to>
    <xdr:sp macro="" textlink="">
      <xdr:nvSpPr>
        <xdr:cNvPr id="611" name="Text Box 1">
          <a:extLst>
            <a:ext uri="{FF2B5EF4-FFF2-40B4-BE49-F238E27FC236}">
              <a16:creationId xmlns:a16="http://schemas.microsoft.com/office/drawing/2014/main" id="{00000000-0008-0000-0400-000063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32</xdr:row>
      <xdr:rowOff>0</xdr:rowOff>
    </xdr:from>
    <xdr:to>
      <xdr:col>4</xdr:col>
      <xdr:colOff>76200</xdr:colOff>
      <xdr:row>33</xdr:row>
      <xdr:rowOff>0</xdr:rowOff>
    </xdr:to>
    <xdr:sp macro="" textlink="">
      <xdr:nvSpPr>
        <xdr:cNvPr id="612" name="Text Box 1">
          <a:extLst>
            <a:ext uri="{FF2B5EF4-FFF2-40B4-BE49-F238E27FC236}">
              <a16:creationId xmlns:a16="http://schemas.microsoft.com/office/drawing/2014/main" id="{00000000-0008-0000-0400-000064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32</xdr:row>
      <xdr:rowOff>0</xdr:rowOff>
    </xdr:from>
    <xdr:to>
      <xdr:col>4</xdr:col>
      <xdr:colOff>76200</xdr:colOff>
      <xdr:row>33</xdr:row>
      <xdr:rowOff>0</xdr:rowOff>
    </xdr:to>
    <xdr:sp macro="" textlink="">
      <xdr:nvSpPr>
        <xdr:cNvPr id="613" name="Text Box 2">
          <a:extLst>
            <a:ext uri="{FF2B5EF4-FFF2-40B4-BE49-F238E27FC236}">
              <a16:creationId xmlns:a16="http://schemas.microsoft.com/office/drawing/2014/main" id="{00000000-0008-0000-0400-000065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32</xdr:row>
      <xdr:rowOff>0</xdr:rowOff>
    </xdr:from>
    <xdr:to>
      <xdr:col>4</xdr:col>
      <xdr:colOff>76200</xdr:colOff>
      <xdr:row>33</xdr:row>
      <xdr:rowOff>0</xdr:rowOff>
    </xdr:to>
    <xdr:sp macro="" textlink="">
      <xdr:nvSpPr>
        <xdr:cNvPr id="614" name="Text Box 1">
          <a:extLst>
            <a:ext uri="{FF2B5EF4-FFF2-40B4-BE49-F238E27FC236}">
              <a16:creationId xmlns:a16="http://schemas.microsoft.com/office/drawing/2014/main" id="{00000000-0008-0000-0400-000066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32</xdr:row>
      <xdr:rowOff>0</xdr:rowOff>
    </xdr:from>
    <xdr:to>
      <xdr:col>4</xdr:col>
      <xdr:colOff>76200</xdr:colOff>
      <xdr:row>33</xdr:row>
      <xdr:rowOff>0</xdr:rowOff>
    </xdr:to>
    <xdr:sp macro="" textlink="">
      <xdr:nvSpPr>
        <xdr:cNvPr id="615" name="Text Box 1">
          <a:extLst>
            <a:ext uri="{FF2B5EF4-FFF2-40B4-BE49-F238E27FC236}">
              <a16:creationId xmlns:a16="http://schemas.microsoft.com/office/drawing/2014/main" id="{00000000-0008-0000-0400-000067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32</xdr:row>
      <xdr:rowOff>0</xdr:rowOff>
    </xdr:from>
    <xdr:to>
      <xdr:col>4</xdr:col>
      <xdr:colOff>76200</xdr:colOff>
      <xdr:row>33</xdr:row>
      <xdr:rowOff>0</xdr:rowOff>
    </xdr:to>
    <xdr:sp macro="" textlink="">
      <xdr:nvSpPr>
        <xdr:cNvPr id="616" name="Text Box 2">
          <a:extLst>
            <a:ext uri="{FF2B5EF4-FFF2-40B4-BE49-F238E27FC236}">
              <a16:creationId xmlns:a16="http://schemas.microsoft.com/office/drawing/2014/main" id="{00000000-0008-0000-0400-000068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32</xdr:row>
      <xdr:rowOff>0</xdr:rowOff>
    </xdr:from>
    <xdr:to>
      <xdr:col>4</xdr:col>
      <xdr:colOff>76200</xdr:colOff>
      <xdr:row>33</xdr:row>
      <xdr:rowOff>0</xdr:rowOff>
    </xdr:to>
    <xdr:sp macro="" textlink="">
      <xdr:nvSpPr>
        <xdr:cNvPr id="617" name="Text Box 1">
          <a:extLst>
            <a:ext uri="{FF2B5EF4-FFF2-40B4-BE49-F238E27FC236}">
              <a16:creationId xmlns:a16="http://schemas.microsoft.com/office/drawing/2014/main" id="{00000000-0008-0000-0400-000069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32</xdr:row>
      <xdr:rowOff>0</xdr:rowOff>
    </xdr:from>
    <xdr:to>
      <xdr:col>4</xdr:col>
      <xdr:colOff>76200</xdr:colOff>
      <xdr:row>33</xdr:row>
      <xdr:rowOff>0</xdr:rowOff>
    </xdr:to>
    <xdr:sp macro="" textlink="">
      <xdr:nvSpPr>
        <xdr:cNvPr id="618" name="Text Box 1">
          <a:extLst>
            <a:ext uri="{FF2B5EF4-FFF2-40B4-BE49-F238E27FC236}">
              <a16:creationId xmlns:a16="http://schemas.microsoft.com/office/drawing/2014/main" id="{00000000-0008-0000-0400-00006A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32</xdr:row>
      <xdr:rowOff>0</xdr:rowOff>
    </xdr:from>
    <xdr:to>
      <xdr:col>4</xdr:col>
      <xdr:colOff>76200</xdr:colOff>
      <xdr:row>33</xdr:row>
      <xdr:rowOff>0</xdr:rowOff>
    </xdr:to>
    <xdr:sp macro="" textlink="">
      <xdr:nvSpPr>
        <xdr:cNvPr id="619" name="Text Box 1">
          <a:extLst>
            <a:ext uri="{FF2B5EF4-FFF2-40B4-BE49-F238E27FC236}">
              <a16:creationId xmlns:a16="http://schemas.microsoft.com/office/drawing/2014/main" id="{00000000-0008-0000-0400-00006B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32</xdr:row>
      <xdr:rowOff>0</xdr:rowOff>
    </xdr:from>
    <xdr:to>
      <xdr:col>4</xdr:col>
      <xdr:colOff>76200</xdr:colOff>
      <xdr:row>33</xdr:row>
      <xdr:rowOff>0</xdr:rowOff>
    </xdr:to>
    <xdr:sp macro="" textlink="">
      <xdr:nvSpPr>
        <xdr:cNvPr id="620" name="Text Box 2">
          <a:extLst>
            <a:ext uri="{FF2B5EF4-FFF2-40B4-BE49-F238E27FC236}">
              <a16:creationId xmlns:a16="http://schemas.microsoft.com/office/drawing/2014/main" id="{00000000-0008-0000-0400-00006C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32</xdr:row>
      <xdr:rowOff>0</xdr:rowOff>
    </xdr:from>
    <xdr:to>
      <xdr:col>4</xdr:col>
      <xdr:colOff>76200</xdr:colOff>
      <xdr:row>33</xdr:row>
      <xdr:rowOff>0</xdr:rowOff>
    </xdr:to>
    <xdr:sp macro="" textlink="">
      <xdr:nvSpPr>
        <xdr:cNvPr id="621" name="Text Box 1">
          <a:extLst>
            <a:ext uri="{FF2B5EF4-FFF2-40B4-BE49-F238E27FC236}">
              <a16:creationId xmlns:a16="http://schemas.microsoft.com/office/drawing/2014/main" id="{00000000-0008-0000-0400-00006D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32</xdr:row>
      <xdr:rowOff>0</xdr:rowOff>
    </xdr:from>
    <xdr:to>
      <xdr:col>4</xdr:col>
      <xdr:colOff>76200</xdr:colOff>
      <xdr:row>33</xdr:row>
      <xdr:rowOff>0</xdr:rowOff>
    </xdr:to>
    <xdr:sp macro="" textlink="">
      <xdr:nvSpPr>
        <xdr:cNvPr id="622" name="Text Box 1">
          <a:extLst>
            <a:ext uri="{FF2B5EF4-FFF2-40B4-BE49-F238E27FC236}">
              <a16:creationId xmlns:a16="http://schemas.microsoft.com/office/drawing/2014/main" id="{00000000-0008-0000-0400-00006E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33</xdr:row>
      <xdr:rowOff>0</xdr:rowOff>
    </xdr:from>
    <xdr:to>
      <xdr:col>4</xdr:col>
      <xdr:colOff>76200</xdr:colOff>
      <xdr:row>34</xdr:row>
      <xdr:rowOff>0</xdr:rowOff>
    </xdr:to>
    <xdr:sp macro="" textlink="">
      <xdr:nvSpPr>
        <xdr:cNvPr id="623" name="Text Box 1">
          <a:extLst>
            <a:ext uri="{FF2B5EF4-FFF2-40B4-BE49-F238E27FC236}">
              <a16:creationId xmlns:a16="http://schemas.microsoft.com/office/drawing/2014/main" id="{00000000-0008-0000-0400-00006F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33</xdr:row>
      <xdr:rowOff>0</xdr:rowOff>
    </xdr:from>
    <xdr:to>
      <xdr:col>4</xdr:col>
      <xdr:colOff>76200</xdr:colOff>
      <xdr:row>34</xdr:row>
      <xdr:rowOff>0</xdr:rowOff>
    </xdr:to>
    <xdr:sp macro="" textlink="">
      <xdr:nvSpPr>
        <xdr:cNvPr id="624" name="Text Box 2">
          <a:extLst>
            <a:ext uri="{FF2B5EF4-FFF2-40B4-BE49-F238E27FC236}">
              <a16:creationId xmlns:a16="http://schemas.microsoft.com/office/drawing/2014/main" id="{00000000-0008-0000-0400-000070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33</xdr:row>
      <xdr:rowOff>0</xdr:rowOff>
    </xdr:from>
    <xdr:to>
      <xdr:col>4</xdr:col>
      <xdr:colOff>76200</xdr:colOff>
      <xdr:row>34</xdr:row>
      <xdr:rowOff>0</xdr:rowOff>
    </xdr:to>
    <xdr:sp macro="" textlink="">
      <xdr:nvSpPr>
        <xdr:cNvPr id="625" name="Text Box 1">
          <a:extLst>
            <a:ext uri="{FF2B5EF4-FFF2-40B4-BE49-F238E27FC236}">
              <a16:creationId xmlns:a16="http://schemas.microsoft.com/office/drawing/2014/main" id="{00000000-0008-0000-0400-000071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33</xdr:row>
      <xdr:rowOff>0</xdr:rowOff>
    </xdr:from>
    <xdr:to>
      <xdr:col>4</xdr:col>
      <xdr:colOff>76200</xdr:colOff>
      <xdr:row>34</xdr:row>
      <xdr:rowOff>0</xdr:rowOff>
    </xdr:to>
    <xdr:sp macro="" textlink="">
      <xdr:nvSpPr>
        <xdr:cNvPr id="626" name="Text Box 1">
          <a:extLst>
            <a:ext uri="{FF2B5EF4-FFF2-40B4-BE49-F238E27FC236}">
              <a16:creationId xmlns:a16="http://schemas.microsoft.com/office/drawing/2014/main" id="{00000000-0008-0000-0400-000072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33</xdr:row>
      <xdr:rowOff>0</xdr:rowOff>
    </xdr:from>
    <xdr:to>
      <xdr:col>4</xdr:col>
      <xdr:colOff>76200</xdr:colOff>
      <xdr:row>34</xdr:row>
      <xdr:rowOff>0</xdr:rowOff>
    </xdr:to>
    <xdr:sp macro="" textlink="">
      <xdr:nvSpPr>
        <xdr:cNvPr id="627" name="Text Box 1">
          <a:extLst>
            <a:ext uri="{FF2B5EF4-FFF2-40B4-BE49-F238E27FC236}">
              <a16:creationId xmlns:a16="http://schemas.microsoft.com/office/drawing/2014/main" id="{00000000-0008-0000-0400-000073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33</xdr:row>
      <xdr:rowOff>0</xdr:rowOff>
    </xdr:from>
    <xdr:to>
      <xdr:col>4</xdr:col>
      <xdr:colOff>76200</xdr:colOff>
      <xdr:row>34</xdr:row>
      <xdr:rowOff>0</xdr:rowOff>
    </xdr:to>
    <xdr:sp macro="" textlink="">
      <xdr:nvSpPr>
        <xdr:cNvPr id="628" name="Text Box 2">
          <a:extLst>
            <a:ext uri="{FF2B5EF4-FFF2-40B4-BE49-F238E27FC236}">
              <a16:creationId xmlns:a16="http://schemas.microsoft.com/office/drawing/2014/main" id="{00000000-0008-0000-0400-000074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33</xdr:row>
      <xdr:rowOff>0</xdr:rowOff>
    </xdr:from>
    <xdr:to>
      <xdr:col>4</xdr:col>
      <xdr:colOff>76200</xdr:colOff>
      <xdr:row>34</xdr:row>
      <xdr:rowOff>0</xdr:rowOff>
    </xdr:to>
    <xdr:sp macro="" textlink="">
      <xdr:nvSpPr>
        <xdr:cNvPr id="629" name="Text Box 1">
          <a:extLst>
            <a:ext uri="{FF2B5EF4-FFF2-40B4-BE49-F238E27FC236}">
              <a16:creationId xmlns:a16="http://schemas.microsoft.com/office/drawing/2014/main" id="{00000000-0008-0000-0400-000075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33</xdr:row>
      <xdr:rowOff>0</xdr:rowOff>
    </xdr:from>
    <xdr:to>
      <xdr:col>4</xdr:col>
      <xdr:colOff>76200</xdr:colOff>
      <xdr:row>34</xdr:row>
      <xdr:rowOff>0</xdr:rowOff>
    </xdr:to>
    <xdr:sp macro="" textlink="">
      <xdr:nvSpPr>
        <xdr:cNvPr id="630" name="Text Box 1">
          <a:extLst>
            <a:ext uri="{FF2B5EF4-FFF2-40B4-BE49-F238E27FC236}">
              <a16:creationId xmlns:a16="http://schemas.microsoft.com/office/drawing/2014/main" id="{00000000-0008-0000-0400-000076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33</xdr:row>
      <xdr:rowOff>0</xdr:rowOff>
    </xdr:from>
    <xdr:to>
      <xdr:col>4</xdr:col>
      <xdr:colOff>76200</xdr:colOff>
      <xdr:row>34</xdr:row>
      <xdr:rowOff>0</xdr:rowOff>
    </xdr:to>
    <xdr:sp macro="" textlink="">
      <xdr:nvSpPr>
        <xdr:cNvPr id="631" name="Text Box 1">
          <a:extLst>
            <a:ext uri="{FF2B5EF4-FFF2-40B4-BE49-F238E27FC236}">
              <a16:creationId xmlns:a16="http://schemas.microsoft.com/office/drawing/2014/main" id="{00000000-0008-0000-0400-000077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33</xdr:row>
      <xdr:rowOff>0</xdr:rowOff>
    </xdr:from>
    <xdr:to>
      <xdr:col>4</xdr:col>
      <xdr:colOff>76200</xdr:colOff>
      <xdr:row>34</xdr:row>
      <xdr:rowOff>0</xdr:rowOff>
    </xdr:to>
    <xdr:sp macro="" textlink="">
      <xdr:nvSpPr>
        <xdr:cNvPr id="632" name="Text Box 2">
          <a:extLst>
            <a:ext uri="{FF2B5EF4-FFF2-40B4-BE49-F238E27FC236}">
              <a16:creationId xmlns:a16="http://schemas.microsoft.com/office/drawing/2014/main" id="{00000000-0008-0000-0400-000078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33</xdr:row>
      <xdr:rowOff>0</xdr:rowOff>
    </xdr:from>
    <xdr:to>
      <xdr:col>4</xdr:col>
      <xdr:colOff>76200</xdr:colOff>
      <xdr:row>34</xdr:row>
      <xdr:rowOff>0</xdr:rowOff>
    </xdr:to>
    <xdr:sp macro="" textlink="">
      <xdr:nvSpPr>
        <xdr:cNvPr id="633" name="Text Box 1">
          <a:extLst>
            <a:ext uri="{FF2B5EF4-FFF2-40B4-BE49-F238E27FC236}">
              <a16:creationId xmlns:a16="http://schemas.microsoft.com/office/drawing/2014/main" id="{00000000-0008-0000-0400-000079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33</xdr:row>
      <xdr:rowOff>0</xdr:rowOff>
    </xdr:from>
    <xdr:to>
      <xdr:col>4</xdr:col>
      <xdr:colOff>76200</xdr:colOff>
      <xdr:row>34</xdr:row>
      <xdr:rowOff>0</xdr:rowOff>
    </xdr:to>
    <xdr:sp macro="" textlink="">
      <xdr:nvSpPr>
        <xdr:cNvPr id="634" name="Text Box 1">
          <a:extLst>
            <a:ext uri="{FF2B5EF4-FFF2-40B4-BE49-F238E27FC236}">
              <a16:creationId xmlns:a16="http://schemas.microsoft.com/office/drawing/2014/main" id="{00000000-0008-0000-0400-00007A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33</xdr:row>
      <xdr:rowOff>0</xdr:rowOff>
    </xdr:from>
    <xdr:to>
      <xdr:col>4</xdr:col>
      <xdr:colOff>76200</xdr:colOff>
      <xdr:row>34</xdr:row>
      <xdr:rowOff>0</xdr:rowOff>
    </xdr:to>
    <xdr:sp macro="" textlink="">
      <xdr:nvSpPr>
        <xdr:cNvPr id="635" name="Text Box 1">
          <a:extLst>
            <a:ext uri="{FF2B5EF4-FFF2-40B4-BE49-F238E27FC236}">
              <a16:creationId xmlns:a16="http://schemas.microsoft.com/office/drawing/2014/main" id="{00000000-0008-0000-0400-00007B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33</xdr:row>
      <xdr:rowOff>0</xdr:rowOff>
    </xdr:from>
    <xdr:to>
      <xdr:col>4</xdr:col>
      <xdr:colOff>76200</xdr:colOff>
      <xdr:row>34</xdr:row>
      <xdr:rowOff>0</xdr:rowOff>
    </xdr:to>
    <xdr:sp macro="" textlink="">
      <xdr:nvSpPr>
        <xdr:cNvPr id="636" name="Text Box 2">
          <a:extLst>
            <a:ext uri="{FF2B5EF4-FFF2-40B4-BE49-F238E27FC236}">
              <a16:creationId xmlns:a16="http://schemas.microsoft.com/office/drawing/2014/main" id="{00000000-0008-0000-0400-00007C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33</xdr:row>
      <xdr:rowOff>0</xdr:rowOff>
    </xdr:from>
    <xdr:to>
      <xdr:col>4</xdr:col>
      <xdr:colOff>76200</xdr:colOff>
      <xdr:row>34</xdr:row>
      <xdr:rowOff>0</xdr:rowOff>
    </xdr:to>
    <xdr:sp macro="" textlink="">
      <xdr:nvSpPr>
        <xdr:cNvPr id="637" name="Text Box 1">
          <a:extLst>
            <a:ext uri="{FF2B5EF4-FFF2-40B4-BE49-F238E27FC236}">
              <a16:creationId xmlns:a16="http://schemas.microsoft.com/office/drawing/2014/main" id="{00000000-0008-0000-0400-00007D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33</xdr:row>
      <xdr:rowOff>0</xdr:rowOff>
    </xdr:from>
    <xdr:to>
      <xdr:col>4</xdr:col>
      <xdr:colOff>76200</xdr:colOff>
      <xdr:row>34</xdr:row>
      <xdr:rowOff>0</xdr:rowOff>
    </xdr:to>
    <xdr:sp macro="" textlink="">
      <xdr:nvSpPr>
        <xdr:cNvPr id="638" name="Text Box 1">
          <a:extLst>
            <a:ext uri="{FF2B5EF4-FFF2-40B4-BE49-F238E27FC236}">
              <a16:creationId xmlns:a16="http://schemas.microsoft.com/office/drawing/2014/main" id="{00000000-0008-0000-0400-00007E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33</xdr:row>
      <xdr:rowOff>0</xdr:rowOff>
    </xdr:from>
    <xdr:to>
      <xdr:col>4</xdr:col>
      <xdr:colOff>76200</xdr:colOff>
      <xdr:row>34</xdr:row>
      <xdr:rowOff>0</xdr:rowOff>
    </xdr:to>
    <xdr:sp macro="" textlink="">
      <xdr:nvSpPr>
        <xdr:cNvPr id="639" name="Text Box 2">
          <a:extLst>
            <a:ext uri="{FF2B5EF4-FFF2-40B4-BE49-F238E27FC236}">
              <a16:creationId xmlns:a16="http://schemas.microsoft.com/office/drawing/2014/main" id="{00000000-0008-0000-0400-00007F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33</xdr:row>
      <xdr:rowOff>0</xdr:rowOff>
    </xdr:from>
    <xdr:to>
      <xdr:col>4</xdr:col>
      <xdr:colOff>76200</xdr:colOff>
      <xdr:row>34</xdr:row>
      <xdr:rowOff>0</xdr:rowOff>
    </xdr:to>
    <xdr:sp macro="" textlink="">
      <xdr:nvSpPr>
        <xdr:cNvPr id="640" name="Text Box 1">
          <a:extLst>
            <a:ext uri="{FF2B5EF4-FFF2-40B4-BE49-F238E27FC236}">
              <a16:creationId xmlns:a16="http://schemas.microsoft.com/office/drawing/2014/main" id="{00000000-0008-0000-0400-000080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33</xdr:row>
      <xdr:rowOff>0</xdr:rowOff>
    </xdr:from>
    <xdr:to>
      <xdr:col>4</xdr:col>
      <xdr:colOff>76200</xdr:colOff>
      <xdr:row>34</xdr:row>
      <xdr:rowOff>0</xdr:rowOff>
    </xdr:to>
    <xdr:sp macro="" textlink="">
      <xdr:nvSpPr>
        <xdr:cNvPr id="641" name="Text Box 1">
          <a:extLst>
            <a:ext uri="{FF2B5EF4-FFF2-40B4-BE49-F238E27FC236}">
              <a16:creationId xmlns:a16="http://schemas.microsoft.com/office/drawing/2014/main" id="{00000000-0008-0000-0400-000081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33</xdr:row>
      <xdr:rowOff>0</xdr:rowOff>
    </xdr:from>
    <xdr:to>
      <xdr:col>4</xdr:col>
      <xdr:colOff>76200</xdr:colOff>
      <xdr:row>34</xdr:row>
      <xdr:rowOff>0</xdr:rowOff>
    </xdr:to>
    <xdr:sp macro="" textlink="">
      <xdr:nvSpPr>
        <xdr:cNvPr id="642" name="Text Box 1">
          <a:extLst>
            <a:ext uri="{FF2B5EF4-FFF2-40B4-BE49-F238E27FC236}">
              <a16:creationId xmlns:a16="http://schemas.microsoft.com/office/drawing/2014/main" id="{00000000-0008-0000-0400-000082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33</xdr:row>
      <xdr:rowOff>0</xdr:rowOff>
    </xdr:from>
    <xdr:to>
      <xdr:col>4</xdr:col>
      <xdr:colOff>76200</xdr:colOff>
      <xdr:row>34</xdr:row>
      <xdr:rowOff>0</xdr:rowOff>
    </xdr:to>
    <xdr:sp macro="" textlink="">
      <xdr:nvSpPr>
        <xdr:cNvPr id="643" name="Text Box 2">
          <a:extLst>
            <a:ext uri="{FF2B5EF4-FFF2-40B4-BE49-F238E27FC236}">
              <a16:creationId xmlns:a16="http://schemas.microsoft.com/office/drawing/2014/main" id="{00000000-0008-0000-0400-000083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33</xdr:row>
      <xdr:rowOff>0</xdr:rowOff>
    </xdr:from>
    <xdr:to>
      <xdr:col>4</xdr:col>
      <xdr:colOff>76200</xdr:colOff>
      <xdr:row>34</xdr:row>
      <xdr:rowOff>0</xdr:rowOff>
    </xdr:to>
    <xdr:sp macro="" textlink="">
      <xdr:nvSpPr>
        <xdr:cNvPr id="644" name="Text Box 1">
          <a:extLst>
            <a:ext uri="{FF2B5EF4-FFF2-40B4-BE49-F238E27FC236}">
              <a16:creationId xmlns:a16="http://schemas.microsoft.com/office/drawing/2014/main" id="{00000000-0008-0000-0400-000084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33</xdr:row>
      <xdr:rowOff>0</xdr:rowOff>
    </xdr:from>
    <xdr:to>
      <xdr:col>4</xdr:col>
      <xdr:colOff>76200</xdr:colOff>
      <xdr:row>34</xdr:row>
      <xdr:rowOff>0</xdr:rowOff>
    </xdr:to>
    <xdr:sp macro="" textlink="">
      <xdr:nvSpPr>
        <xdr:cNvPr id="645" name="Text Box 1">
          <a:extLst>
            <a:ext uri="{FF2B5EF4-FFF2-40B4-BE49-F238E27FC236}">
              <a16:creationId xmlns:a16="http://schemas.microsoft.com/office/drawing/2014/main" id="{00000000-0008-0000-0400-000085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34</xdr:row>
      <xdr:rowOff>0</xdr:rowOff>
    </xdr:from>
    <xdr:to>
      <xdr:col>4</xdr:col>
      <xdr:colOff>76200</xdr:colOff>
      <xdr:row>35</xdr:row>
      <xdr:rowOff>0</xdr:rowOff>
    </xdr:to>
    <xdr:sp macro="" textlink="">
      <xdr:nvSpPr>
        <xdr:cNvPr id="646" name="Text Box 1">
          <a:extLst>
            <a:ext uri="{FF2B5EF4-FFF2-40B4-BE49-F238E27FC236}">
              <a16:creationId xmlns:a16="http://schemas.microsoft.com/office/drawing/2014/main" id="{00000000-0008-0000-0400-000086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34</xdr:row>
      <xdr:rowOff>0</xdr:rowOff>
    </xdr:from>
    <xdr:to>
      <xdr:col>4</xdr:col>
      <xdr:colOff>76200</xdr:colOff>
      <xdr:row>35</xdr:row>
      <xdr:rowOff>0</xdr:rowOff>
    </xdr:to>
    <xdr:sp macro="" textlink="">
      <xdr:nvSpPr>
        <xdr:cNvPr id="647" name="Text Box 2">
          <a:extLst>
            <a:ext uri="{FF2B5EF4-FFF2-40B4-BE49-F238E27FC236}">
              <a16:creationId xmlns:a16="http://schemas.microsoft.com/office/drawing/2014/main" id="{00000000-0008-0000-0400-000087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34</xdr:row>
      <xdr:rowOff>0</xdr:rowOff>
    </xdr:from>
    <xdr:to>
      <xdr:col>4</xdr:col>
      <xdr:colOff>76200</xdr:colOff>
      <xdr:row>35</xdr:row>
      <xdr:rowOff>0</xdr:rowOff>
    </xdr:to>
    <xdr:sp macro="" textlink="">
      <xdr:nvSpPr>
        <xdr:cNvPr id="648" name="Text Box 1">
          <a:extLst>
            <a:ext uri="{FF2B5EF4-FFF2-40B4-BE49-F238E27FC236}">
              <a16:creationId xmlns:a16="http://schemas.microsoft.com/office/drawing/2014/main" id="{00000000-0008-0000-0400-000088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34</xdr:row>
      <xdr:rowOff>0</xdr:rowOff>
    </xdr:from>
    <xdr:to>
      <xdr:col>4</xdr:col>
      <xdr:colOff>76200</xdr:colOff>
      <xdr:row>35</xdr:row>
      <xdr:rowOff>0</xdr:rowOff>
    </xdr:to>
    <xdr:sp macro="" textlink="">
      <xdr:nvSpPr>
        <xdr:cNvPr id="649" name="Text Box 1">
          <a:extLst>
            <a:ext uri="{FF2B5EF4-FFF2-40B4-BE49-F238E27FC236}">
              <a16:creationId xmlns:a16="http://schemas.microsoft.com/office/drawing/2014/main" id="{00000000-0008-0000-0400-000089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34</xdr:row>
      <xdr:rowOff>0</xdr:rowOff>
    </xdr:from>
    <xdr:to>
      <xdr:col>4</xdr:col>
      <xdr:colOff>76200</xdr:colOff>
      <xdr:row>35</xdr:row>
      <xdr:rowOff>0</xdr:rowOff>
    </xdr:to>
    <xdr:sp macro="" textlink="">
      <xdr:nvSpPr>
        <xdr:cNvPr id="650" name="Text Box 1">
          <a:extLst>
            <a:ext uri="{FF2B5EF4-FFF2-40B4-BE49-F238E27FC236}">
              <a16:creationId xmlns:a16="http://schemas.microsoft.com/office/drawing/2014/main" id="{00000000-0008-0000-0400-00008A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34</xdr:row>
      <xdr:rowOff>0</xdr:rowOff>
    </xdr:from>
    <xdr:to>
      <xdr:col>4</xdr:col>
      <xdr:colOff>76200</xdr:colOff>
      <xdr:row>35</xdr:row>
      <xdr:rowOff>0</xdr:rowOff>
    </xdr:to>
    <xdr:sp macro="" textlink="">
      <xdr:nvSpPr>
        <xdr:cNvPr id="651" name="Text Box 2">
          <a:extLst>
            <a:ext uri="{FF2B5EF4-FFF2-40B4-BE49-F238E27FC236}">
              <a16:creationId xmlns:a16="http://schemas.microsoft.com/office/drawing/2014/main" id="{00000000-0008-0000-0400-00008B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34</xdr:row>
      <xdr:rowOff>0</xdr:rowOff>
    </xdr:from>
    <xdr:to>
      <xdr:col>4</xdr:col>
      <xdr:colOff>76200</xdr:colOff>
      <xdr:row>35</xdr:row>
      <xdr:rowOff>0</xdr:rowOff>
    </xdr:to>
    <xdr:sp macro="" textlink="">
      <xdr:nvSpPr>
        <xdr:cNvPr id="652" name="Text Box 1">
          <a:extLst>
            <a:ext uri="{FF2B5EF4-FFF2-40B4-BE49-F238E27FC236}">
              <a16:creationId xmlns:a16="http://schemas.microsoft.com/office/drawing/2014/main" id="{00000000-0008-0000-0400-00008C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34</xdr:row>
      <xdr:rowOff>0</xdr:rowOff>
    </xdr:from>
    <xdr:to>
      <xdr:col>4</xdr:col>
      <xdr:colOff>76200</xdr:colOff>
      <xdr:row>35</xdr:row>
      <xdr:rowOff>0</xdr:rowOff>
    </xdr:to>
    <xdr:sp macro="" textlink="">
      <xdr:nvSpPr>
        <xdr:cNvPr id="653" name="Text Box 1">
          <a:extLst>
            <a:ext uri="{FF2B5EF4-FFF2-40B4-BE49-F238E27FC236}">
              <a16:creationId xmlns:a16="http://schemas.microsoft.com/office/drawing/2014/main" id="{00000000-0008-0000-0400-00008D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34</xdr:row>
      <xdr:rowOff>0</xdr:rowOff>
    </xdr:from>
    <xdr:to>
      <xdr:col>4</xdr:col>
      <xdr:colOff>76200</xdr:colOff>
      <xdr:row>35</xdr:row>
      <xdr:rowOff>0</xdr:rowOff>
    </xdr:to>
    <xdr:sp macro="" textlink="">
      <xdr:nvSpPr>
        <xdr:cNvPr id="654" name="Text Box 1">
          <a:extLst>
            <a:ext uri="{FF2B5EF4-FFF2-40B4-BE49-F238E27FC236}">
              <a16:creationId xmlns:a16="http://schemas.microsoft.com/office/drawing/2014/main" id="{00000000-0008-0000-0400-00008E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34</xdr:row>
      <xdr:rowOff>0</xdr:rowOff>
    </xdr:from>
    <xdr:to>
      <xdr:col>4</xdr:col>
      <xdr:colOff>76200</xdr:colOff>
      <xdr:row>35</xdr:row>
      <xdr:rowOff>0</xdr:rowOff>
    </xdr:to>
    <xdr:sp macro="" textlink="">
      <xdr:nvSpPr>
        <xdr:cNvPr id="655" name="Text Box 2">
          <a:extLst>
            <a:ext uri="{FF2B5EF4-FFF2-40B4-BE49-F238E27FC236}">
              <a16:creationId xmlns:a16="http://schemas.microsoft.com/office/drawing/2014/main" id="{00000000-0008-0000-0400-00008F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34</xdr:row>
      <xdr:rowOff>0</xdr:rowOff>
    </xdr:from>
    <xdr:to>
      <xdr:col>4</xdr:col>
      <xdr:colOff>76200</xdr:colOff>
      <xdr:row>35</xdr:row>
      <xdr:rowOff>0</xdr:rowOff>
    </xdr:to>
    <xdr:sp macro="" textlink="">
      <xdr:nvSpPr>
        <xdr:cNvPr id="656" name="Text Box 1">
          <a:extLst>
            <a:ext uri="{FF2B5EF4-FFF2-40B4-BE49-F238E27FC236}">
              <a16:creationId xmlns:a16="http://schemas.microsoft.com/office/drawing/2014/main" id="{00000000-0008-0000-0400-000090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34</xdr:row>
      <xdr:rowOff>0</xdr:rowOff>
    </xdr:from>
    <xdr:to>
      <xdr:col>4</xdr:col>
      <xdr:colOff>76200</xdr:colOff>
      <xdr:row>35</xdr:row>
      <xdr:rowOff>0</xdr:rowOff>
    </xdr:to>
    <xdr:sp macro="" textlink="">
      <xdr:nvSpPr>
        <xdr:cNvPr id="657" name="Text Box 1">
          <a:extLst>
            <a:ext uri="{FF2B5EF4-FFF2-40B4-BE49-F238E27FC236}">
              <a16:creationId xmlns:a16="http://schemas.microsoft.com/office/drawing/2014/main" id="{00000000-0008-0000-0400-000091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34</xdr:row>
      <xdr:rowOff>0</xdr:rowOff>
    </xdr:from>
    <xdr:to>
      <xdr:col>4</xdr:col>
      <xdr:colOff>76200</xdr:colOff>
      <xdr:row>35</xdr:row>
      <xdr:rowOff>0</xdr:rowOff>
    </xdr:to>
    <xdr:sp macro="" textlink="">
      <xdr:nvSpPr>
        <xdr:cNvPr id="658" name="Text Box 1">
          <a:extLst>
            <a:ext uri="{FF2B5EF4-FFF2-40B4-BE49-F238E27FC236}">
              <a16:creationId xmlns:a16="http://schemas.microsoft.com/office/drawing/2014/main" id="{00000000-0008-0000-0400-000092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34</xdr:row>
      <xdr:rowOff>0</xdr:rowOff>
    </xdr:from>
    <xdr:to>
      <xdr:col>4</xdr:col>
      <xdr:colOff>76200</xdr:colOff>
      <xdr:row>35</xdr:row>
      <xdr:rowOff>0</xdr:rowOff>
    </xdr:to>
    <xdr:sp macro="" textlink="">
      <xdr:nvSpPr>
        <xdr:cNvPr id="659" name="Text Box 2">
          <a:extLst>
            <a:ext uri="{FF2B5EF4-FFF2-40B4-BE49-F238E27FC236}">
              <a16:creationId xmlns:a16="http://schemas.microsoft.com/office/drawing/2014/main" id="{00000000-0008-0000-0400-000093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34</xdr:row>
      <xdr:rowOff>0</xdr:rowOff>
    </xdr:from>
    <xdr:to>
      <xdr:col>4</xdr:col>
      <xdr:colOff>76200</xdr:colOff>
      <xdr:row>35</xdr:row>
      <xdr:rowOff>0</xdr:rowOff>
    </xdr:to>
    <xdr:sp macro="" textlink="">
      <xdr:nvSpPr>
        <xdr:cNvPr id="660" name="Text Box 1">
          <a:extLst>
            <a:ext uri="{FF2B5EF4-FFF2-40B4-BE49-F238E27FC236}">
              <a16:creationId xmlns:a16="http://schemas.microsoft.com/office/drawing/2014/main" id="{00000000-0008-0000-0400-000094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34</xdr:row>
      <xdr:rowOff>0</xdr:rowOff>
    </xdr:from>
    <xdr:to>
      <xdr:col>4</xdr:col>
      <xdr:colOff>76200</xdr:colOff>
      <xdr:row>35</xdr:row>
      <xdr:rowOff>0</xdr:rowOff>
    </xdr:to>
    <xdr:sp macro="" textlink="">
      <xdr:nvSpPr>
        <xdr:cNvPr id="661" name="Text Box 1">
          <a:extLst>
            <a:ext uri="{FF2B5EF4-FFF2-40B4-BE49-F238E27FC236}">
              <a16:creationId xmlns:a16="http://schemas.microsoft.com/office/drawing/2014/main" id="{00000000-0008-0000-0400-000095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34</xdr:row>
      <xdr:rowOff>0</xdr:rowOff>
    </xdr:from>
    <xdr:to>
      <xdr:col>4</xdr:col>
      <xdr:colOff>76200</xdr:colOff>
      <xdr:row>35</xdr:row>
      <xdr:rowOff>0</xdr:rowOff>
    </xdr:to>
    <xdr:sp macro="" textlink="">
      <xdr:nvSpPr>
        <xdr:cNvPr id="662" name="Text Box 2">
          <a:extLst>
            <a:ext uri="{FF2B5EF4-FFF2-40B4-BE49-F238E27FC236}">
              <a16:creationId xmlns:a16="http://schemas.microsoft.com/office/drawing/2014/main" id="{00000000-0008-0000-0400-000096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34</xdr:row>
      <xdr:rowOff>0</xdr:rowOff>
    </xdr:from>
    <xdr:to>
      <xdr:col>4</xdr:col>
      <xdr:colOff>76200</xdr:colOff>
      <xdr:row>35</xdr:row>
      <xdr:rowOff>0</xdr:rowOff>
    </xdr:to>
    <xdr:sp macro="" textlink="">
      <xdr:nvSpPr>
        <xdr:cNvPr id="663" name="Text Box 1">
          <a:extLst>
            <a:ext uri="{FF2B5EF4-FFF2-40B4-BE49-F238E27FC236}">
              <a16:creationId xmlns:a16="http://schemas.microsoft.com/office/drawing/2014/main" id="{00000000-0008-0000-0400-000097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34</xdr:row>
      <xdr:rowOff>0</xdr:rowOff>
    </xdr:from>
    <xdr:to>
      <xdr:col>4</xdr:col>
      <xdr:colOff>76200</xdr:colOff>
      <xdr:row>35</xdr:row>
      <xdr:rowOff>0</xdr:rowOff>
    </xdr:to>
    <xdr:sp macro="" textlink="">
      <xdr:nvSpPr>
        <xdr:cNvPr id="664" name="Text Box 1">
          <a:extLst>
            <a:ext uri="{FF2B5EF4-FFF2-40B4-BE49-F238E27FC236}">
              <a16:creationId xmlns:a16="http://schemas.microsoft.com/office/drawing/2014/main" id="{00000000-0008-0000-0400-000098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34</xdr:row>
      <xdr:rowOff>0</xdr:rowOff>
    </xdr:from>
    <xdr:to>
      <xdr:col>4</xdr:col>
      <xdr:colOff>76200</xdr:colOff>
      <xdr:row>35</xdr:row>
      <xdr:rowOff>0</xdr:rowOff>
    </xdr:to>
    <xdr:sp macro="" textlink="">
      <xdr:nvSpPr>
        <xdr:cNvPr id="665" name="Text Box 1">
          <a:extLst>
            <a:ext uri="{FF2B5EF4-FFF2-40B4-BE49-F238E27FC236}">
              <a16:creationId xmlns:a16="http://schemas.microsoft.com/office/drawing/2014/main" id="{00000000-0008-0000-0400-000099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34</xdr:row>
      <xdr:rowOff>0</xdr:rowOff>
    </xdr:from>
    <xdr:to>
      <xdr:col>4</xdr:col>
      <xdr:colOff>76200</xdr:colOff>
      <xdr:row>35</xdr:row>
      <xdr:rowOff>0</xdr:rowOff>
    </xdr:to>
    <xdr:sp macro="" textlink="">
      <xdr:nvSpPr>
        <xdr:cNvPr id="666" name="Text Box 2">
          <a:extLst>
            <a:ext uri="{FF2B5EF4-FFF2-40B4-BE49-F238E27FC236}">
              <a16:creationId xmlns:a16="http://schemas.microsoft.com/office/drawing/2014/main" id="{00000000-0008-0000-0400-00009A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34</xdr:row>
      <xdr:rowOff>0</xdr:rowOff>
    </xdr:from>
    <xdr:to>
      <xdr:col>4</xdr:col>
      <xdr:colOff>76200</xdr:colOff>
      <xdr:row>35</xdr:row>
      <xdr:rowOff>0</xdr:rowOff>
    </xdr:to>
    <xdr:sp macro="" textlink="">
      <xdr:nvSpPr>
        <xdr:cNvPr id="667" name="Text Box 1">
          <a:extLst>
            <a:ext uri="{FF2B5EF4-FFF2-40B4-BE49-F238E27FC236}">
              <a16:creationId xmlns:a16="http://schemas.microsoft.com/office/drawing/2014/main" id="{00000000-0008-0000-0400-00009B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34</xdr:row>
      <xdr:rowOff>0</xdr:rowOff>
    </xdr:from>
    <xdr:to>
      <xdr:col>4</xdr:col>
      <xdr:colOff>76200</xdr:colOff>
      <xdr:row>35</xdr:row>
      <xdr:rowOff>0</xdr:rowOff>
    </xdr:to>
    <xdr:sp macro="" textlink="">
      <xdr:nvSpPr>
        <xdr:cNvPr id="668" name="Text Box 1">
          <a:extLst>
            <a:ext uri="{FF2B5EF4-FFF2-40B4-BE49-F238E27FC236}">
              <a16:creationId xmlns:a16="http://schemas.microsoft.com/office/drawing/2014/main" id="{00000000-0008-0000-0400-00009C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35</xdr:row>
      <xdr:rowOff>0</xdr:rowOff>
    </xdr:from>
    <xdr:to>
      <xdr:col>4</xdr:col>
      <xdr:colOff>76200</xdr:colOff>
      <xdr:row>36</xdr:row>
      <xdr:rowOff>0</xdr:rowOff>
    </xdr:to>
    <xdr:sp macro="" textlink="">
      <xdr:nvSpPr>
        <xdr:cNvPr id="669" name="Text Box 1">
          <a:extLst>
            <a:ext uri="{FF2B5EF4-FFF2-40B4-BE49-F238E27FC236}">
              <a16:creationId xmlns:a16="http://schemas.microsoft.com/office/drawing/2014/main" id="{00000000-0008-0000-0400-00009D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35</xdr:row>
      <xdr:rowOff>0</xdr:rowOff>
    </xdr:from>
    <xdr:to>
      <xdr:col>4</xdr:col>
      <xdr:colOff>76200</xdr:colOff>
      <xdr:row>36</xdr:row>
      <xdr:rowOff>0</xdr:rowOff>
    </xdr:to>
    <xdr:sp macro="" textlink="">
      <xdr:nvSpPr>
        <xdr:cNvPr id="670" name="Text Box 2">
          <a:extLst>
            <a:ext uri="{FF2B5EF4-FFF2-40B4-BE49-F238E27FC236}">
              <a16:creationId xmlns:a16="http://schemas.microsoft.com/office/drawing/2014/main" id="{00000000-0008-0000-0400-00009E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35</xdr:row>
      <xdr:rowOff>0</xdr:rowOff>
    </xdr:from>
    <xdr:to>
      <xdr:col>4</xdr:col>
      <xdr:colOff>76200</xdr:colOff>
      <xdr:row>36</xdr:row>
      <xdr:rowOff>0</xdr:rowOff>
    </xdr:to>
    <xdr:sp macro="" textlink="">
      <xdr:nvSpPr>
        <xdr:cNvPr id="671" name="Text Box 1">
          <a:extLst>
            <a:ext uri="{FF2B5EF4-FFF2-40B4-BE49-F238E27FC236}">
              <a16:creationId xmlns:a16="http://schemas.microsoft.com/office/drawing/2014/main" id="{00000000-0008-0000-0400-00009F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35</xdr:row>
      <xdr:rowOff>0</xdr:rowOff>
    </xdr:from>
    <xdr:to>
      <xdr:col>4</xdr:col>
      <xdr:colOff>76200</xdr:colOff>
      <xdr:row>36</xdr:row>
      <xdr:rowOff>0</xdr:rowOff>
    </xdr:to>
    <xdr:sp macro="" textlink="">
      <xdr:nvSpPr>
        <xdr:cNvPr id="672" name="Text Box 1">
          <a:extLst>
            <a:ext uri="{FF2B5EF4-FFF2-40B4-BE49-F238E27FC236}">
              <a16:creationId xmlns:a16="http://schemas.microsoft.com/office/drawing/2014/main" id="{00000000-0008-0000-0400-0000A0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35</xdr:row>
      <xdr:rowOff>0</xdr:rowOff>
    </xdr:from>
    <xdr:to>
      <xdr:col>4</xdr:col>
      <xdr:colOff>76200</xdr:colOff>
      <xdr:row>36</xdr:row>
      <xdr:rowOff>0</xdr:rowOff>
    </xdr:to>
    <xdr:sp macro="" textlink="">
      <xdr:nvSpPr>
        <xdr:cNvPr id="673" name="Text Box 1">
          <a:extLst>
            <a:ext uri="{FF2B5EF4-FFF2-40B4-BE49-F238E27FC236}">
              <a16:creationId xmlns:a16="http://schemas.microsoft.com/office/drawing/2014/main" id="{00000000-0008-0000-0400-0000A1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35</xdr:row>
      <xdr:rowOff>0</xdr:rowOff>
    </xdr:from>
    <xdr:to>
      <xdr:col>4</xdr:col>
      <xdr:colOff>76200</xdr:colOff>
      <xdr:row>36</xdr:row>
      <xdr:rowOff>0</xdr:rowOff>
    </xdr:to>
    <xdr:sp macro="" textlink="">
      <xdr:nvSpPr>
        <xdr:cNvPr id="674" name="Text Box 2">
          <a:extLst>
            <a:ext uri="{FF2B5EF4-FFF2-40B4-BE49-F238E27FC236}">
              <a16:creationId xmlns:a16="http://schemas.microsoft.com/office/drawing/2014/main" id="{00000000-0008-0000-0400-0000A2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35</xdr:row>
      <xdr:rowOff>0</xdr:rowOff>
    </xdr:from>
    <xdr:to>
      <xdr:col>4</xdr:col>
      <xdr:colOff>76200</xdr:colOff>
      <xdr:row>36</xdr:row>
      <xdr:rowOff>0</xdr:rowOff>
    </xdr:to>
    <xdr:sp macro="" textlink="">
      <xdr:nvSpPr>
        <xdr:cNvPr id="675" name="Text Box 1">
          <a:extLst>
            <a:ext uri="{FF2B5EF4-FFF2-40B4-BE49-F238E27FC236}">
              <a16:creationId xmlns:a16="http://schemas.microsoft.com/office/drawing/2014/main" id="{00000000-0008-0000-0400-0000A3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35</xdr:row>
      <xdr:rowOff>0</xdr:rowOff>
    </xdr:from>
    <xdr:to>
      <xdr:col>4</xdr:col>
      <xdr:colOff>76200</xdr:colOff>
      <xdr:row>36</xdr:row>
      <xdr:rowOff>0</xdr:rowOff>
    </xdr:to>
    <xdr:sp macro="" textlink="">
      <xdr:nvSpPr>
        <xdr:cNvPr id="676" name="Text Box 1">
          <a:extLst>
            <a:ext uri="{FF2B5EF4-FFF2-40B4-BE49-F238E27FC236}">
              <a16:creationId xmlns:a16="http://schemas.microsoft.com/office/drawing/2014/main" id="{00000000-0008-0000-0400-0000A4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35</xdr:row>
      <xdr:rowOff>0</xdr:rowOff>
    </xdr:from>
    <xdr:to>
      <xdr:col>4</xdr:col>
      <xdr:colOff>76200</xdr:colOff>
      <xdr:row>36</xdr:row>
      <xdr:rowOff>0</xdr:rowOff>
    </xdr:to>
    <xdr:sp macro="" textlink="">
      <xdr:nvSpPr>
        <xdr:cNvPr id="677" name="Text Box 1">
          <a:extLst>
            <a:ext uri="{FF2B5EF4-FFF2-40B4-BE49-F238E27FC236}">
              <a16:creationId xmlns:a16="http://schemas.microsoft.com/office/drawing/2014/main" id="{00000000-0008-0000-0400-0000A5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35</xdr:row>
      <xdr:rowOff>0</xdr:rowOff>
    </xdr:from>
    <xdr:to>
      <xdr:col>4</xdr:col>
      <xdr:colOff>76200</xdr:colOff>
      <xdr:row>36</xdr:row>
      <xdr:rowOff>0</xdr:rowOff>
    </xdr:to>
    <xdr:sp macro="" textlink="">
      <xdr:nvSpPr>
        <xdr:cNvPr id="678" name="Text Box 2">
          <a:extLst>
            <a:ext uri="{FF2B5EF4-FFF2-40B4-BE49-F238E27FC236}">
              <a16:creationId xmlns:a16="http://schemas.microsoft.com/office/drawing/2014/main" id="{00000000-0008-0000-0400-0000A6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35</xdr:row>
      <xdr:rowOff>0</xdr:rowOff>
    </xdr:from>
    <xdr:to>
      <xdr:col>4</xdr:col>
      <xdr:colOff>76200</xdr:colOff>
      <xdr:row>36</xdr:row>
      <xdr:rowOff>0</xdr:rowOff>
    </xdr:to>
    <xdr:sp macro="" textlink="">
      <xdr:nvSpPr>
        <xdr:cNvPr id="679" name="Text Box 1">
          <a:extLst>
            <a:ext uri="{FF2B5EF4-FFF2-40B4-BE49-F238E27FC236}">
              <a16:creationId xmlns:a16="http://schemas.microsoft.com/office/drawing/2014/main" id="{00000000-0008-0000-0400-0000A7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35</xdr:row>
      <xdr:rowOff>0</xdr:rowOff>
    </xdr:from>
    <xdr:to>
      <xdr:col>4</xdr:col>
      <xdr:colOff>76200</xdr:colOff>
      <xdr:row>36</xdr:row>
      <xdr:rowOff>0</xdr:rowOff>
    </xdr:to>
    <xdr:sp macro="" textlink="">
      <xdr:nvSpPr>
        <xdr:cNvPr id="680" name="Text Box 1">
          <a:extLst>
            <a:ext uri="{FF2B5EF4-FFF2-40B4-BE49-F238E27FC236}">
              <a16:creationId xmlns:a16="http://schemas.microsoft.com/office/drawing/2014/main" id="{00000000-0008-0000-0400-0000A8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35</xdr:row>
      <xdr:rowOff>0</xdr:rowOff>
    </xdr:from>
    <xdr:to>
      <xdr:col>4</xdr:col>
      <xdr:colOff>76200</xdr:colOff>
      <xdr:row>36</xdr:row>
      <xdr:rowOff>0</xdr:rowOff>
    </xdr:to>
    <xdr:sp macro="" textlink="">
      <xdr:nvSpPr>
        <xdr:cNvPr id="681" name="Text Box 1">
          <a:extLst>
            <a:ext uri="{FF2B5EF4-FFF2-40B4-BE49-F238E27FC236}">
              <a16:creationId xmlns:a16="http://schemas.microsoft.com/office/drawing/2014/main" id="{00000000-0008-0000-0400-0000A9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35</xdr:row>
      <xdr:rowOff>0</xdr:rowOff>
    </xdr:from>
    <xdr:to>
      <xdr:col>4</xdr:col>
      <xdr:colOff>76200</xdr:colOff>
      <xdr:row>36</xdr:row>
      <xdr:rowOff>0</xdr:rowOff>
    </xdr:to>
    <xdr:sp macro="" textlink="">
      <xdr:nvSpPr>
        <xdr:cNvPr id="682" name="Text Box 2">
          <a:extLst>
            <a:ext uri="{FF2B5EF4-FFF2-40B4-BE49-F238E27FC236}">
              <a16:creationId xmlns:a16="http://schemas.microsoft.com/office/drawing/2014/main" id="{00000000-0008-0000-0400-0000AA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35</xdr:row>
      <xdr:rowOff>0</xdr:rowOff>
    </xdr:from>
    <xdr:to>
      <xdr:col>4</xdr:col>
      <xdr:colOff>76200</xdr:colOff>
      <xdr:row>36</xdr:row>
      <xdr:rowOff>0</xdr:rowOff>
    </xdr:to>
    <xdr:sp macro="" textlink="">
      <xdr:nvSpPr>
        <xdr:cNvPr id="683" name="Text Box 1">
          <a:extLst>
            <a:ext uri="{FF2B5EF4-FFF2-40B4-BE49-F238E27FC236}">
              <a16:creationId xmlns:a16="http://schemas.microsoft.com/office/drawing/2014/main" id="{00000000-0008-0000-0400-0000AB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35</xdr:row>
      <xdr:rowOff>0</xdr:rowOff>
    </xdr:from>
    <xdr:to>
      <xdr:col>4</xdr:col>
      <xdr:colOff>76200</xdr:colOff>
      <xdr:row>36</xdr:row>
      <xdr:rowOff>0</xdr:rowOff>
    </xdr:to>
    <xdr:sp macro="" textlink="">
      <xdr:nvSpPr>
        <xdr:cNvPr id="684" name="Text Box 1">
          <a:extLst>
            <a:ext uri="{FF2B5EF4-FFF2-40B4-BE49-F238E27FC236}">
              <a16:creationId xmlns:a16="http://schemas.microsoft.com/office/drawing/2014/main" id="{00000000-0008-0000-0400-0000AC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35</xdr:row>
      <xdr:rowOff>0</xdr:rowOff>
    </xdr:from>
    <xdr:to>
      <xdr:col>4</xdr:col>
      <xdr:colOff>76200</xdr:colOff>
      <xdr:row>36</xdr:row>
      <xdr:rowOff>0</xdr:rowOff>
    </xdr:to>
    <xdr:sp macro="" textlink="">
      <xdr:nvSpPr>
        <xdr:cNvPr id="685" name="Text Box 2">
          <a:extLst>
            <a:ext uri="{FF2B5EF4-FFF2-40B4-BE49-F238E27FC236}">
              <a16:creationId xmlns:a16="http://schemas.microsoft.com/office/drawing/2014/main" id="{00000000-0008-0000-0400-0000AD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35</xdr:row>
      <xdr:rowOff>0</xdr:rowOff>
    </xdr:from>
    <xdr:to>
      <xdr:col>4</xdr:col>
      <xdr:colOff>76200</xdr:colOff>
      <xdr:row>36</xdr:row>
      <xdr:rowOff>0</xdr:rowOff>
    </xdr:to>
    <xdr:sp macro="" textlink="">
      <xdr:nvSpPr>
        <xdr:cNvPr id="686" name="Text Box 1">
          <a:extLst>
            <a:ext uri="{FF2B5EF4-FFF2-40B4-BE49-F238E27FC236}">
              <a16:creationId xmlns:a16="http://schemas.microsoft.com/office/drawing/2014/main" id="{00000000-0008-0000-0400-0000AE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35</xdr:row>
      <xdr:rowOff>0</xdr:rowOff>
    </xdr:from>
    <xdr:to>
      <xdr:col>4</xdr:col>
      <xdr:colOff>76200</xdr:colOff>
      <xdr:row>36</xdr:row>
      <xdr:rowOff>0</xdr:rowOff>
    </xdr:to>
    <xdr:sp macro="" textlink="">
      <xdr:nvSpPr>
        <xdr:cNvPr id="687" name="Text Box 1">
          <a:extLst>
            <a:ext uri="{FF2B5EF4-FFF2-40B4-BE49-F238E27FC236}">
              <a16:creationId xmlns:a16="http://schemas.microsoft.com/office/drawing/2014/main" id="{00000000-0008-0000-0400-0000AF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35</xdr:row>
      <xdr:rowOff>0</xdr:rowOff>
    </xdr:from>
    <xdr:to>
      <xdr:col>4</xdr:col>
      <xdr:colOff>76200</xdr:colOff>
      <xdr:row>36</xdr:row>
      <xdr:rowOff>0</xdr:rowOff>
    </xdr:to>
    <xdr:sp macro="" textlink="">
      <xdr:nvSpPr>
        <xdr:cNvPr id="688" name="Text Box 1">
          <a:extLst>
            <a:ext uri="{FF2B5EF4-FFF2-40B4-BE49-F238E27FC236}">
              <a16:creationId xmlns:a16="http://schemas.microsoft.com/office/drawing/2014/main" id="{00000000-0008-0000-0400-0000B0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35</xdr:row>
      <xdr:rowOff>0</xdr:rowOff>
    </xdr:from>
    <xdr:to>
      <xdr:col>4</xdr:col>
      <xdr:colOff>76200</xdr:colOff>
      <xdr:row>36</xdr:row>
      <xdr:rowOff>0</xdr:rowOff>
    </xdr:to>
    <xdr:sp macro="" textlink="">
      <xdr:nvSpPr>
        <xdr:cNvPr id="689" name="Text Box 2">
          <a:extLst>
            <a:ext uri="{FF2B5EF4-FFF2-40B4-BE49-F238E27FC236}">
              <a16:creationId xmlns:a16="http://schemas.microsoft.com/office/drawing/2014/main" id="{00000000-0008-0000-0400-0000B1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35</xdr:row>
      <xdr:rowOff>0</xdr:rowOff>
    </xdr:from>
    <xdr:to>
      <xdr:col>4</xdr:col>
      <xdr:colOff>76200</xdr:colOff>
      <xdr:row>36</xdr:row>
      <xdr:rowOff>0</xdr:rowOff>
    </xdr:to>
    <xdr:sp macro="" textlink="">
      <xdr:nvSpPr>
        <xdr:cNvPr id="690" name="Text Box 1">
          <a:extLst>
            <a:ext uri="{FF2B5EF4-FFF2-40B4-BE49-F238E27FC236}">
              <a16:creationId xmlns:a16="http://schemas.microsoft.com/office/drawing/2014/main" id="{00000000-0008-0000-0400-0000B2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35</xdr:row>
      <xdr:rowOff>0</xdr:rowOff>
    </xdr:from>
    <xdr:to>
      <xdr:col>4</xdr:col>
      <xdr:colOff>76200</xdr:colOff>
      <xdr:row>36</xdr:row>
      <xdr:rowOff>0</xdr:rowOff>
    </xdr:to>
    <xdr:sp macro="" textlink="">
      <xdr:nvSpPr>
        <xdr:cNvPr id="691" name="Text Box 1">
          <a:extLst>
            <a:ext uri="{FF2B5EF4-FFF2-40B4-BE49-F238E27FC236}">
              <a16:creationId xmlns:a16="http://schemas.microsoft.com/office/drawing/2014/main" id="{00000000-0008-0000-0400-0000B3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76200</xdr:colOff>
      <xdr:row>37</xdr:row>
      <xdr:rowOff>0</xdr:rowOff>
    </xdr:to>
    <xdr:sp macro="" textlink="">
      <xdr:nvSpPr>
        <xdr:cNvPr id="692" name="Text Box 1">
          <a:extLst>
            <a:ext uri="{FF2B5EF4-FFF2-40B4-BE49-F238E27FC236}">
              <a16:creationId xmlns:a16="http://schemas.microsoft.com/office/drawing/2014/main" id="{00000000-0008-0000-0400-0000B4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76200</xdr:colOff>
      <xdr:row>37</xdr:row>
      <xdr:rowOff>0</xdr:rowOff>
    </xdr:to>
    <xdr:sp macro="" textlink="">
      <xdr:nvSpPr>
        <xdr:cNvPr id="693" name="Text Box 2">
          <a:extLst>
            <a:ext uri="{FF2B5EF4-FFF2-40B4-BE49-F238E27FC236}">
              <a16:creationId xmlns:a16="http://schemas.microsoft.com/office/drawing/2014/main" id="{00000000-0008-0000-0400-0000B5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76200</xdr:colOff>
      <xdr:row>37</xdr:row>
      <xdr:rowOff>0</xdr:rowOff>
    </xdr:to>
    <xdr:sp macro="" textlink="">
      <xdr:nvSpPr>
        <xdr:cNvPr id="694" name="Text Box 1">
          <a:extLst>
            <a:ext uri="{FF2B5EF4-FFF2-40B4-BE49-F238E27FC236}">
              <a16:creationId xmlns:a16="http://schemas.microsoft.com/office/drawing/2014/main" id="{00000000-0008-0000-0400-0000B6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76200</xdr:colOff>
      <xdr:row>37</xdr:row>
      <xdr:rowOff>0</xdr:rowOff>
    </xdr:to>
    <xdr:sp macro="" textlink="">
      <xdr:nvSpPr>
        <xdr:cNvPr id="695" name="Text Box 1">
          <a:extLst>
            <a:ext uri="{FF2B5EF4-FFF2-40B4-BE49-F238E27FC236}">
              <a16:creationId xmlns:a16="http://schemas.microsoft.com/office/drawing/2014/main" id="{00000000-0008-0000-0400-0000B7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76200</xdr:colOff>
      <xdr:row>37</xdr:row>
      <xdr:rowOff>0</xdr:rowOff>
    </xdr:to>
    <xdr:sp macro="" textlink="">
      <xdr:nvSpPr>
        <xdr:cNvPr id="696" name="Text Box 1">
          <a:extLst>
            <a:ext uri="{FF2B5EF4-FFF2-40B4-BE49-F238E27FC236}">
              <a16:creationId xmlns:a16="http://schemas.microsoft.com/office/drawing/2014/main" id="{00000000-0008-0000-0400-0000B8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76200</xdr:colOff>
      <xdr:row>37</xdr:row>
      <xdr:rowOff>0</xdr:rowOff>
    </xdr:to>
    <xdr:sp macro="" textlink="">
      <xdr:nvSpPr>
        <xdr:cNvPr id="697" name="Text Box 2">
          <a:extLst>
            <a:ext uri="{FF2B5EF4-FFF2-40B4-BE49-F238E27FC236}">
              <a16:creationId xmlns:a16="http://schemas.microsoft.com/office/drawing/2014/main" id="{00000000-0008-0000-0400-0000B9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76200</xdr:colOff>
      <xdr:row>37</xdr:row>
      <xdr:rowOff>0</xdr:rowOff>
    </xdr:to>
    <xdr:sp macro="" textlink="">
      <xdr:nvSpPr>
        <xdr:cNvPr id="698" name="Text Box 1">
          <a:extLst>
            <a:ext uri="{FF2B5EF4-FFF2-40B4-BE49-F238E27FC236}">
              <a16:creationId xmlns:a16="http://schemas.microsoft.com/office/drawing/2014/main" id="{00000000-0008-0000-0400-0000BA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76200</xdr:colOff>
      <xdr:row>37</xdr:row>
      <xdr:rowOff>0</xdr:rowOff>
    </xdr:to>
    <xdr:sp macro="" textlink="">
      <xdr:nvSpPr>
        <xdr:cNvPr id="699" name="Text Box 1">
          <a:extLst>
            <a:ext uri="{FF2B5EF4-FFF2-40B4-BE49-F238E27FC236}">
              <a16:creationId xmlns:a16="http://schemas.microsoft.com/office/drawing/2014/main" id="{00000000-0008-0000-0400-0000BB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76200</xdr:colOff>
      <xdr:row>37</xdr:row>
      <xdr:rowOff>0</xdr:rowOff>
    </xdr:to>
    <xdr:sp macro="" textlink="">
      <xdr:nvSpPr>
        <xdr:cNvPr id="700" name="Text Box 1">
          <a:extLst>
            <a:ext uri="{FF2B5EF4-FFF2-40B4-BE49-F238E27FC236}">
              <a16:creationId xmlns:a16="http://schemas.microsoft.com/office/drawing/2014/main" id="{00000000-0008-0000-0400-0000BC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76200</xdr:colOff>
      <xdr:row>37</xdr:row>
      <xdr:rowOff>0</xdr:rowOff>
    </xdr:to>
    <xdr:sp macro="" textlink="">
      <xdr:nvSpPr>
        <xdr:cNvPr id="701" name="Text Box 2">
          <a:extLst>
            <a:ext uri="{FF2B5EF4-FFF2-40B4-BE49-F238E27FC236}">
              <a16:creationId xmlns:a16="http://schemas.microsoft.com/office/drawing/2014/main" id="{00000000-0008-0000-0400-0000BD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76200</xdr:colOff>
      <xdr:row>37</xdr:row>
      <xdr:rowOff>0</xdr:rowOff>
    </xdr:to>
    <xdr:sp macro="" textlink="">
      <xdr:nvSpPr>
        <xdr:cNvPr id="702" name="Text Box 1">
          <a:extLst>
            <a:ext uri="{FF2B5EF4-FFF2-40B4-BE49-F238E27FC236}">
              <a16:creationId xmlns:a16="http://schemas.microsoft.com/office/drawing/2014/main" id="{00000000-0008-0000-0400-0000BE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76200</xdr:colOff>
      <xdr:row>37</xdr:row>
      <xdr:rowOff>0</xdr:rowOff>
    </xdr:to>
    <xdr:sp macro="" textlink="">
      <xdr:nvSpPr>
        <xdr:cNvPr id="703" name="Text Box 1">
          <a:extLst>
            <a:ext uri="{FF2B5EF4-FFF2-40B4-BE49-F238E27FC236}">
              <a16:creationId xmlns:a16="http://schemas.microsoft.com/office/drawing/2014/main" id="{00000000-0008-0000-0400-0000BF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76200</xdr:colOff>
      <xdr:row>37</xdr:row>
      <xdr:rowOff>0</xdr:rowOff>
    </xdr:to>
    <xdr:sp macro="" textlink="">
      <xdr:nvSpPr>
        <xdr:cNvPr id="704" name="Text Box 1">
          <a:extLst>
            <a:ext uri="{FF2B5EF4-FFF2-40B4-BE49-F238E27FC236}">
              <a16:creationId xmlns:a16="http://schemas.microsoft.com/office/drawing/2014/main" id="{00000000-0008-0000-0400-0000C0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76200</xdr:colOff>
      <xdr:row>37</xdr:row>
      <xdr:rowOff>0</xdr:rowOff>
    </xdr:to>
    <xdr:sp macro="" textlink="">
      <xdr:nvSpPr>
        <xdr:cNvPr id="705" name="Text Box 2">
          <a:extLst>
            <a:ext uri="{FF2B5EF4-FFF2-40B4-BE49-F238E27FC236}">
              <a16:creationId xmlns:a16="http://schemas.microsoft.com/office/drawing/2014/main" id="{00000000-0008-0000-0400-0000C1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76200</xdr:colOff>
      <xdr:row>37</xdr:row>
      <xdr:rowOff>0</xdr:rowOff>
    </xdr:to>
    <xdr:sp macro="" textlink="">
      <xdr:nvSpPr>
        <xdr:cNvPr id="706" name="Text Box 1">
          <a:extLst>
            <a:ext uri="{FF2B5EF4-FFF2-40B4-BE49-F238E27FC236}">
              <a16:creationId xmlns:a16="http://schemas.microsoft.com/office/drawing/2014/main" id="{00000000-0008-0000-0400-0000C2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76200</xdr:colOff>
      <xdr:row>37</xdr:row>
      <xdr:rowOff>0</xdr:rowOff>
    </xdr:to>
    <xdr:sp macro="" textlink="">
      <xdr:nvSpPr>
        <xdr:cNvPr id="707" name="Text Box 1">
          <a:extLst>
            <a:ext uri="{FF2B5EF4-FFF2-40B4-BE49-F238E27FC236}">
              <a16:creationId xmlns:a16="http://schemas.microsoft.com/office/drawing/2014/main" id="{00000000-0008-0000-0400-0000C3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76200</xdr:colOff>
      <xdr:row>37</xdr:row>
      <xdr:rowOff>0</xdr:rowOff>
    </xdr:to>
    <xdr:sp macro="" textlink="">
      <xdr:nvSpPr>
        <xdr:cNvPr id="708" name="Text Box 2">
          <a:extLst>
            <a:ext uri="{FF2B5EF4-FFF2-40B4-BE49-F238E27FC236}">
              <a16:creationId xmlns:a16="http://schemas.microsoft.com/office/drawing/2014/main" id="{00000000-0008-0000-0400-0000C4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76200</xdr:colOff>
      <xdr:row>37</xdr:row>
      <xdr:rowOff>0</xdr:rowOff>
    </xdr:to>
    <xdr:sp macro="" textlink="">
      <xdr:nvSpPr>
        <xdr:cNvPr id="709" name="Text Box 1">
          <a:extLst>
            <a:ext uri="{FF2B5EF4-FFF2-40B4-BE49-F238E27FC236}">
              <a16:creationId xmlns:a16="http://schemas.microsoft.com/office/drawing/2014/main" id="{00000000-0008-0000-0400-0000C5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76200</xdr:colOff>
      <xdr:row>37</xdr:row>
      <xdr:rowOff>0</xdr:rowOff>
    </xdr:to>
    <xdr:sp macro="" textlink="">
      <xdr:nvSpPr>
        <xdr:cNvPr id="710" name="Text Box 1">
          <a:extLst>
            <a:ext uri="{FF2B5EF4-FFF2-40B4-BE49-F238E27FC236}">
              <a16:creationId xmlns:a16="http://schemas.microsoft.com/office/drawing/2014/main" id="{00000000-0008-0000-0400-0000C6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76200</xdr:colOff>
      <xdr:row>37</xdr:row>
      <xdr:rowOff>0</xdr:rowOff>
    </xdr:to>
    <xdr:sp macro="" textlink="">
      <xdr:nvSpPr>
        <xdr:cNvPr id="711" name="Text Box 1">
          <a:extLst>
            <a:ext uri="{FF2B5EF4-FFF2-40B4-BE49-F238E27FC236}">
              <a16:creationId xmlns:a16="http://schemas.microsoft.com/office/drawing/2014/main" id="{00000000-0008-0000-0400-0000C7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76200</xdr:colOff>
      <xdr:row>37</xdr:row>
      <xdr:rowOff>0</xdr:rowOff>
    </xdr:to>
    <xdr:sp macro="" textlink="">
      <xdr:nvSpPr>
        <xdr:cNvPr id="712" name="Text Box 2">
          <a:extLst>
            <a:ext uri="{FF2B5EF4-FFF2-40B4-BE49-F238E27FC236}">
              <a16:creationId xmlns:a16="http://schemas.microsoft.com/office/drawing/2014/main" id="{00000000-0008-0000-0400-0000C8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76200</xdr:colOff>
      <xdr:row>37</xdr:row>
      <xdr:rowOff>0</xdr:rowOff>
    </xdr:to>
    <xdr:sp macro="" textlink="">
      <xdr:nvSpPr>
        <xdr:cNvPr id="713" name="Text Box 1">
          <a:extLst>
            <a:ext uri="{FF2B5EF4-FFF2-40B4-BE49-F238E27FC236}">
              <a16:creationId xmlns:a16="http://schemas.microsoft.com/office/drawing/2014/main" id="{00000000-0008-0000-0400-0000C9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76200</xdr:colOff>
      <xdr:row>37</xdr:row>
      <xdr:rowOff>0</xdr:rowOff>
    </xdr:to>
    <xdr:sp macro="" textlink="">
      <xdr:nvSpPr>
        <xdr:cNvPr id="714" name="Text Box 1">
          <a:extLst>
            <a:ext uri="{FF2B5EF4-FFF2-40B4-BE49-F238E27FC236}">
              <a16:creationId xmlns:a16="http://schemas.microsoft.com/office/drawing/2014/main" id="{00000000-0008-0000-0400-0000CA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6</xdr:row>
      <xdr:rowOff>0</xdr:rowOff>
    </xdr:from>
    <xdr:to>
      <xdr:col>4</xdr:col>
      <xdr:colOff>76200</xdr:colOff>
      <xdr:row>7</xdr:row>
      <xdr:rowOff>0</xdr:rowOff>
    </xdr:to>
    <xdr:sp macro="" textlink="">
      <xdr:nvSpPr>
        <xdr:cNvPr id="7905" name="Text Box 1">
          <a:extLst>
            <a:ext uri="{FF2B5EF4-FFF2-40B4-BE49-F238E27FC236}">
              <a16:creationId xmlns:a16="http://schemas.microsoft.com/office/drawing/2014/main" id="{00000000-0008-0000-0500-0000E11E0000}"/>
            </a:ext>
          </a:extLst>
        </xdr:cNvPr>
        <xdr:cNvSpPr txBox="1">
          <a:spLocks noChangeArrowheads="1"/>
        </xdr:cNvSpPr>
      </xdr:nvSpPr>
      <xdr:spPr bwMode="auto">
        <a:xfrm>
          <a:off x="6200775" y="1200150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76200</xdr:colOff>
      <xdr:row>7</xdr:row>
      <xdr:rowOff>0</xdr:rowOff>
    </xdr:to>
    <xdr:sp macro="" textlink="">
      <xdr:nvSpPr>
        <xdr:cNvPr id="7906" name="Text Box 2">
          <a:extLst>
            <a:ext uri="{FF2B5EF4-FFF2-40B4-BE49-F238E27FC236}">
              <a16:creationId xmlns:a16="http://schemas.microsoft.com/office/drawing/2014/main" id="{00000000-0008-0000-0500-0000E21E0000}"/>
            </a:ext>
          </a:extLst>
        </xdr:cNvPr>
        <xdr:cNvSpPr txBox="1">
          <a:spLocks noChangeArrowheads="1"/>
        </xdr:cNvSpPr>
      </xdr:nvSpPr>
      <xdr:spPr bwMode="auto">
        <a:xfrm>
          <a:off x="6200775" y="1200150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76200</xdr:colOff>
      <xdr:row>7</xdr:row>
      <xdr:rowOff>0</xdr:rowOff>
    </xdr:to>
    <xdr:sp macro="" textlink="">
      <xdr:nvSpPr>
        <xdr:cNvPr id="7907" name="Text Box 1">
          <a:extLst>
            <a:ext uri="{FF2B5EF4-FFF2-40B4-BE49-F238E27FC236}">
              <a16:creationId xmlns:a16="http://schemas.microsoft.com/office/drawing/2014/main" id="{00000000-0008-0000-0500-0000E31E0000}"/>
            </a:ext>
          </a:extLst>
        </xdr:cNvPr>
        <xdr:cNvSpPr txBox="1">
          <a:spLocks noChangeArrowheads="1"/>
        </xdr:cNvSpPr>
      </xdr:nvSpPr>
      <xdr:spPr bwMode="auto">
        <a:xfrm>
          <a:off x="6200775" y="1200150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76200</xdr:colOff>
      <xdr:row>7</xdr:row>
      <xdr:rowOff>0</xdr:rowOff>
    </xdr:to>
    <xdr:sp macro="" textlink="">
      <xdr:nvSpPr>
        <xdr:cNvPr id="7908" name="Text Box 1">
          <a:extLst>
            <a:ext uri="{FF2B5EF4-FFF2-40B4-BE49-F238E27FC236}">
              <a16:creationId xmlns:a16="http://schemas.microsoft.com/office/drawing/2014/main" id="{00000000-0008-0000-0500-0000E41E0000}"/>
            </a:ext>
          </a:extLst>
        </xdr:cNvPr>
        <xdr:cNvSpPr txBox="1">
          <a:spLocks noChangeArrowheads="1"/>
        </xdr:cNvSpPr>
      </xdr:nvSpPr>
      <xdr:spPr bwMode="auto">
        <a:xfrm>
          <a:off x="6200775" y="1200150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76200</xdr:colOff>
      <xdr:row>7</xdr:row>
      <xdr:rowOff>0</xdr:rowOff>
    </xdr:to>
    <xdr:sp macro="" textlink="">
      <xdr:nvSpPr>
        <xdr:cNvPr id="7909" name="Text Box 1">
          <a:extLst>
            <a:ext uri="{FF2B5EF4-FFF2-40B4-BE49-F238E27FC236}">
              <a16:creationId xmlns:a16="http://schemas.microsoft.com/office/drawing/2014/main" id="{00000000-0008-0000-0500-0000E51E0000}"/>
            </a:ext>
          </a:extLst>
        </xdr:cNvPr>
        <xdr:cNvSpPr txBox="1">
          <a:spLocks noChangeArrowheads="1"/>
        </xdr:cNvSpPr>
      </xdr:nvSpPr>
      <xdr:spPr bwMode="auto">
        <a:xfrm>
          <a:off x="6200775" y="1200150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76200</xdr:colOff>
      <xdr:row>7</xdr:row>
      <xdr:rowOff>0</xdr:rowOff>
    </xdr:to>
    <xdr:sp macro="" textlink="">
      <xdr:nvSpPr>
        <xdr:cNvPr id="7910" name="Text Box 2">
          <a:extLst>
            <a:ext uri="{FF2B5EF4-FFF2-40B4-BE49-F238E27FC236}">
              <a16:creationId xmlns:a16="http://schemas.microsoft.com/office/drawing/2014/main" id="{00000000-0008-0000-0500-0000E61E0000}"/>
            </a:ext>
          </a:extLst>
        </xdr:cNvPr>
        <xdr:cNvSpPr txBox="1">
          <a:spLocks noChangeArrowheads="1"/>
        </xdr:cNvSpPr>
      </xdr:nvSpPr>
      <xdr:spPr bwMode="auto">
        <a:xfrm>
          <a:off x="6200775" y="1200150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76200</xdr:colOff>
      <xdr:row>7</xdr:row>
      <xdr:rowOff>0</xdr:rowOff>
    </xdr:to>
    <xdr:sp macro="" textlink="">
      <xdr:nvSpPr>
        <xdr:cNvPr id="7911" name="Text Box 1">
          <a:extLst>
            <a:ext uri="{FF2B5EF4-FFF2-40B4-BE49-F238E27FC236}">
              <a16:creationId xmlns:a16="http://schemas.microsoft.com/office/drawing/2014/main" id="{00000000-0008-0000-0500-0000E71E0000}"/>
            </a:ext>
          </a:extLst>
        </xdr:cNvPr>
        <xdr:cNvSpPr txBox="1">
          <a:spLocks noChangeArrowheads="1"/>
        </xdr:cNvSpPr>
      </xdr:nvSpPr>
      <xdr:spPr bwMode="auto">
        <a:xfrm>
          <a:off x="6200775" y="1200150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76200</xdr:colOff>
      <xdr:row>7</xdr:row>
      <xdr:rowOff>0</xdr:rowOff>
    </xdr:to>
    <xdr:sp macro="" textlink="">
      <xdr:nvSpPr>
        <xdr:cNvPr id="7912" name="Text Box 1">
          <a:extLst>
            <a:ext uri="{FF2B5EF4-FFF2-40B4-BE49-F238E27FC236}">
              <a16:creationId xmlns:a16="http://schemas.microsoft.com/office/drawing/2014/main" id="{00000000-0008-0000-0500-0000E81E0000}"/>
            </a:ext>
          </a:extLst>
        </xdr:cNvPr>
        <xdr:cNvSpPr txBox="1">
          <a:spLocks noChangeArrowheads="1"/>
        </xdr:cNvSpPr>
      </xdr:nvSpPr>
      <xdr:spPr bwMode="auto">
        <a:xfrm>
          <a:off x="6200775" y="1200150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76200</xdr:colOff>
      <xdr:row>7</xdr:row>
      <xdr:rowOff>0</xdr:rowOff>
    </xdr:to>
    <xdr:sp macro="" textlink="">
      <xdr:nvSpPr>
        <xdr:cNvPr id="7913" name="Text Box 1">
          <a:extLst>
            <a:ext uri="{FF2B5EF4-FFF2-40B4-BE49-F238E27FC236}">
              <a16:creationId xmlns:a16="http://schemas.microsoft.com/office/drawing/2014/main" id="{00000000-0008-0000-0500-0000E91E0000}"/>
            </a:ext>
          </a:extLst>
        </xdr:cNvPr>
        <xdr:cNvSpPr txBox="1">
          <a:spLocks noChangeArrowheads="1"/>
        </xdr:cNvSpPr>
      </xdr:nvSpPr>
      <xdr:spPr bwMode="auto">
        <a:xfrm>
          <a:off x="6200775" y="1200150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76200</xdr:colOff>
      <xdr:row>7</xdr:row>
      <xdr:rowOff>0</xdr:rowOff>
    </xdr:to>
    <xdr:sp macro="" textlink="">
      <xdr:nvSpPr>
        <xdr:cNvPr id="7914" name="Text Box 2">
          <a:extLst>
            <a:ext uri="{FF2B5EF4-FFF2-40B4-BE49-F238E27FC236}">
              <a16:creationId xmlns:a16="http://schemas.microsoft.com/office/drawing/2014/main" id="{00000000-0008-0000-0500-0000EA1E0000}"/>
            </a:ext>
          </a:extLst>
        </xdr:cNvPr>
        <xdr:cNvSpPr txBox="1">
          <a:spLocks noChangeArrowheads="1"/>
        </xdr:cNvSpPr>
      </xdr:nvSpPr>
      <xdr:spPr bwMode="auto">
        <a:xfrm>
          <a:off x="6200775" y="1200150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76200</xdr:colOff>
      <xdr:row>7</xdr:row>
      <xdr:rowOff>0</xdr:rowOff>
    </xdr:to>
    <xdr:sp macro="" textlink="">
      <xdr:nvSpPr>
        <xdr:cNvPr id="7915" name="Text Box 1">
          <a:extLst>
            <a:ext uri="{FF2B5EF4-FFF2-40B4-BE49-F238E27FC236}">
              <a16:creationId xmlns:a16="http://schemas.microsoft.com/office/drawing/2014/main" id="{00000000-0008-0000-0500-0000EB1E0000}"/>
            </a:ext>
          </a:extLst>
        </xdr:cNvPr>
        <xdr:cNvSpPr txBox="1">
          <a:spLocks noChangeArrowheads="1"/>
        </xdr:cNvSpPr>
      </xdr:nvSpPr>
      <xdr:spPr bwMode="auto">
        <a:xfrm>
          <a:off x="6200775" y="1200150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76200</xdr:colOff>
      <xdr:row>7</xdr:row>
      <xdr:rowOff>0</xdr:rowOff>
    </xdr:to>
    <xdr:sp macro="" textlink="">
      <xdr:nvSpPr>
        <xdr:cNvPr id="7916" name="Text Box 1">
          <a:extLst>
            <a:ext uri="{FF2B5EF4-FFF2-40B4-BE49-F238E27FC236}">
              <a16:creationId xmlns:a16="http://schemas.microsoft.com/office/drawing/2014/main" id="{00000000-0008-0000-0500-0000EC1E0000}"/>
            </a:ext>
          </a:extLst>
        </xdr:cNvPr>
        <xdr:cNvSpPr txBox="1">
          <a:spLocks noChangeArrowheads="1"/>
        </xdr:cNvSpPr>
      </xdr:nvSpPr>
      <xdr:spPr bwMode="auto">
        <a:xfrm>
          <a:off x="6200775" y="1200150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76200</xdr:colOff>
      <xdr:row>7</xdr:row>
      <xdr:rowOff>0</xdr:rowOff>
    </xdr:to>
    <xdr:sp macro="" textlink="">
      <xdr:nvSpPr>
        <xdr:cNvPr id="7917" name="Text Box 1">
          <a:extLst>
            <a:ext uri="{FF2B5EF4-FFF2-40B4-BE49-F238E27FC236}">
              <a16:creationId xmlns:a16="http://schemas.microsoft.com/office/drawing/2014/main" id="{00000000-0008-0000-0500-0000ED1E0000}"/>
            </a:ext>
          </a:extLst>
        </xdr:cNvPr>
        <xdr:cNvSpPr txBox="1">
          <a:spLocks noChangeArrowheads="1"/>
        </xdr:cNvSpPr>
      </xdr:nvSpPr>
      <xdr:spPr bwMode="auto">
        <a:xfrm>
          <a:off x="6200775" y="1200150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76200</xdr:colOff>
      <xdr:row>7</xdr:row>
      <xdr:rowOff>0</xdr:rowOff>
    </xdr:to>
    <xdr:sp macro="" textlink="">
      <xdr:nvSpPr>
        <xdr:cNvPr id="7918" name="Text Box 2">
          <a:extLst>
            <a:ext uri="{FF2B5EF4-FFF2-40B4-BE49-F238E27FC236}">
              <a16:creationId xmlns:a16="http://schemas.microsoft.com/office/drawing/2014/main" id="{00000000-0008-0000-0500-0000EE1E0000}"/>
            </a:ext>
          </a:extLst>
        </xdr:cNvPr>
        <xdr:cNvSpPr txBox="1">
          <a:spLocks noChangeArrowheads="1"/>
        </xdr:cNvSpPr>
      </xdr:nvSpPr>
      <xdr:spPr bwMode="auto">
        <a:xfrm>
          <a:off x="6200775" y="1200150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76200</xdr:colOff>
      <xdr:row>7</xdr:row>
      <xdr:rowOff>0</xdr:rowOff>
    </xdr:to>
    <xdr:sp macro="" textlink="">
      <xdr:nvSpPr>
        <xdr:cNvPr id="7919" name="Text Box 1">
          <a:extLst>
            <a:ext uri="{FF2B5EF4-FFF2-40B4-BE49-F238E27FC236}">
              <a16:creationId xmlns:a16="http://schemas.microsoft.com/office/drawing/2014/main" id="{00000000-0008-0000-0500-0000EF1E0000}"/>
            </a:ext>
          </a:extLst>
        </xdr:cNvPr>
        <xdr:cNvSpPr txBox="1">
          <a:spLocks noChangeArrowheads="1"/>
        </xdr:cNvSpPr>
      </xdr:nvSpPr>
      <xdr:spPr bwMode="auto">
        <a:xfrm>
          <a:off x="6200775" y="1200150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76200</xdr:colOff>
      <xdr:row>7</xdr:row>
      <xdr:rowOff>0</xdr:rowOff>
    </xdr:to>
    <xdr:sp macro="" textlink="">
      <xdr:nvSpPr>
        <xdr:cNvPr id="7920" name="Text Box 1">
          <a:extLst>
            <a:ext uri="{FF2B5EF4-FFF2-40B4-BE49-F238E27FC236}">
              <a16:creationId xmlns:a16="http://schemas.microsoft.com/office/drawing/2014/main" id="{00000000-0008-0000-0500-0000F01E0000}"/>
            </a:ext>
          </a:extLst>
        </xdr:cNvPr>
        <xdr:cNvSpPr txBox="1">
          <a:spLocks noChangeArrowheads="1"/>
        </xdr:cNvSpPr>
      </xdr:nvSpPr>
      <xdr:spPr bwMode="auto">
        <a:xfrm>
          <a:off x="6200775" y="1200150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76200</xdr:colOff>
      <xdr:row>7</xdr:row>
      <xdr:rowOff>0</xdr:rowOff>
    </xdr:to>
    <xdr:sp macro="" textlink="">
      <xdr:nvSpPr>
        <xdr:cNvPr id="7921" name="Text Box 2">
          <a:extLst>
            <a:ext uri="{FF2B5EF4-FFF2-40B4-BE49-F238E27FC236}">
              <a16:creationId xmlns:a16="http://schemas.microsoft.com/office/drawing/2014/main" id="{00000000-0008-0000-0500-0000F11E0000}"/>
            </a:ext>
          </a:extLst>
        </xdr:cNvPr>
        <xdr:cNvSpPr txBox="1">
          <a:spLocks noChangeArrowheads="1"/>
        </xdr:cNvSpPr>
      </xdr:nvSpPr>
      <xdr:spPr bwMode="auto">
        <a:xfrm>
          <a:off x="6200775" y="1200150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76200</xdr:colOff>
      <xdr:row>7</xdr:row>
      <xdr:rowOff>0</xdr:rowOff>
    </xdr:to>
    <xdr:sp macro="" textlink="">
      <xdr:nvSpPr>
        <xdr:cNvPr id="7922" name="Text Box 1">
          <a:extLst>
            <a:ext uri="{FF2B5EF4-FFF2-40B4-BE49-F238E27FC236}">
              <a16:creationId xmlns:a16="http://schemas.microsoft.com/office/drawing/2014/main" id="{00000000-0008-0000-0500-0000F21E0000}"/>
            </a:ext>
          </a:extLst>
        </xdr:cNvPr>
        <xdr:cNvSpPr txBox="1">
          <a:spLocks noChangeArrowheads="1"/>
        </xdr:cNvSpPr>
      </xdr:nvSpPr>
      <xdr:spPr bwMode="auto">
        <a:xfrm>
          <a:off x="6200775" y="1200150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76200</xdr:colOff>
      <xdr:row>7</xdr:row>
      <xdr:rowOff>0</xdr:rowOff>
    </xdr:to>
    <xdr:sp macro="" textlink="">
      <xdr:nvSpPr>
        <xdr:cNvPr id="7923" name="Text Box 1">
          <a:extLst>
            <a:ext uri="{FF2B5EF4-FFF2-40B4-BE49-F238E27FC236}">
              <a16:creationId xmlns:a16="http://schemas.microsoft.com/office/drawing/2014/main" id="{00000000-0008-0000-0500-0000F31E0000}"/>
            </a:ext>
          </a:extLst>
        </xdr:cNvPr>
        <xdr:cNvSpPr txBox="1">
          <a:spLocks noChangeArrowheads="1"/>
        </xdr:cNvSpPr>
      </xdr:nvSpPr>
      <xdr:spPr bwMode="auto">
        <a:xfrm>
          <a:off x="6200775" y="1200150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76200</xdr:colOff>
      <xdr:row>7</xdr:row>
      <xdr:rowOff>0</xdr:rowOff>
    </xdr:to>
    <xdr:sp macro="" textlink="">
      <xdr:nvSpPr>
        <xdr:cNvPr id="7924" name="Text Box 1">
          <a:extLst>
            <a:ext uri="{FF2B5EF4-FFF2-40B4-BE49-F238E27FC236}">
              <a16:creationId xmlns:a16="http://schemas.microsoft.com/office/drawing/2014/main" id="{00000000-0008-0000-0500-0000F41E0000}"/>
            </a:ext>
          </a:extLst>
        </xdr:cNvPr>
        <xdr:cNvSpPr txBox="1">
          <a:spLocks noChangeArrowheads="1"/>
        </xdr:cNvSpPr>
      </xdr:nvSpPr>
      <xdr:spPr bwMode="auto">
        <a:xfrm>
          <a:off x="6200775" y="1200150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76200</xdr:colOff>
      <xdr:row>7</xdr:row>
      <xdr:rowOff>0</xdr:rowOff>
    </xdr:to>
    <xdr:sp macro="" textlink="">
      <xdr:nvSpPr>
        <xdr:cNvPr id="7925" name="Text Box 2">
          <a:extLst>
            <a:ext uri="{FF2B5EF4-FFF2-40B4-BE49-F238E27FC236}">
              <a16:creationId xmlns:a16="http://schemas.microsoft.com/office/drawing/2014/main" id="{00000000-0008-0000-0500-0000F51E0000}"/>
            </a:ext>
          </a:extLst>
        </xdr:cNvPr>
        <xdr:cNvSpPr txBox="1">
          <a:spLocks noChangeArrowheads="1"/>
        </xdr:cNvSpPr>
      </xdr:nvSpPr>
      <xdr:spPr bwMode="auto">
        <a:xfrm>
          <a:off x="6200775" y="1200150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76200</xdr:colOff>
      <xdr:row>7</xdr:row>
      <xdr:rowOff>0</xdr:rowOff>
    </xdr:to>
    <xdr:sp macro="" textlink="">
      <xdr:nvSpPr>
        <xdr:cNvPr id="7926" name="Text Box 1">
          <a:extLst>
            <a:ext uri="{FF2B5EF4-FFF2-40B4-BE49-F238E27FC236}">
              <a16:creationId xmlns:a16="http://schemas.microsoft.com/office/drawing/2014/main" id="{00000000-0008-0000-0500-0000F61E0000}"/>
            </a:ext>
          </a:extLst>
        </xdr:cNvPr>
        <xdr:cNvSpPr txBox="1">
          <a:spLocks noChangeArrowheads="1"/>
        </xdr:cNvSpPr>
      </xdr:nvSpPr>
      <xdr:spPr bwMode="auto">
        <a:xfrm>
          <a:off x="6200775" y="1200150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76200</xdr:colOff>
      <xdr:row>7</xdr:row>
      <xdr:rowOff>0</xdr:rowOff>
    </xdr:to>
    <xdr:sp macro="" textlink="">
      <xdr:nvSpPr>
        <xdr:cNvPr id="7927" name="Text Box 1">
          <a:extLst>
            <a:ext uri="{FF2B5EF4-FFF2-40B4-BE49-F238E27FC236}">
              <a16:creationId xmlns:a16="http://schemas.microsoft.com/office/drawing/2014/main" id="{00000000-0008-0000-0500-0000F71E0000}"/>
            </a:ext>
          </a:extLst>
        </xdr:cNvPr>
        <xdr:cNvSpPr txBox="1">
          <a:spLocks noChangeArrowheads="1"/>
        </xdr:cNvSpPr>
      </xdr:nvSpPr>
      <xdr:spPr bwMode="auto">
        <a:xfrm>
          <a:off x="6200775" y="1200150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76200</xdr:colOff>
      <xdr:row>8</xdr:row>
      <xdr:rowOff>0</xdr:rowOff>
    </xdr:to>
    <xdr:sp macro="" textlink="">
      <xdr:nvSpPr>
        <xdr:cNvPr id="25" name="Text Box 1">
          <a:extLst>
            <a:ext uri="{FF2B5EF4-FFF2-40B4-BE49-F238E27FC236}">
              <a16:creationId xmlns:a16="http://schemas.microsoft.com/office/drawing/2014/main" id="{00000000-0008-0000-0500-000019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76200</xdr:colOff>
      <xdr:row>8</xdr:row>
      <xdr:rowOff>0</xdr:rowOff>
    </xdr:to>
    <xdr:sp macro="" textlink="">
      <xdr:nvSpPr>
        <xdr:cNvPr id="26" name="Text Box 2">
          <a:extLst>
            <a:ext uri="{FF2B5EF4-FFF2-40B4-BE49-F238E27FC236}">
              <a16:creationId xmlns:a16="http://schemas.microsoft.com/office/drawing/2014/main" id="{00000000-0008-0000-0500-00001A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76200</xdr:colOff>
      <xdr:row>8</xdr:row>
      <xdr:rowOff>0</xdr:rowOff>
    </xdr:to>
    <xdr:sp macro="" textlink="">
      <xdr:nvSpPr>
        <xdr:cNvPr id="27" name="Text Box 1">
          <a:extLst>
            <a:ext uri="{FF2B5EF4-FFF2-40B4-BE49-F238E27FC236}">
              <a16:creationId xmlns:a16="http://schemas.microsoft.com/office/drawing/2014/main" id="{00000000-0008-0000-0500-00001B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76200</xdr:colOff>
      <xdr:row>8</xdr:row>
      <xdr:rowOff>0</xdr:rowOff>
    </xdr:to>
    <xdr:sp macro="" textlink="">
      <xdr:nvSpPr>
        <xdr:cNvPr id="28" name="Text Box 1">
          <a:extLst>
            <a:ext uri="{FF2B5EF4-FFF2-40B4-BE49-F238E27FC236}">
              <a16:creationId xmlns:a16="http://schemas.microsoft.com/office/drawing/2014/main" id="{00000000-0008-0000-0500-00001C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76200</xdr:colOff>
      <xdr:row>8</xdr:row>
      <xdr:rowOff>0</xdr:rowOff>
    </xdr:to>
    <xdr:sp macro="" textlink="">
      <xdr:nvSpPr>
        <xdr:cNvPr id="29" name="Text Box 1">
          <a:extLst>
            <a:ext uri="{FF2B5EF4-FFF2-40B4-BE49-F238E27FC236}">
              <a16:creationId xmlns:a16="http://schemas.microsoft.com/office/drawing/2014/main" id="{00000000-0008-0000-0500-00001D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76200</xdr:colOff>
      <xdr:row>8</xdr:row>
      <xdr:rowOff>0</xdr:rowOff>
    </xdr:to>
    <xdr:sp macro="" textlink="">
      <xdr:nvSpPr>
        <xdr:cNvPr id="30" name="Text Box 2">
          <a:extLst>
            <a:ext uri="{FF2B5EF4-FFF2-40B4-BE49-F238E27FC236}">
              <a16:creationId xmlns:a16="http://schemas.microsoft.com/office/drawing/2014/main" id="{00000000-0008-0000-0500-00001E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76200</xdr:colOff>
      <xdr:row>8</xdr:row>
      <xdr:rowOff>0</xdr:rowOff>
    </xdr:to>
    <xdr:sp macro="" textlink="">
      <xdr:nvSpPr>
        <xdr:cNvPr id="31" name="Text Box 1">
          <a:extLst>
            <a:ext uri="{FF2B5EF4-FFF2-40B4-BE49-F238E27FC236}">
              <a16:creationId xmlns:a16="http://schemas.microsoft.com/office/drawing/2014/main" id="{00000000-0008-0000-0500-00001F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76200</xdr:colOff>
      <xdr:row>8</xdr:row>
      <xdr:rowOff>0</xdr:rowOff>
    </xdr:to>
    <xdr:sp macro="" textlink="">
      <xdr:nvSpPr>
        <xdr:cNvPr id="32" name="Text Box 1">
          <a:extLst>
            <a:ext uri="{FF2B5EF4-FFF2-40B4-BE49-F238E27FC236}">
              <a16:creationId xmlns:a16="http://schemas.microsoft.com/office/drawing/2014/main" id="{00000000-0008-0000-0500-000020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76200</xdr:colOff>
      <xdr:row>8</xdr:row>
      <xdr:rowOff>0</xdr:rowOff>
    </xdr:to>
    <xdr:sp macro="" textlink="">
      <xdr:nvSpPr>
        <xdr:cNvPr id="33" name="Text Box 1">
          <a:extLst>
            <a:ext uri="{FF2B5EF4-FFF2-40B4-BE49-F238E27FC236}">
              <a16:creationId xmlns:a16="http://schemas.microsoft.com/office/drawing/2014/main" id="{00000000-0008-0000-0500-000021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76200</xdr:colOff>
      <xdr:row>8</xdr:row>
      <xdr:rowOff>0</xdr:rowOff>
    </xdr:to>
    <xdr:sp macro="" textlink="">
      <xdr:nvSpPr>
        <xdr:cNvPr id="34" name="Text Box 2">
          <a:extLst>
            <a:ext uri="{FF2B5EF4-FFF2-40B4-BE49-F238E27FC236}">
              <a16:creationId xmlns:a16="http://schemas.microsoft.com/office/drawing/2014/main" id="{00000000-0008-0000-0500-000022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76200</xdr:colOff>
      <xdr:row>8</xdr:row>
      <xdr:rowOff>0</xdr:rowOff>
    </xdr:to>
    <xdr:sp macro="" textlink="">
      <xdr:nvSpPr>
        <xdr:cNvPr id="35" name="Text Box 1">
          <a:extLst>
            <a:ext uri="{FF2B5EF4-FFF2-40B4-BE49-F238E27FC236}">
              <a16:creationId xmlns:a16="http://schemas.microsoft.com/office/drawing/2014/main" id="{00000000-0008-0000-0500-000023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76200</xdr:colOff>
      <xdr:row>8</xdr:row>
      <xdr:rowOff>0</xdr:rowOff>
    </xdr:to>
    <xdr:sp macro="" textlink="">
      <xdr:nvSpPr>
        <xdr:cNvPr id="36" name="Text Box 1">
          <a:extLst>
            <a:ext uri="{FF2B5EF4-FFF2-40B4-BE49-F238E27FC236}">
              <a16:creationId xmlns:a16="http://schemas.microsoft.com/office/drawing/2014/main" id="{00000000-0008-0000-0500-000024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76200</xdr:colOff>
      <xdr:row>8</xdr:row>
      <xdr:rowOff>0</xdr:rowOff>
    </xdr:to>
    <xdr:sp macro="" textlink="">
      <xdr:nvSpPr>
        <xdr:cNvPr id="37" name="Text Box 1">
          <a:extLst>
            <a:ext uri="{FF2B5EF4-FFF2-40B4-BE49-F238E27FC236}">
              <a16:creationId xmlns:a16="http://schemas.microsoft.com/office/drawing/2014/main" id="{00000000-0008-0000-0500-000025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76200</xdr:colOff>
      <xdr:row>8</xdr:row>
      <xdr:rowOff>0</xdr:rowOff>
    </xdr:to>
    <xdr:sp macro="" textlink="">
      <xdr:nvSpPr>
        <xdr:cNvPr id="38" name="Text Box 2">
          <a:extLst>
            <a:ext uri="{FF2B5EF4-FFF2-40B4-BE49-F238E27FC236}">
              <a16:creationId xmlns:a16="http://schemas.microsoft.com/office/drawing/2014/main" id="{00000000-0008-0000-0500-000026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76200</xdr:colOff>
      <xdr:row>8</xdr:row>
      <xdr:rowOff>0</xdr:rowOff>
    </xdr:to>
    <xdr:sp macro="" textlink="">
      <xdr:nvSpPr>
        <xdr:cNvPr id="39" name="Text Box 1">
          <a:extLst>
            <a:ext uri="{FF2B5EF4-FFF2-40B4-BE49-F238E27FC236}">
              <a16:creationId xmlns:a16="http://schemas.microsoft.com/office/drawing/2014/main" id="{00000000-0008-0000-0500-000027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76200</xdr:colOff>
      <xdr:row>8</xdr:row>
      <xdr:rowOff>0</xdr:rowOff>
    </xdr:to>
    <xdr:sp macro="" textlink="">
      <xdr:nvSpPr>
        <xdr:cNvPr id="40" name="Text Box 1">
          <a:extLst>
            <a:ext uri="{FF2B5EF4-FFF2-40B4-BE49-F238E27FC236}">
              <a16:creationId xmlns:a16="http://schemas.microsoft.com/office/drawing/2014/main" id="{00000000-0008-0000-0500-000028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76200</xdr:colOff>
      <xdr:row>8</xdr:row>
      <xdr:rowOff>0</xdr:rowOff>
    </xdr:to>
    <xdr:sp macro="" textlink="">
      <xdr:nvSpPr>
        <xdr:cNvPr id="41" name="Text Box 2">
          <a:extLst>
            <a:ext uri="{FF2B5EF4-FFF2-40B4-BE49-F238E27FC236}">
              <a16:creationId xmlns:a16="http://schemas.microsoft.com/office/drawing/2014/main" id="{00000000-0008-0000-0500-000029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76200</xdr:colOff>
      <xdr:row>8</xdr:row>
      <xdr:rowOff>0</xdr:rowOff>
    </xdr:to>
    <xdr:sp macro="" textlink="">
      <xdr:nvSpPr>
        <xdr:cNvPr id="42" name="Text Box 1">
          <a:extLst>
            <a:ext uri="{FF2B5EF4-FFF2-40B4-BE49-F238E27FC236}">
              <a16:creationId xmlns:a16="http://schemas.microsoft.com/office/drawing/2014/main" id="{00000000-0008-0000-0500-00002A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76200</xdr:colOff>
      <xdr:row>8</xdr:row>
      <xdr:rowOff>0</xdr:rowOff>
    </xdr:to>
    <xdr:sp macro="" textlink="">
      <xdr:nvSpPr>
        <xdr:cNvPr id="43" name="Text Box 1">
          <a:extLst>
            <a:ext uri="{FF2B5EF4-FFF2-40B4-BE49-F238E27FC236}">
              <a16:creationId xmlns:a16="http://schemas.microsoft.com/office/drawing/2014/main" id="{00000000-0008-0000-0500-00002B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76200</xdr:colOff>
      <xdr:row>8</xdr:row>
      <xdr:rowOff>0</xdr:rowOff>
    </xdr:to>
    <xdr:sp macro="" textlink="">
      <xdr:nvSpPr>
        <xdr:cNvPr id="44" name="Text Box 1">
          <a:extLst>
            <a:ext uri="{FF2B5EF4-FFF2-40B4-BE49-F238E27FC236}">
              <a16:creationId xmlns:a16="http://schemas.microsoft.com/office/drawing/2014/main" id="{00000000-0008-0000-0500-00002C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76200</xdr:colOff>
      <xdr:row>8</xdr:row>
      <xdr:rowOff>0</xdr:rowOff>
    </xdr:to>
    <xdr:sp macro="" textlink="">
      <xdr:nvSpPr>
        <xdr:cNvPr id="45" name="Text Box 2">
          <a:extLst>
            <a:ext uri="{FF2B5EF4-FFF2-40B4-BE49-F238E27FC236}">
              <a16:creationId xmlns:a16="http://schemas.microsoft.com/office/drawing/2014/main" id="{00000000-0008-0000-0500-00002D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76200</xdr:colOff>
      <xdr:row>8</xdr:row>
      <xdr:rowOff>0</xdr:rowOff>
    </xdr:to>
    <xdr:sp macro="" textlink="">
      <xdr:nvSpPr>
        <xdr:cNvPr id="46" name="Text Box 1">
          <a:extLst>
            <a:ext uri="{FF2B5EF4-FFF2-40B4-BE49-F238E27FC236}">
              <a16:creationId xmlns:a16="http://schemas.microsoft.com/office/drawing/2014/main" id="{00000000-0008-0000-0500-00002E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76200</xdr:colOff>
      <xdr:row>8</xdr:row>
      <xdr:rowOff>0</xdr:rowOff>
    </xdr:to>
    <xdr:sp macro="" textlink="">
      <xdr:nvSpPr>
        <xdr:cNvPr id="47" name="Text Box 1">
          <a:extLst>
            <a:ext uri="{FF2B5EF4-FFF2-40B4-BE49-F238E27FC236}">
              <a16:creationId xmlns:a16="http://schemas.microsoft.com/office/drawing/2014/main" id="{00000000-0008-0000-0500-00002F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8</xdr:row>
      <xdr:rowOff>0</xdr:rowOff>
    </xdr:from>
    <xdr:to>
      <xdr:col>4</xdr:col>
      <xdr:colOff>76200</xdr:colOff>
      <xdr:row>9</xdr:row>
      <xdr:rowOff>0</xdr:rowOff>
    </xdr:to>
    <xdr:sp macro="" textlink="">
      <xdr:nvSpPr>
        <xdr:cNvPr id="48" name="Text Box 1">
          <a:extLst>
            <a:ext uri="{FF2B5EF4-FFF2-40B4-BE49-F238E27FC236}">
              <a16:creationId xmlns:a16="http://schemas.microsoft.com/office/drawing/2014/main" id="{00000000-0008-0000-0500-000030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8</xdr:row>
      <xdr:rowOff>0</xdr:rowOff>
    </xdr:from>
    <xdr:to>
      <xdr:col>4</xdr:col>
      <xdr:colOff>76200</xdr:colOff>
      <xdr:row>9</xdr:row>
      <xdr:rowOff>0</xdr:rowOff>
    </xdr:to>
    <xdr:sp macro="" textlink="">
      <xdr:nvSpPr>
        <xdr:cNvPr id="49" name="Text Box 2">
          <a:extLst>
            <a:ext uri="{FF2B5EF4-FFF2-40B4-BE49-F238E27FC236}">
              <a16:creationId xmlns:a16="http://schemas.microsoft.com/office/drawing/2014/main" id="{00000000-0008-0000-0500-000031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8</xdr:row>
      <xdr:rowOff>0</xdr:rowOff>
    </xdr:from>
    <xdr:to>
      <xdr:col>4</xdr:col>
      <xdr:colOff>76200</xdr:colOff>
      <xdr:row>9</xdr:row>
      <xdr:rowOff>0</xdr:rowOff>
    </xdr:to>
    <xdr:sp macro="" textlink="">
      <xdr:nvSpPr>
        <xdr:cNvPr id="50" name="Text Box 1">
          <a:extLst>
            <a:ext uri="{FF2B5EF4-FFF2-40B4-BE49-F238E27FC236}">
              <a16:creationId xmlns:a16="http://schemas.microsoft.com/office/drawing/2014/main" id="{00000000-0008-0000-0500-000032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8</xdr:row>
      <xdr:rowOff>0</xdr:rowOff>
    </xdr:from>
    <xdr:to>
      <xdr:col>4</xdr:col>
      <xdr:colOff>76200</xdr:colOff>
      <xdr:row>9</xdr:row>
      <xdr:rowOff>0</xdr:rowOff>
    </xdr:to>
    <xdr:sp macro="" textlink="">
      <xdr:nvSpPr>
        <xdr:cNvPr id="51" name="Text Box 1">
          <a:extLst>
            <a:ext uri="{FF2B5EF4-FFF2-40B4-BE49-F238E27FC236}">
              <a16:creationId xmlns:a16="http://schemas.microsoft.com/office/drawing/2014/main" id="{00000000-0008-0000-0500-000033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8</xdr:row>
      <xdr:rowOff>0</xdr:rowOff>
    </xdr:from>
    <xdr:to>
      <xdr:col>4</xdr:col>
      <xdr:colOff>76200</xdr:colOff>
      <xdr:row>9</xdr:row>
      <xdr:rowOff>0</xdr:rowOff>
    </xdr:to>
    <xdr:sp macro="" textlink="">
      <xdr:nvSpPr>
        <xdr:cNvPr id="52" name="Text Box 1">
          <a:extLst>
            <a:ext uri="{FF2B5EF4-FFF2-40B4-BE49-F238E27FC236}">
              <a16:creationId xmlns:a16="http://schemas.microsoft.com/office/drawing/2014/main" id="{00000000-0008-0000-0500-000034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8</xdr:row>
      <xdr:rowOff>0</xdr:rowOff>
    </xdr:from>
    <xdr:to>
      <xdr:col>4</xdr:col>
      <xdr:colOff>76200</xdr:colOff>
      <xdr:row>9</xdr:row>
      <xdr:rowOff>0</xdr:rowOff>
    </xdr:to>
    <xdr:sp macro="" textlink="">
      <xdr:nvSpPr>
        <xdr:cNvPr id="53" name="Text Box 2">
          <a:extLst>
            <a:ext uri="{FF2B5EF4-FFF2-40B4-BE49-F238E27FC236}">
              <a16:creationId xmlns:a16="http://schemas.microsoft.com/office/drawing/2014/main" id="{00000000-0008-0000-0500-000035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8</xdr:row>
      <xdr:rowOff>0</xdr:rowOff>
    </xdr:from>
    <xdr:to>
      <xdr:col>4</xdr:col>
      <xdr:colOff>76200</xdr:colOff>
      <xdr:row>9</xdr:row>
      <xdr:rowOff>0</xdr:rowOff>
    </xdr:to>
    <xdr:sp macro="" textlink="">
      <xdr:nvSpPr>
        <xdr:cNvPr id="54" name="Text Box 1">
          <a:extLst>
            <a:ext uri="{FF2B5EF4-FFF2-40B4-BE49-F238E27FC236}">
              <a16:creationId xmlns:a16="http://schemas.microsoft.com/office/drawing/2014/main" id="{00000000-0008-0000-0500-000036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8</xdr:row>
      <xdr:rowOff>0</xdr:rowOff>
    </xdr:from>
    <xdr:to>
      <xdr:col>4</xdr:col>
      <xdr:colOff>76200</xdr:colOff>
      <xdr:row>9</xdr:row>
      <xdr:rowOff>0</xdr:rowOff>
    </xdr:to>
    <xdr:sp macro="" textlink="">
      <xdr:nvSpPr>
        <xdr:cNvPr id="55" name="Text Box 1">
          <a:extLst>
            <a:ext uri="{FF2B5EF4-FFF2-40B4-BE49-F238E27FC236}">
              <a16:creationId xmlns:a16="http://schemas.microsoft.com/office/drawing/2014/main" id="{00000000-0008-0000-0500-000037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8</xdr:row>
      <xdr:rowOff>0</xdr:rowOff>
    </xdr:from>
    <xdr:to>
      <xdr:col>4</xdr:col>
      <xdr:colOff>76200</xdr:colOff>
      <xdr:row>9</xdr:row>
      <xdr:rowOff>0</xdr:rowOff>
    </xdr:to>
    <xdr:sp macro="" textlink="">
      <xdr:nvSpPr>
        <xdr:cNvPr id="56" name="Text Box 1">
          <a:extLst>
            <a:ext uri="{FF2B5EF4-FFF2-40B4-BE49-F238E27FC236}">
              <a16:creationId xmlns:a16="http://schemas.microsoft.com/office/drawing/2014/main" id="{00000000-0008-0000-0500-000038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8</xdr:row>
      <xdr:rowOff>0</xdr:rowOff>
    </xdr:from>
    <xdr:to>
      <xdr:col>4</xdr:col>
      <xdr:colOff>76200</xdr:colOff>
      <xdr:row>9</xdr:row>
      <xdr:rowOff>0</xdr:rowOff>
    </xdr:to>
    <xdr:sp macro="" textlink="">
      <xdr:nvSpPr>
        <xdr:cNvPr id="57" name="Text Box 2">
          <a:extLst>
            <a:ext uri="{FF2B5EF4-FFF2-40B4-BE49-F238E27FC236}">
              <a16:creationId xmlns:a16="http://schemas.microsoft.com/office/drawing/2014/main" id="{00000000-0008-0000-0500-000039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8</xdr:row>
      <xdr:rowOff>0</xdr:rowOff>
    </xdr:from>
    <xdr:to>
      <xdr:col>4</xdr:col>
      <xdr:colOff>76200</xdr:colOff>
      <xdr:row>9</xdr:row>
      <xdr:rowOff>0</xdr:rowOff>
    </xdr:to>
    <xdr:sp macro="" textlink="">
      <xdr:nvSpPr>
        <xdr:cNvPr id="58" name="Text Box 1">
          <a:extLst>
            <a:ext uri="{FF2B5EF4-FFF2-40B4-BE49-F238E27FC236}">
              <a16:creationId xmlns:a16="http://schemas.microsoft.com/office/drawing/2014/main" id="{00000000-0008-0000-0500-00003A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8</xdr:row>
      <xdr:rowOff>0</xdr:rowOff>
    </xdr:from>
    <xdr:to>
      <xdr:col>4</xdr:col>
      <xdr:colOff>76200</xdr:colOff>
      <xdr:row>9</xdr:row>
      <xdr:rowOff>0</xdr:rowOff>
    </xdr:to>
    <xdr:sp macro="" textlink="">
      <xdr:nvSpPr>
        <xdr:cNvPr id="59" name="Text Box 1">
          <a:extLst>
            <a:ext uri="{FF2B5EF4-FFF2-40B4-BE49-F238E27FC236}">
              <a16:creationId xmlns:a16="http://schemas.microsoft.com/office/drawing/2014/main" id="{00000000-0008-0000-0500-00003B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8</xdr:row>
      <xdr:rowOff>0</xdr:rowOff>
    </xdr:from>
    <xdr:to>
      <xdr:col>4</xdr:col>
      <xdr:colOff>76200</xdr:colOff>
      <xdr:row>9</xdr:row>
      <xdr:rowOff>0</xdr:rowOff>
    </xdr:to>
    <xdr:sp macro="" textlink="">
      <xdr:nvSpPr>
        <xdr:cNvPr id="60" name="Text Box 1">
          <a:extLst>
            <a:ext uri="{FF2B5EF4-FFF2-40B4-BE49-F238E27FC236}">
              <a16:creationId xmlns:a16="http://schemas.microsoft.com/office/drawing/2014/main" id="{00000000-0008-0000-0500-00003C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8</xdr:row>
      <xdr:rowOff>0</xdr:rowOff>
    </xdr:from>
    <xdr:to>
      <xdr:col>4</xdr:col>
      <xdr:colOff>76200</xdr:colOff>
      <xdr:row>9</xdr:row>
      <xdr:rowOff>0</xdr:rowOff>
    </xdr:to>
    <xdr:sp macro="" textlink="">
      <xdr:nvSpPr>
        <xdr:cNvPr id="61" name="Text Box 2">
          <a:extLst>
            <a:ext uri="{FF2B5EF4-FFF2-40B4-BE49-F238E27FC236}">
              <a16:creationId xmlns:a16="http://schemas.microsoft.com/office/drawing/2014/main" id="{00000000-0008-0000-0500-00003D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8</xdr:row>
      <xdr:rowOff>0</xdr:rowOff>
    </xdr:from>
    <xdr:to>
      <xdr:col>4</xdr:col>
      <xdr:colOff>76200</xdr:colOff>
      <xdr:row>9</xdr:row>
      <xdr:rowOff>0</xdr:rowOff>
    </xdr:to>
    <xdr:sp macro="" textlink="">
      <xdr:nvSpPr>
        <xdr:cNvPr id="62" name="Text Box 1">
          <a:extLst>
            <a:ext uri="{FF2B5EF4-FFF2-40B4-BE49-F238E27FC236}">
              <a16:creationId xmlns:a16="http://schemas.microsoft.com/office/drawing/2014/main" id="{00000000-0008-0000-0500-00003E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8</xdr:row>
      <xdr:rowOff>0</xdr:rowOff>
    </xdr:from>
    <xdr:to>
      <xdr:col>4</xdr:col>
      <xdr:colOff>76200</xdr:colOff>
      <xdr:row>9</xdr:row>
      <xdr:rowOff>0</xdr:rowOff>
    </xdr:to>
    <xdr:sp macro="" textlink="">
      <xdr:nvSpPr>
        <xdr:cNvPr id="63" name="Text Box 1">
          <a:extLst>
            <a:ext uri="{FF2B5EF4-FFF2-40B4-BE49-F238E27FC236}">
              <a16:creationId xmlns:a16="http://schemas.microsoft.com/office/drawing/2014/main" id="{00000000-0008-0000-0500-00003F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8</xdr:row>
      <xdr:rowOff>0</xdr:rowOff>
    </xdr:from>
    <xdr:to>
      <xdr:col>4</xdr:col>
      <xdr:colOff>76200</xdr:colOff>
      <xdr:row>9</xdr:row>
      <xdr:rowOff>0</xdr:rowOff>
    </xdr:to>
    <xdr:sp macro="" textlink="">
      <xdr:nvSpPr>
        <xdr:cNvPr id="64" name="Text Box 2">
          <a:extLst>
            <a:ext uri="{FF2B5EF4-FFF2-40B4-BE49-F238E27FC236}">
              <a16:creationId xmlns:a16="http://schemas.microsoft.com/office/drawing/2014/main" id="{00000000-0008-0000-0500-000040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8</xdr:row>
      <xdr:rowOff>0</xdr:rowOff>
    </xdr:from>
    <xdr:to>
      <xdr:col>4</xdr:col>
      <xdr:colOff>76200</xdr:colOff>
      <xdr:row>9</xdr:row>
      <xdr:rowOff>0</xdr:rowOff>
    </xdr:to>
    <xdr:sp macro="" textlink="">
      <xdr:nvSpPr>
        <xdr:cNvPr id="65" name="Text Box 1">
          <a:extLst>
            <a:ext uri="{FF2B5EF4-FFF2-40B4-BE49-F238E27FC236}">
              <a16:creationId xmlns:a16="http://schemas.microsoft.com/office/drawing/2014/main" id="{00000000-0008-0000-0500-000041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8</xdr:row>
      <xdr:rowOff>0</xdr:rowOff>
    </xdr:from>
    <xdr:to>
      <xdr:col>4</xdr:col>
      <xdr:colOff>76200</xdr:colOff>
      <xdr:row>9</xdr:row>
      <xdr:rowOff>0</xdr:rowOff>
    </xdr:to>
    <xdr:sp macro="" textlink="">
      <xdr:nvSpPr>
        <xdr:cNvPr id="66" name="Text Box 1">
          <a:extLst>
            <a:ext uri="{FF2B5EF4-FFF2-40B4-BE49-F238E27FC236}">
              <a16:creationId xmlns:a16="http://schemas.microsoft.com/office/drawing/2014/main" id="{00000000-0008-0000-0500-000042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8</xdr:row>
      <xdr:rowOff>0</xdr:rowOff>
    </xdr:from>
    <xdr:to>
      <xdr:col>4</xdr:col>
      <xdr:colOff>76200</xdr:colOff>
      <xdr:row>9</xdr:row>
      <xdr:rowOff>0</xdr:rowOff>
    </xdr:to>
    <xdr:sp macro="" textlink="">
      <xdr:nvSpPr>
        <xdr:cNvPr id="67" name="Text Box 1">
          <a:extLst>
            <a:ext uri="{FF2B5EF4-FFF2-40B4-BE49-F238E27FC236}">
              <a16:creationId xmlns:a16="http://schemas.microsoft.com/office/drawing/2014/main" id="{00000000-0008-0000-0500-000043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8</xdr:row>
      <xdr:rowOff>0</xdr:rowOff>
    </xdr:from>
    <xdr:to>
      <xdr:col>4</xdr:col>
      <xdr:colOff>76200</xdr:colOff>
      <xdr:row>9</xdr:row>
      <xdr:rowOff>0</xdr:rowOff>
    </xdr:to>
    <xdr:sp macro="" textlink="">
      <xdr:nvSpPr>
        <xdr:cNvPr id="68" name="Text Box 2">
          <a:extLst>
            <a:ext uri="{FF2B5EF4-FFF2-40B4-BE49-F238E27FC236}">
              <a16:creationId xmlns:a16="http://schemas.microsoft.com/office/drawing/2014/main" id="{00000000-0008-0000-0500-000044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8</xdr:row>
      <xdr:rowOff>0</xdr:rowOff>
    </xdr:from>
    <xdr:to>
      <xdr:col>4</xdr:col>
      <xdr:colOff>76200</xdr:colOff>
      <xdr:row>9</xdr:row>
      <xdr:rowOff>0</xdr:rowOff>
    </xdr:to>
    <xdr:sp macro="" textlink="">
      <xdr:nvSpPr>
        <xdr:cNvPr id="69" name="Text Box 1">
          <a:extLst>
            <a:ext uri="{FF2B5EF4-FFF2-40B4-BE49-F238E27FC236}">
              <a16:creationId xmlns:a16="http://schemas.microsoft.com/office/drawing/2014/main" id="{00000000-0008-0000-0500-000045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8</xdr:row>
      <xdr:rowOff>0</xdr:rowOff>
    </xdr:from>
    <xdr:to>
      <xdr:col>4</xdr:col>
      <xdr:colOff>76200</xdr:colOff>
      <xdr:row>9</xdr:row>
      <xdr:rowOff>0</xdr:rowOff>
    </xdr:to>
    <xdr:sp macro="" textlink="">
      <xdr:nvSpPr>
        <xdr:cNvPr id="70" name="Text Box 1">
          <a:extLst>
            <a:ext uri="{FF2B5EF4-FFF2-40B4-BE49-F238E27FC236}">
              <a16:creationId xmlns:a16="http://schemas.microsoft.com/office/drawing/2014/main" id="{00000000-0008-0000-0500-000046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9</xdr:row>
      <xdr:rowOff>0</xdr:rowOff>
    </xdr:from>
    <xdr:to>
      <xdr:col>4</xdr:col>
      <xdr:colOff>76200</xdr:colOff>
      <xdr:row>10</xdr:row>
      <xdr:rowOff>0</xdr:rowOff>
    </xdr:to>
    <xdr:sp macro="" textlink="">
      <xdr:nvSpPr>
        <xdr:cNvPr id="71" name="Text Box 1">
          <a:extLst>
            <a:ext uri="{FF2B5EF4-FFF2-40B4-BE49-F238E27FC236}">
              <a16:creationId xmlns:a16="http://schemas.microsoft.com/office/drawing/2014/main" id="{00000000-0008-0000-0500-000047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9</xdr:row>
      <xdr:rowOff>0</xdr:rowOff>
    </xdr:from>
    <xdr:to>
      <xdr:col>4</xdr:col>
      <xdr:colOff>76200</xdr:colOff>
      <xdr:row>10</xdr:row>
      <xdr:rowOff>0</xdr:rowOff>
    </xdr:to>
    <xdr:sp macro="" textlink="">
      <xdr:nvSpPr>
        <xdr:cNvPr id="72" name="Text Box 2">
          <a:extLst>
            <a:ext uri="{FF2B5EF4-FFF2-40B4-BE49-F238E27FC236}">
              <a16:creationId xmlns:a16="http://schemas.microsoft.com/office/drawing/2014/main" id="{00000000-0008-0000-0500-000048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9</xdr:row>
      <xdr:rowOff>0</xdr:rowOff>
    </xdr:from>
    <xdr:to>
      <xdr:col>4</xdr:col>
      <xdr:colOff>76200</xdr:colOff>
      <xdr:row>10</xdr:row>
      <xdr:rowOff>0</xdr:rowOff>
    </xdr:to>
    <xdr:sp macro="" textlink="">
      <xdr:nvSpPr>
        <xdr:cNvPr id="73" name="Text Box 1">
          <a:extLst>
            <a:ext uri="{FF2B5EF4-FFF2-40B4-BE49-F238E27FC236}">
              <a16:creationId xmlns:a16="http://schemas.microsoft.com/office/drawing/2014/main" id="{00000000-0008-0000-0500-000049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9</xdr:row>
      <xdr:rowOff>0</xdr:rowOff>
    </xdr:from>
    <xdr:to>
      <xdr:col>4</xdr:col>
      <xdr:colOff>76200</xdr:colOff>
      <xdr:row>10</xdr:row>
      <xdr:rowOff>0</xdr:rowOff>
    </xdr:to>
    <xdr:sp macro="" textlink="">
      <xdr:nvSpPr>
        <xdr:cNvPr id="74" name="Text Box 1">
          <a:extLst>
            <a:ext uri="{FF2B5EF4-FFF2-40B4-BE49-F238E27FC236}">
              <a16:creationId xmlns:a16="http://schemas.microsoft.com/office/drawing/2014/main" id="{00000000-0008-0000-0500-00004A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9</xdr:row>
      <xdr:rowOff>0</xdr:rowOff>
    </xdr:from>
    <xdr:to>
      <xdr:col>4</xdr:col>
      <xdr:colOff>76200</xdr:colOff>
      <xdr:row>10</xdr:row>
      <xdr:rowOff>0</xdr:rowOff>
    </xdr:to>
    <xdr:sp macro="" textlink="">
      <xdr:nvSpPr>
        <xdr:cNvPr id="75" name="Text Box 1">
          <a:extLst>
            <a:ext uri="{FF2B5EF4-FFF2-40B4-BE49-F238E27FC236}">
              <a16:creationId xmlns:a16="http://schemas.microsoft.com/office/drawing/2014/main" id="{00000000-0008-0000-0500-00004B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9</xdr:row>
      <xdr:rowOff>0</xdr:rowOff>
    </xdr:from>
    <xdr:to>
      <xdr:col>4</xdr:col>
      <xdr:colOff>76200</xdr:colOff>
      <xdr:row>10</xdr:row>
      <xdr:rowOff>0</xdr:rowOff>
    </xdr:to>
    <xdr:sp macro="" textlink="">
      <xdr:nvSpPr>
        <xdr:cNvPr id="76" name="Text Box 2">
          <a:extLst>
            <a:ext uri="{FF2B5EF4-FFF2-40B4-BE49-F238E27FC236}">
              <a16:creationId xmlns:a16="http://schemas.microsoft.com/office/drawing/2014/main" id="{00000000-0008-0000-0500-00004C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9</xdr:row>
      <xdr:rowOff>0</xdr:rowOff>
    </xdr:from>
    <xdr:to>
      <xdr:col>4</xdr:col>
      <xdr:colOff>76200</xdr:colOff>
      <xdr:row>10</xdr:row>
      <xdr:rowOff>0</xdr:rowOff>
    </xdr:to>
    <xdr:sp macro="" textlink="">
      <xdr:nvSpPr>
        <xdr:cNvPr id="77" name="Text Box 1">
          <a:extLst>
            <a:ext uri="{FF2B5EF4-FFF2-40B4-BE49-F238E27FC236}">
              <a16:creationId xmlns:a16="http://schemas.microsoft.com/office/drawing/2014/main" id="{00000000-0008-0000-0500-00004D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9</xdr:row>
      <xdr:rowOff>0</xdr:rowOff>
    </xdr:from>
    <xdr:to>
      <xdr:col>4</xdr:col>
      <xdr:colOff>76200</xdr:colOff>
      <xdr:row>10</xdr:row>
      <xdr:rowOff>0</xdr:rowOff>
    </xdr:to>
    <xdr:sp macro="" textlink="">
      <xdr:nvSpPr>
        <xdr:cNvPr id="78" name="Text Box 1">
          <a:extLst>
            <a:ext uri="{FF2B5EF4-FFF2-40B4-BE49-F238E27FC236}">
              <a16:creationId xmlns:a16="http://schemas.microsoft.com/office/drawing/2014/main" id="{00000000-0008-0000-0500-00004E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9</xdr:row>
      <xdr:rowOff>0</xdr:rowOff>
    </xdr:from>
    <xdr:to>
      <xdr:col>4</xdr:col>
      <xdr:colOff>76200</xdr:colOff>
      <xdr:row>10</xdr:row>
      <xdr:rowOff>0</xdr:rowOff>
    </xdr:to>
    <xdr:sp macro="" textlink="">
      <xdr:nvSpPr>
        <xdr:cNvPr id="79" name="Text Box 1">
          <a:extLst>
            <a:ext uri="{FF2B5EF4-FFF2-40B4-BE49-F238E27FC236}">
              <a16:creationId xmlns:a16="http://schemas.microsoft.com/office/drawing/2014/main" id="{00000000-0008-0000-0500-00004F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9</xdr:row>
      <xdr:rowOff>0</xdr:rowOff>
    </xdr:from>
    <xdr:to>
      <xdr:col>4</xdr:col>
      <xdr:colOff>76200</xdr:colOff>
      <xdr:row>10</xdr:row>
      <xdr:rowOff>0</xdr:rowOff>
    </xdr:to>
    <xdr:sp macro="" textlink="">
      <xdr:nvSpPr>
        <xdr:cNvPr id="80" name="Text Box 2">
          <a:extLst>
            <a:ext uri="{FF2B5EF4-FFF2-40B4-BE49-F238E27FC236}">
              <a16:creationId xmlns:a16="http://schemas.microsoft.com/office/drawing/2014/main" id="{00000000-0008-0000-0500-000050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9</xdr:row>
      <xdr:rowOff>0</xdr:rowOff>
    </xdr:from>
    <xdr:to>
      <xdr:col>4</xdr:col>
      <xdr:colOff>76200</xdr:colOff>
      <xdr:row>10</xdr:row>
      <xdr:rowOff>0</xdr:rowOff>
    </xdr:to>
    <xdr:sp macro="" textlink="">
      <xdr:nvSpPr>
        <xdr:cNvPr id="81" name="Text Box 1">
          <a:extLst>
            <a:ext uri="{FF2B5EF4-FFF2-40B4-BE49-F238E27FC236}">
              <a16:creationId xmlns:a16="http://schemas.microsoft.com/office/drawing/2014/main" id="{00000000-0008-0000-0500-000051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9</xdr:row>
      <xdr:rowOff>0</xdr:rowOff>
    </xdr:from>
    <xdr:to>
      <xdr:col>4</xdr:col>
      <xdr:colOff>76200</xdr:colOff>
      <xdr:row>10</xdr:row>
      <xdr:rowOff>0</xdr:rowOff>
    </xdr:to>
    <xdr:sp macro="" textlink="">
      <xdr:nvSpPr>
        <xdr:cNvPr id="82" name="Text Box 1">
          <a:extLst>
            <a:ext uri="{FF2B5EF4-FFF2-40B4-BE49-F238E27FC236}">
              <a16:creationId xmlns:a16="http://schemas.microsoft.com/office/drawing/2014/main" id="{00000000-0008-0000-0500-000052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9</xdr:row>
      <xdr:rowOff>0</xdr:rowOff>
    </xdr:from>
    <xdr:to>
      <xdr:col>4</xdr:col>
      <xdr:colOff>76200</xdr:colOff>
      <xdr:row>10</xdr:row>
      <xdr:rowOff>0</xdr:rowOff>
    </xdr:to>
    <xdr:sp macro="" textlink="">
      <xdr:nvSpPr>
        <xdr:cNvPr id="83" name="Text Box 1">
          <a:extLst>
            <a:ext uri="{FF2B5EF4-FFF2-40B4-BE49-F238E27FC236}">
              <a16:creationId xmlns:a16="http://schemas.microsoft.com/office/drawing/2014/main" id="{00000000-0008-0000-0500-000053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9</xdr:row>
      <xdr:rowOff>0</xdr:rowOff>
    </xdr:from>
    <xdr:to>
      <xdr:col>4</xdr:col>
      <xdr:colOff>76200</xdr:colOff>
      <xdr:row>10</xdr:row>
      <xdr:rowOff>0</xdr:rowOff>
    </xdr:to>
    <xdr:sp macro="" textlink="">
      <xdr:nvSpPr>
        <xdr:cNvPr id="84" name="Text Box 2">
          <a:extLst>
            <a:ext uri="{FF2B5EF4-FFF2-40B4-BE49-F238E27FC236}">
              <a16:creationId xmlns:a16="http://schemas.microsoft.com/office/drawing/2014/main" id="{00000000-0008-0000-0500-000054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9</xdr:row>
      <xdr:rowOff>0</xdr:rowOff>
    </xdr:from>
    <xdr:to>
      <xdr:col>4</xdr:col>
      <xdr:colOff>76200</xdr:colOff>
      <xdr:row>10</xdr:row>
      <xdr:rowOff>0</xdr:rowOff>
    </xdr:to>
    <xdr:sp macro="" textlink="">
      <xdr:nvSpPr>
        <xdr:cNvPr id="85" name="Text Box 1">
          <a:extLst>
            <a:ext uri="{FF2B5EF4-FFF2-40B4-BE49-F238E27FC236}">
              <a16:creationId xmlns:a16="http://schemas.microsoft.com/office/drawing/2014/main" id="{00000000-0008-0000-0500-000055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9</xdr:row>
      <xdr:rowOff>0</xdr:rowOff>
    </xdr:from>
    <xdr:to>
      <xdr:col>4</xdr:col>
      <xdr:colOff>76200</xdr:colOff>
      <xdr:row>10</xdr:row>
      <xdr:rowOff>0</xdr:rowOff>
    </xdr:to>
    <xdr:sp macro="" textlink="">
      <xdr:nvSpPr>
        <xdr:cNvPr id="86" name="Text Box 1">
          <a:extLst>
            <a:ext uri="{FF2B5EF4-FFF2-40B4-BE49-F238E27FC236}">
              <a16:creationId xmlns:a16="http://schemas.microsoft.com/office/drawing/2014/main" id="{00000000-0008-0000-0500-000056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9</xdr:row>
      <xdr:rowOff>0</xdr:rowOff>
    </xdr:from>
    <xdr:to>
      <xdr:col>4</xdr:col>
      <xdr:colOff>76200</xdr:colOff>
      <xdr:row>10</xdr:row>
      <xdr:rowOff>0</xdr:rowOff>
    </xdr:to>
    <xdr:sp macro="" textlink="">
      <xdr:nvSpPr>
        <xdr:cNvPr id="87" name="Text Box 2">
          <a:extLst>
            <a:ext uri="{FF2B5EF4-FFF2-40B4-BE49-F238E27FC236}">
              <a16:creationId xmlns:a16="http://schemas.microsoft.com/office/drawing/2014/main" id="{00000000-0008-0000-0500-000057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9</xdr:row>
      <xdr:rowOff>0</xdr:rowOff>
    </xdr:from>
    <xdr:to>
      <xdr:col>4</xdr:col>
      <xdr:colOff>76200</xdr:colOff>
      <xdr:row>10</xdr:row>
      <xdr:rowOff>0</xdr:rowOff>
    </xdr:to>
    <xdr:sp macro="" textlink="">
      <xdr:nvSpPr>
        <xdr:cNvPr id="88" name="Text Box 1">
          <a:extLst>
            <a:ext uri="{FF2B5EF4-FFF2-40B4-BE49-F238E27FC236}">
              <a16:creationId xmlns:a16="http://schemas.microsoft.com/office/drawing/2014/main" id="{00000000-0008-0000-0500-000058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9</xdr:row>
      <xdr:rowOff>0</xdr:rowOff>
    </xdr:from>
    <xdr:to>
      <xdr:col>4</xdr:col>
      <xdr:colOff>76200</xdr:colOff>
      <xdr:row>10</xdr:row>
      <xdr:rowOff>0</xdr:rowOff>
    </xdr:to>
    <xdr:sp macro="" textlink="">
      <xdr:nvSpPr>
        <xdr:cNvPr id="89" name="Text Box 1">
          <a:extLst>
            <a:ext uri="{FF2B5EF4-FFF2-40B4-BE49-F238E27FC236}">
              <a16:creationId xmlns:a16="http://schemas.microsoft.com/office/drawing/2014/main" id="{00000000-0008-0000-0500-000059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9</xdr:row>
      <xdr:rowOff>0</xdr:rowOff>
    </xdr:from>
    <xdr:to>
      <xdr:col>4</xdr:col>
      <xdr:colOff>76200</xdr:colOff>
      <xdr:row>10</xdr:row>
      <xdr:rowOff>0</xdr:rowOff>
    </xdr:to>
    <xdr:sp macro="" textlink="">
      <xdr:nvSpPr>
        <xdr:cNvPr id="90" name="Text Box 1">
          <a:extLst>
            <a:ext uri="{FF2B5EF4-FFF2-40B4-BE49-F238E27FC236}">
              <a16:creationId xmlns:a16="http://schemas.microsoft.com/office/drawing/2014/main" id="{00000000-0008-0000-0500-00005A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9</xdr:row>
      <xdr:rowOff>0</xdr:rowOff>
    </xdr:from>
    <xdr:to>
      <xdr:col>4</xdr:col>
      <xdr:colOff>76200</xdr:colOff>
      <xdr:row>10</xdr:row>
      <xdr:rowOff>0</xdr:rowOff>
    </xdr:to>
    <xdr:sp macro="" textlink="">
      <xdr:nvSpPr>
        <xdr:cNvPr id="91" name="Text Box 2">
          <a:extLst>
            <a:ext uri="{FF2B5EF4-FFF2-40B4-BE49-F238E27FC236}">
              <a16:creationId xmlns:a16="http://schemas.microsoft.com/office/drawing/2014/main" id="{00000000-0008-0000-0500-00005B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9</xdr:row>
      <xdr:rowOff>0</xdr:rowOff>
    </xdr:from>
    <xdr:to>
      <xdr:col>4</xdr:col>
      <xdr:colOff>76200</xdr:colOff>
      <xdr:row>10</xdr:row>
      <xdr:rowOff>0</xdr:rowOff>
    </xdr:to>
    <xdr:sp macro="" textlink="">
      <xdr:nvSpPr>
        <xdr:cNvPr id="92" name="Text Box 1">
          <a:extLst>
            <a:ext uri="{FF2B5EF4-FFF2-40B4-BE49-F238E27FC236}">
              <a16:creationId xmlns:a16="http://schemas.microsoft.com/office/drawing/2014/main" id="{00000000-0008-0000-0500-00005C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9</xdr:row>
      <xdr:rowOff>0</xdr:rowOff>
    </xdr:from>
    <xdr:to>
      <xdr:col>4</xdr:col>
      <xdr:colOff>76200</xdr:colOff>
      <xdr:row>10</xdr:row>
      <xdr:rowOff>0</xdr:rowOff>
    </xdr:to>
    <xdr:sp macro="" textlink="">
      <xdr:nvSpPr>
        <xdr:cNvPr id="93" name="Text Box 1">
          <a:extLst>
            <a:ext uri="{FF2B5EF4-FFF2-40B4-BE49-F238E27FC236}">
              <a16:creationId xmlns:a16="http://schemas.microsoft.com/office/drawing/2014/main" id="{00000000-0008-0000-0500-00005D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10</xdr:row>
      <xdr:rowOff>0</xdr:rowOff>
    </xdr:from>
    <xdr:to>
      <xdr:col>4</xdr:col>
      <xdr:colOff>76200</xdr:colOff>
      <xdr:row>11</xdr:row>
      <xdr:rowOff>0</xdr:rowOff>
    </xdr:to>
    <xdr:sp macro="" textlink="">
      <xdr:nvSpPr>
        <xdr:cNvPr id="94" name="Text Box 1">
          <a:extLst>
            <a:ext uri="{FF2B5EF4-FFF2-40B4-BE49-F238E27FC236}">
              <a16:creationId xmlns:a16="http://schemas.microsoft.com/office/drawing/2014/main" id="{00000000-0008-0000-0500-00005E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10</xdr:row>
      <xdr:rowOff>0</xdr:rowOff>
    </xdr:from>
    <xdr:to>
      <xdr:col>4</xdr:col>
      <xdr:colOff>76200</xdr:colOff>
      <xdr:row>11</xdr:row>
      <xdr:rowOff>0</xdr:rowOff>
    </xdr:to>
    <xdr:sp macro="" textlink="">
      <xdr:nvSpPr>
        <xdr:cNvPr id="95" name="Text Box 2">
          <a:extLst>
            <a:ext uri="{FF2B5EF4-FFF2-40B4-BE49-F238E27FC236}">
              <a16:creationId xmlns:a16="http://schemas.microsoft.com/office/drawing/2014/main" id="{00000000-0008-0000-0500-00005F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10</xdr:row>
      <xdr:rowOff>0</xdr:rowOff>
    </xdr:from>
    <xdr:to>
      <xdr:col>4</xdr:col>
      <xdr:colOff>76200</xdr:colOff>
      <xdr:row>11</xdr:row>
      <xdr:rowOff>0</xdr:rowOff>
    </xdr:to>
    <xdr:sp macro="" textlink="">
      <xdr:nvSpPr>
        <xdr:cNvPr id="96" name="Text Box 1">
          <a:extLst>
            <a:ext uri="{FF2B5EF4-FFF2-40B4-BE49-F238E27FC236}">
              <a16:creationId xmlns:a16="http://schemas.microsoft.com/office/drawing/2014/main" id="{00000000-0008-0000-0500-000060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10</xdr:row>
      <xdr:rowOff>0</xdr:rowOff>
    </xdr:from>
    <xdr:to>
      <xdr:col>4</xdr:col>
      <xdr:colOff>76200</xdr:colOff>
      <xdr:row>11</xdr:row>
      <xdr:rowOff>0</xdr:rowOff>
    </xdr:to>
    <xdr:sp macro="" textlink="">
      <xdr:nvSpPr>
        <xdr:cNvPr id="97" name="Text Box 1">
          <a:extLst>
            <a:ext uri="{FF2B5EF4-FFF2-40B4-BE49-F238E27FC236}">
              <a16:creationId xmlns:a16="http://schemas.microsoft.com/office/drawing/2014/main" id="{00000000-0008-0000-0500-000061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10</xdr:row>
      <xdr:rowOff>0</xdr:rowOff>
    </xdr:from>
    <xdr:to>
      <xdr:col>4</xdr:col>
      <xdr:colOff>76200</xdr:colOff>
      <xdr:row>11</xdr:row>
      <xdr:rowOff>0</xdr:rowOff>
    </xdr:to>
    <xdr:sp macro="" textlink="">
      <xdr:nvSpPr>
        <xdr:cNvPr id="98" name="Text Box 1">
          <a:extLst>
            <a:ext uri="{FF2B5EF4-FFF2-40B4-BE49-F238E27FC236}">
              <a16:creationId xmlns:a16="http://schemas.microsoft.com/office/drawing/2014/main" id="{00000000-0008-0000-0500-000062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10</xdr:row>
      <xdr:rowOff>0</xdr:rowOff>
    </xdr:from>
    <xdr:to>
      <xdr:col>4</xdr:col>
      <xdr:colOff>76200</xdr:colOff>
      <xdr:row>11</xdr:row>
      <xdr:rowOff>0</xdr:rowOff>
    </xdr:to>
    <xdr:sp macro="" textlink="">
      <xdr:nvSpPr>
        <xdr:cNvPr id="99" name="Text Box 2">
          <a:extLst>
            <a:ext uri="{FF2B5EF4-FFF2-40B4-BE49-F238E27FC236}">
              <a16:creationId xmlns:a16="http://schemas.microsoft.com/office/drawing/2014/main" id="{00000000-0008-0000-0500-000063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10</xdr:row>
      <xdr:rowOff>0</xdr:rowOff>
    </xdr:from>
    <xdr:to>
      <xdr:col>4</xdr:col>
      <xdr:colOff>76200</xdr:colOff>
      <xdr:row>11</xdr:row>
      <xdr:rowOff>0</xdr:rowOff>
    </xdr:to>
    <xdr:sp macro="" textlink="">
      <xdr:nvSpPr>
        <xdr:cNvPr id="100" name="Text Box 1">
          <a:extLst>
            <a:ext uri="{FF2B5EF4-FFF2-40B4-BE49-F238E27FC236}">
              <a16:creationId xmlns:a16="http://schemas.microsoft.com/office/drawing/2014/main" id="{00000000-0008-0000-0500-000064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10</xdr:row>
      <xdr:rowOff>0</xdr:rowOff>
    </xdr:from>
    <xdr:to>
      <xdr:col>4</xdr:col>
      <xdr:colOff>76200</xdr:colOff>
      <xdr:row>11</xdr:row>
      <xdr:rowOff>0</xdr:rowOff>
    </xdr:to>
    <xdr:sp macro="" textlink="">
      <xdr:nvSpPr>
        <xdr:cNvPr id="101" name="Text Box 1">
          <a:extLst>
            <a:ext uri="{FF2B5EF4-FFF2-40B4-BE49-F238E27FC236}">
              <a16:creationId xmlns:a16="http://schemas.microsoft.com/office/drawing/2014/main" id="{00000000-0008-0000-0500-000065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10</xdr:row>
      <xdr:rowOff>0</xdr:rowOff>
    </xdr:from>
    <xdr:to>
      <xdr:col>4</xdr:col>
      <xdr:colOff>76200</xdr:colOff>
      <xdr:row>11</xdr:row>
      <xdr:rowOff>0</xdr:rowOff>
    </xdr:to>
    <xdr:sp macro="" textlink="">
      <xdr:nvSpPr>
        <xdr:cNvPr id="102" name="Text Box 1">
          <a:extLst>
            <a:ext uri="{FF2B5EF4-FFF2-40B4-BE49-F238E27FC236}">
              <a16:creationId xmlns:a16="http://schemas.microsoft.com/office/drawing/2014/main" id="{00000000-0008-0000-0500-000066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10</xdr:row>
      <xdr:rowOff>0</xdr:rowOff>
    </xdr:from>
    <xdr:to>
      <xdr:col>4</xdr:col>
      <xdr:colOff>76200</xdr:colOff>
      <xdr:row>11</xdr:row>
      <xdr:rowOff>0</xdr:rowOff>
    </xdr:to>
    <xdr:sp macro="" textlink="">
      <xdr:nvSpPr>
        <xdr:cNvPr id="103" name="Text Box 2">
          <a:extLst>
            <a:ext uri="{FF2B5EF4-FFF2-40B4-BE49-F238E27FC236}">
              <a16:creationId xmlns:a16="http://schemas.microsoft.com/office/drawing/2014/main" id="{00000000-0008-0000-0500-000067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10</xdr:row>
      <xdr:rowOff>0</xdr:rowOff>
    </xdr:from>
    <xdr:to>
      <xdr:col>4</xdr:col>
      <xdr:colOff>76200</xdr:colOff>
      <xdr:row>11</xdr:row>
      <xdr:rowOff>0</xdr:rowOff>
    </xdr:to>
    <xdr:sp macro="" textlink="">
      <xdr:nvSpPr>
        <xdr:cNvPr id="104" name="Text Box 1">
          <a:extLst>
            <a:ext uri="{FF2B5EF4-FFF2-40B4-BE49-F238E27FC236}">
              <a16:creationId xmlns:a16="http://schemas.microsoft.com/office/drawing/2014/main" id="{00000000-0008-0000-0500-000068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10</xdr:row>
      <xdr:rowOff>0</xdr:rowOff>
    </xdr:from>
    <xdr:to>
      <xdr:col>4</xdr:col>
      <xdr:colOff>76200</xdr:colOff>
      <xdr:row>11</xdr:row>
      <xdr:rowOff>0</xdr:rowOff>
    </xdr:to>
    <xdr:sp macro="" textlink="">
      <xdr:nvSpPr>
        <xdr:cNvPr id="105" name="Text Box 1">
          <a:extLst>
            <a:ext uri="{FF2B5EF4-FFF2-40B4-BE49-F238E27FC236}">
              <a16:creationId xmlns:a16="http://schemas.microsoft.com/office/drawing/2014/main" id="{00000000-0008-0000-0500-000069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10</xdr:row>
      <xdr:rowOff>0</xdr:rowOff>
    </xdr:from>
    <xdr:to>
      <xdr:col>4</xdr:col>
      <xdr:colOff>76200</xdr:colOff>
      <xdr:row>11</xdr:row>
      <xdr:rowOff>0</xdr:rowOff>
    </xdr:to>
    <xdr:sp macro="" textlink="">
      <xdr:nvSpPr>
        <xdr:cNvPr id="106" name="Text Box 1">
          <a:extLst>
            <a:ext uri="{FF2B5EF4-FFF2-40B4-BE49-F238E27FC236}">
              <a16:creationId xmlns:a16="http://schemas.microsoft.com/office/drawing/2014/main" id="{00000000-0008-0000-0500-00006A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10</xdr:row>
      <xdr:rowOff>0</xdr:rowOff>
    </xdr:from>
    <xdr:to>
      <xdr:col>4</xdr:col>
      <xdr:colOff>76200</xdr:colOff>
      <xdr:row>11</xdr:row>
      <xdr:rowOff>0</xdr:rowOff>
    </xdr:to>
    <xdr:sp macro="" textlink="">
      <xdr:nvSpPr>
        <xdr:cNvPr id="107" name="Text Box 2">
          <a:extLst>
            <a:ext uri="{FF2B5EF4-FFF2-40B4-BE49-F238E27FC236}">
              <a16:creationId xmlns:a16="http://schemas.microsoft.com/office/drawing/2014/main" id="{00000000-0008-0000-0500-00006B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10</xdr:row>
      <xdr:rowOff>0</xdr:rowOff>
    </xdr:from>
    <xdr:to>
      <xdr:col>4</xdr:col>
      <xdr:colOff>76200</xdr:colOff>
      <xdr:row>11</xdr:row>
      <xdr:rowOff>0</xdr:rowOff>
    </xdr:to>
    <xdr:sp macro="" textlink="">
      <xdr:nvSpPr>
        <xdr:cNvPr id="108" name="Text Box 1">
          <a:extLst>
            <a:ext uri="{FF2B5EF4-FFF2-40B4-BE49-F238E27FC236}">
              <a16:creationId xmlns:a16="http://schemas.microsoft.com/office/drawing/2014/main" id="{00000000-0008-0000-0500-00006C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10</xdr:row>
      <xdr:rowOff>0</xdr:rowOff>
    </xdr:from>
    <xdr:to>
      <xdr:col>4</xdr:col>
      <xdr:colOff>76200</xdr:colOff>
      <xdr:row>11</xdr:row>
      <xdr:rowOff>0</xdr:rowOff>
    </xdr:to>
    <xdr:sp macro="" textlink="">
      <xdr:nvSpPr>
        <xdr:cNvPr id="109" name="Text Box 1">
          <a:extLst>
            <a:ext uri="{FF2B5EF4-FFF2-40B4-BE49-F238E27FC236}">
              <a16:creationId xmlns:a16="http://schemas.microsoft.com/office/drawing/2014/main" id="{00000000-0008-0000-0500-00006D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10</xdr:row>
      <xdr:rowOff>0</xdr:rowOff>
    </xdr:from>
    <xdr:to>
      <xdr:col>4</xdr:col>
      <xdr:colOff>76200</xdr:colOff>
      <xdr:row>11</xdr:row>
      <xdr:rowOff>0</xdr:rowOff>
    </xdr:to>
    <xdr:sp macro="" textlink="">
      <xdr:nvSpPr>
        <xdr:cNvPr id="110" name="Text Box 2">
          <a:extLst>
            <a:ext uri="{FF2B5EF4-FFF2-40B4-BE49-F238E27FC236}">
              <a16:creationId xmlns:a16="http://schemas.microsoft.com/office/drawing/2014/main" id="{00000000-0008-0000-0500-00006E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10</xdr:row>
      <xdr:rowOff>0</xdr:rowOff>
    </xdr:from>
    <xdr:to>
      <xdr:col>4</xdr:col>
      <xdr:colOff>76200</xdr:colOff>
      <xdr:row>11</xdr:row>
      <xdr:rowOff>0</xdr:rowOff>
    </xdr:to>
    <xdr:sp macro="" textlink="">
      <xdr:nvSpPr>
        <xdr:cNvPr id="111" name="Text Box 1">
          <a:extLst>
            <a:ext uri="{FF2B5EF4-FFF2-40B4-BE49-F238E27FC236}">
              <a16:creationId xmlns:a16="http://schemas.microsoft.com/office/drawing/2014/main" id="{00000000-0008-0000-0500-00006F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10</xdr:row>
      <xdr:rowOff>0</xdr:rowOff>
    </xdr:from>
    <xdr:to>
      <xdr:col>4</xdr:col>
      <xdr:colOff>76200</xdr:colOff>
      <xdr:row>11</xdr:row>
      <xdr:rowOff>0</xdr:rowOff>
    </xdr:to>
    <xdr:sp macro="" textlink="">
      <xdr:nvSpPr>
        <xdr:cNvPr id="112" name="Text Box 1">
          <a:extLst>
            <a:ext uri="{FF2B5EF4-FFF2-40B4-BE49-F238E27FC236}">
              <a16:creationId xmlns:a16="http://schemas.microsoft.com/office/drawing/2014/main" id="{00000000-0008-0000-0500-000070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10</xdr:row>
      <xdr:rowOff>0</xdr:rowOff>
    </xdr:from>
    <xdr:to>
      <xdr:col>4</xdr:col>
      <xdr:colOff>76200</xdr:colOff>
      <xdr:row>11</xdr:row>
      <xdr:rowOff>0</xdr:rowOff>
    </xdr:to>
    <xdr:sp macro="" textlink="">
      <xdr:nvSpPr>
        <xdr:cNvPr id="113" name="Text Box 1">
          <a:extLst>
            <a:ext uri="{FF2B5EF4-FFF2-40B4-BE49-F238E27FC236}">
              <a16:creationId xmlns:a16="http://schemas.microsoft.com/office/drawing/2014/main" id="{00000000-0008-0000-0500-000071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10</xdr:row>
      <xdr:rowOff>0</xdr:rowOff>
    </xdr:from>
    <xdr:to>
      <xdr:col>4</xdr:col>
      <xdr:colOff>76200</xdr:colOff>
      <xdr:row>11</xdr:row>
      <xdr:rowOff>0</xdr:rowOff>
    </xdr:to>
    <xdr:sp macro="" textlink="">
      <xdr:nvSpPr>
        <xdr:cNvPr id="114" name="Text Box 2">
          <a:extLst>
            <a:ext uri="{FF2B5EF4-FFF2-40B4-BE49-F238E27FC236}">
              <a16:creationId xmlns:a16="http://schemas.microsoft.com/office/drawing/2014/main" id="{00000000-0008-0000-0500-000072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10</xdr:row>
      <xdr:rowOff>0</xdr:rowOff>
    </xdr:from>
    <xdr:to>
      <xdr:col>4</xdr:col>
      <xdr:colOff>76200</xdr:colOff>
      <xdr:row>11</xdr:row>
      <xdr:rowOff>0</xdr:rowOff>
    </xdr:to>
    <xdr:sp macro="" textlink="">
      <xdr:nvSpPr>
        <xdr:cNvPr id="115" name="Text Box 1">
          <a:extLst>
            <a:ext uri="{FF2B5EF4-FFF2-40B4-BE49-F238E27FC236}">
              <a16:creationId xmlns:a16="http://schemas.microsoft.com/office/drawing/2014/main" id="{00000000-0008-0000-0500-000073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10</xdr:row>
      <xdr:rowOff>0</xdr:rowOff>
    </xdr:from>
    <xdr:to>
      <xdr:col>4</xdr:col>
      <xdr:colOff>76200</xdr:colOff>
      <xdr:row>11</xdr:row>
      <xdr:rowOff>0</xdr:rowOff>
    </xdr:to>
    <xdr:sp macro="" textlink="">
      <xdr:nvSpPr>
        <xdr:cNvPr id="116" name="Text Box 1">
          <a:extLst>
            <a:ext uri="{FF2B5EF4-FFF2-40B4-BE49-F238E27FC236}">
              <a16:creationId xmlns:a16="http://schemas.microsoft.com/office/drawing/2014/main" id="{00000000-0008-0000-0500-000074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76200</xdr:colOff>
      <xdr:row>12</xdr:row>
      <xdr:rowOff>0</xdr:rowOff>
    </xdr:to>
    <xdr:sp macro="" textlink="">
      <xdr:nvSpPr>
        <xdr:cNvPr id="117" name="Text Box 1">
          <a:extLst>
            <a:ext uri="{FF2B5EF4-FFF2-40B4-BE49-F238E27FC236}">
              <a16:creationId xmlns:a16="http://schemas.microsoft.com/office/drawing/2014/main" id="{00000000-0008-0000-0500-000075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76200</xdr:colOff>
      <xdr:row>12</xdr:row>
      <xdr:rowOff>0</xdr:rowOff>
    </xdr:to>
    <xdr:sp macro="" textlink="">
      <xdr:nvSpPr>
        <xdr:cNvPr id="118" name="Text Box 2">
          <a:extLst>
            <a:ext uri="{FF2B5EF4-FFF2-40B4-BE49-F238E27FC236}">
              <a16:creationId xmlns:a16="http://schemas.microsoft.com/office/drawing/2014/main" id="{00000000-0008-0000-0500-000076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76200</xdr:colOff>
      <xdr:row>12</xdr:row>
      <xdr:rowOff>0</xdr:rowOff>
    </xdr:to>
    <xdr:sp macro="" textlink="">
      <xdr:nvSpPr>
        <xdr:cNvPr id="119" name="Text Box 1">
          <a:extLst>
            <a:ext uri="{FF2B5EF4-FFF2-40B4-BE49-F238E27FC236}">
              <a16:creationId xmlns:a16="http://schemas.microsoft.com/office/drawing/2014/main" id="{00000000-0008-0000-0500-000077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76200</xdr:colOff>
      <xdr:row>12</xdr:row>
      <xdr:rowOff>0</xdr:rowOff>
    </xdr:to>
    <xdr:sp macro="" textlink="">
      <xdr:nvSpPr>
        <xdr:cNvPr id="120" name="Text Box 1">
          <a:extLst>
            <a:ext uri="{FF2B5EF4-FFF2-40B4-BE49-F238E27FC236}">
              <a16:creationId xmlns:a16="http://schemas.microsoft.com/office/drawing/2014/main" id="{00000000-0008-0000-0500-000078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76200</xdr:colOff>
      <xdr:row>12</xdr:row>
      <xdr:rowOff>0</xdr:rowOff>
    </xdr:to>
    <xdr:sp macro="" textlink="">
      <xdr:nvSpPr>
        <xdr:cNvPr id="121" name="Text Box 1">
          <a:extLst>
            <a:ext uri="{FF2B5EF4-FFF2-40B4-BE49-F238E27FC236}">
              <a16:creationId xmlns:a16="http://schemas.microsoft.com/office/drawing/2014/main" id="{00000000-0008-0000-0500-000079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76200</xdr:colOff>
      <xdr:row>12</xdr:row>
      <xdr:rowOff>0</xdr:rowOff>
    </xdr:to>
    <xdr:sp macro="" textlink="">
      <xdr:nvSpPr>
        <xdr:cNvPr id="122" name="Text Box 2">
          <a:extLst>
            <a:ext uri="{FF2B5EF4-FFF2-40B4-BE49-F238E27FC236}">
              <a16:creationId xmlns:a16="http://schemas.microsoft.com/office/drawing/2014/main" id="{00000000-0008-0000-0500-00007A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76200</xdr:colOff>
      <xdr:row>12</xdr:row>
      <xdr:rowOff>0</xdr:rowOff>
    </xdr:to>
    <xdr:sp macro="" textlink="">
      <xdr:nvSpPr>
        <xdr:cNvPr id="123" name="Text Box 1">
          <a:extLst>
            <a:ext uri="{FF2B5EF4-FFF2-40B4-BE49-F238E27FC236}">
              <a16:creationId xmlns:a16="http://schemas.microsoft.com/office/drawing/2014/main" id="{00000000-0008-0000-0500-00007B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76200</xdr:colOff>
      <xdr:row>12</xdr:row>
      <xdr:rowOff>0</xdr:rowOff>
    </xdr:to>
    <xdr:sp macro="" textlink="">
      <xdr:nvSpPr>
        <xdr:cNvPr id="124" name="Text Box 1">
          <a:extLst>
            <a:ext uri="{FF2B5EF4-FFF2-40B4-BE49-F238E27FC236}">
              <a16:creationId xmlns:a16="http://schemas.microsoft.com/office/drawing/2014/main" id="{00000000-0008-0000-0500-00007C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76200</xdr:colOff>
      <xdr:row>12</xdr:row>
      <xdr:rowOff>0</xdr:rowOff>
    </xdr:to>
    <xdr:sp macro="" textlink="">
      <xdr:nvSpPr>
        <xdr:cNvPr id="125" name="Text Box 1">
          <a:extLst>
            <a:ext uri="{FF2B5EF4-FFF2-40B4-BE49-F238E27FC236}">
              <a16:creationId xmlns:a16="http://schemas.microsoft.com/office/drawing/2014/main" id="{00000000-0008-0000-0500-00007D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76200</xdr:colOff>
      <xdr:row>12</xdr:row>
      <xdr:rowOff>0</xdr:rowOff>
    </xdr:to>
    <xdr:sp macro="" textlink="">
      <xdr:nvSpPr>
        <xdr:cNvPr id="126" name="Text Box 2">
          <a:extLst>
            <a:ext uri="{FF2B5EF4-FFF2-40B4-BE49-F238E27FC236}">
              <a16:creationId xmlns:a16="http://schemas.microsoft.com/office/drawing/2014/main" id="{00000000-0008-0000-0500-00007E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76200</xdr:colOff>
      <xdr:row>12</xdr:row>
      <xdr:rowOff>0</xdr:rowOff>
    </xdr:to>
    <xdr:sp macro="" textlink="">
      <xdr:nvSpPr>
        <xdr:cNvPr id="127" name="Text Box 1">
          <a:extLst>
            <a:ext uri="{FF2B5EF4-FFF2-40B4-BE49-F238E27FC236}">
              <a16:creationId xmlns:a16="http://schemas.microsoft.com/office/drawing/2014/main" id="{00000000-0008-0000-0500-00007F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76200</xdr:colOff>
      <xdr:row>12</xdr:row>
      <xdr:rowOff>0</xdr:rowOff>
    </xdr:to>
    <xdr:sp macro="" textlink="">
      <xdr:nvSpPr>
        <xdr:cNvPr id="128" name="Text Box 1">
          <a:extLst>
            <a:ext uri="{FF2B5EF4-FFF2-40B4-BE49-F238E27FC236}">
              <a16:creationId xmlns:a16="http://schemas.microsoft.com/office/drawing/2014/main" id="{00000000-0008-0000-0500-000080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76200</xdr:colOff>
      <xdr:row>12</xdr:row>
      <xdr:rowOff>0</xdr:rowOff>
    </xdr:to>
    <xdr:sp macro="" textlink="">
      <xdr:nvSpPr>
        <xdr:cNvPr id="129" name="Text Box 1">
          <a:extLst>
            <a:ext uri="{FF2B5EF4-FFF2-40B4-BE49-F238E27FC236}">
              <a16:creationId xmlns:a16="http://schemas.microsoft.com/office/drawing/2014/main" id="{00000000-0008-0000-0500-000081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76200</xdr:colOff>
      <xdr:row>12</xdr:row>
      <xdr:rowOff>0</xdr:rowOff>
    </xdr:to>
    <xdr:sp macro="" textlink="">
      <xdr:nvSpPr>
        <xdr:cNvPr id="130" name="Text Box 2">
          <a:extLst>
            <a:ext uri="{FF2B5EF4-FFF2-40B4-BE49-F238E27FC236}">
              <a16:creationId xmlns:a16="http://schemas.microsoft.com/office/drawing/2014/main" id="{00000000-0008-0000-0500-000082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76200</xdr:colOff>
      <xdr:row>12</xdr:row>
      <xdr:rowOff>0</xdr:rowOff>
    </xdr:to>
    <xdr:sp macro="" textlink="">
      <xdr:nvSpPr>
        <xdr:cNvPr id="131" name="Text Box 1">
          <a:extLst>
            <a:ext uri="{FF2B5EF4-FFF2-40B4-BE49-F238E27FC236}">
              <a16:creationId xmlns:a16="http://schemas.microsoft.com/office/drawing/2014/main" id="{00000000-0008-0000-0500-000083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76200</xdr:colOff>
      <xdr:row>12</xdr:row>
      <xdr:rowOff>0</xdr:rowOff>
    </xdr:to>
    <xdr:sp macro="" textlink="">
      <xdr:nvSpPr>
        <xdr:cNvPr id="132" name="Text Box 1">
          <a:extLst>
            <a:ext uri="{FF2B5EF4-FFF2-40B4-BE49-F238E27FC236}">
              <a16:creationId xmlns:a16="http://schemas.microsoft.com/office/drawing/2014/main" id="{00000000-0008-0000-0500-000084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76200</xdr:colOff>
      <xdr:row>12</xdr:row>
      <xdr:rowOff>0</xdr:rowOff>
    </xdr:to>
    <xdr:sp macro="" textlink="">
      <xdr:nvSpPr>
        <xdr:cNvPr id="133" name="Text Box 2">
          <a:extLst>
            <a:ext uri="{FF2B5EF4-FFF2-40B4-BE49-F238E27FC236}">
              <a16:creationId xmlns:a16="http://schemas.microsoft.com/office/drawing/2014/main" id="{00000000-0008-0000-0500-000085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76200</xdr:colOff>
      <xdr:row>12</xdr:row>
      <xdr:rowOff>0</xdr:rowOff>
    </xdr:to>
    <xdr:sp macro="" textlink="">
      <xdr:nvSpPr>
        <xdr:cNvPr id="134" name="Text Box 1">
          <a:extLst>
            <a:ext uri="{FF2B5EF4-FFF2-40B4-BE49-F238E27FC236}">
              <a16:creationId xmlns:a16="http://schemas.microsoft.com/office/drawing/2014/main" id="{00000000-0008-0000-0500-000086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76200</xdr:colOff>
      <xdr:row>12</xdr:row>
      <xdr:rowOff>0</xdr:rowOff>
    </xdr:to>
    <xdr:sp macro="" textlink="">
      <xdr:nvSpPr>
        <xdr:cNvPr id="135" name="Text Box 1">
          <a:extLst>
            <a:ext uri="{FF2B5EF4-FFF2-40B4-BE49-F238E27FC236}">
              <a16:creationId xmlns:a16="http://schemas.microsoft.com/office/drawing/2014/main" id="{00000000-0008-0000-0500-000087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76200</xdr:colOff>
      <xdr:row>12</xdr:row>
      <xdr:rowOff>0</xdr:rowOff>
    </xdr:to>
    <xdr:sp macro="" textlink="">
      <xdr:nvSpPr>
        <xdr:cNvPr id="136" name="Text Box 1">
          <a:extLst>
            <a:ext uri="{FF2B5EF4-FFF2-40B4-BE49-F238E27FC236}">
              <a16:creationId xmlns:a16="http://schemas.microsoft.com/office/drawing/2014/main" id="{00000000-0008-0000-0500-000088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76200</xdr:colOff>
      <xdr:row>12</xdr:row>
      <xdr:rowOff>0</xdr:rowOff>
    </xdr:to>
    <xdr:sp macro="" textlink="">
      <xdr:nvSpPr>
        <xdr:cNvPr id="137" name="Text Box 2">
          <a:extLst>
            <a:ext uri="{FF2B5EF4-FFF2-40B4-BE49-F238E27FC236}">
              <a16:creationId xmlns:a16="http://schemas.microsoft.com/office/drawing/2014/main" id="{00000000-0008-0000-0500-000089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76200</xdr:colOff>
      <xdr:row>12</xdr:row>
      <xdr:rowOff>0</xdr:rowOff>
    </xdr:to>
    <xdr:sp macro="" textlink="">
      <xdr:nvSpPr>
        <xdr:cNvPr id="138" name="Text Box 1">
          <a:extLst>
            <a:ext uri="{FF2B5EF4-FFF2-40B4-BE49-F238E27FC236}">
              <a16:creationId xmlns:a16="http://schemas.microsoft.com/office/drawing/2014/main" id="{00000000-0008-0000-0500-00008A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76200</xdr:colOff>
      <xdr:row>12</xdr:row>
      <xdr:rowOff>0</xdr:rowOff>
    </xdr:to>
    <xdr:sp macro="" textlink="">
      <xdr:nvSpPr>
        <xdr:cNvPr id="139" name="Text Box 1">
          <a:extLst>
            <a:ext uri="{FF2B5EF4-FFF2-40B4-BE49-F238E27FC236}">
              <a16:creationId xmlns:a16="http://schemas.microsoft.com/office/drawing/2014/main" id="{00000000-0008-0000-0500-00008B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12</xdr:row>
      <xdr:rowOff>0</xdr:rowOff>
    </xdr:from>
    <xdr:to>
      <xdr:col>4</xdr:col>
      <xdr:colOff>76200</xdr:colOff>
      <xdr:row>13</xdr:row>
      <xdr:rowOff>0</xdr:rowOff>
    </xdr:to>
    <xdr:sp macro="" textlink="">
      <xdr:nvSpPr>
        <xdr:cNvPr id="140" name="Text Box 1">
          <a:extLst>
            <a:ext uri="{FF2B5EF4-FFF2-40B4-BE49-F238E27FC236}">
              <a16:creationId xmlns:a16="http://schemas.microsoft.com/office/drawing/2014/main" id="{00000000-0008-0000-0500-00008C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12</xdr:row>
      <xdr:rowOff>0</xdr:rowOff>
    </xdr:from>
    <xdr:to>
      <xdr:col>4</xdr:col>
      <xdr:colOff>76200</xdr:colOff>
      <xdr:row>13</xdr:row>
      <xdr:rowOff>0</xdr:rowOff>
    </xdr:to>
    <xdr:sp macro="" textlink="">
      <xdr:nvSpPr>
        <xdr:cNvPr id="141" name="Text Box 2">
          <a:extLst>
            <a:ext uri="{FF2B5EF4-FFF2-40B4-BE49-F238E27FC236}">
              <a16:creationId xmlns:a16="http://schemas.microsoft.com/office/drawing/2014/main" id="{00000000-0008-0000-0500-00008D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12</xdr:row>
      <xdr:rowOff>0</xdr:rowOff>
    </xdr:from>
    <xdr:to>
      <xdr:col>4</xdr:col>
      <xdr:colOff>76200</xdr:colOff>
      <xdr:row>13</xdr:row>
      <xdr:rowOff>0</xdr:rowOff>
    </xdr:to>
    <xdr:sp macro="" textlink="">
      <xdr:nvSpPr>
        <xdr:cNvPr id="142" name="Text Box 1">
          <a:extLst>
            <a:ext uri="{FF2B5EF4-FFF2-40B4-BE49-F238E27FC236}">
              <a16:creationId xmlns:a16="http://schemas.microsoft.com/office/drawing/2014/main" id="{00000000-0008-0000-0500-00008E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12</xdr:row>
      <xdr:rowOff>0</xdr:rowOff>
    </xdr:from>
    <xdr:to>
      <xdr:col>4</xdr:col>
      <xdr:colOff>76200</xdr:colOff>
      <xdr:row>13</xdr:row>
      <xdr:rowOff>0</xdr:rowOff>
    </xdr:to>
    <xdr:sp macro="" textlink="">
      <xdr:nvSpPr>
        <xdr:cNvPr id="143" name="Text Box 1">
          <a:extLst>
            <a:ext uri="{FF2B5EF4-FFF2-40B4-BE49-F238E27FC236}">
              <a16:creationId xmlns:a16="http://schemas.microsoft.com/office/drawing/2014/main" id="{00000000-0008-0000-0500-00008F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12</xdr:row>
      <xdr:rowOff>0</xdr:rowOff>
    </xdr:from>
    <xdr:to>
      <xdr:col>4</xdr:col>
      <xdr:colOff>76200</xdr:colOff>
      <xdr:row>13</xdr:row>
      <xdr:rowOff>0</xdr:rowOff>
    </xdr:to>
    <xdr:sp macro="" textlink="">
      <xdr:nvSpPr>
        <xdr:cNvPr id="144" name="Text Box 1">
          <a:extLst>
            <a:ext uri="{FF2B5EF4-FFF2-40B4-BE49-F238E27FC236}">
              <a16:creationId xmlns:a16="http://schemas.microsoft.com/office/drawing/2014/main" id="{00000000-0008-0000-0500-000090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12</xdr:row>
      <xdr:rowOff>0</xdr:rowOff>
    </xdr:from>
    <xdr:to>
      <xdr:col>4</xdr:col>
      <xdr:colOff>76200</xdr:colOff>
      <xdr:row>13</xdr:row>
      <xdr:rowOff>0</xdr:rowOff>
    </xdr:to>
    <xdr:sp macro="" textlink="">
      <xdr:nvSpPr>
        <xdr:cNvPr id="145" name="Text Box 2">
          <a:extLst>
            <a:ext uri="{FF2B5EF4-FFF2-40B4-BE49-F238E27FC236}">
              <a16:creationId xmlns:a16="http://schemas.microsoft.com/office/drawing/2014/main" id="{00000000-0008-0000-0500-000091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12</xdr:row>
      <xdr:rowOff>0</xdr:rowOff>
    </xdr:from>
    <xdr:to>
      <xdr:col>4</xdr:col>
      <xdr:colOff>76200</xdr:colOff>
      <xdr:row>13</xdr:row>
      <xdr:rowOff>0</xdr:rowOff>
    </xdr:to>
    <xdr:sp macro="" textlink="">
      <xdr:nvSpPr>
        <xdr:cNvPr id="146" name="Text Box 1">
          <a:extLst>
            <a:ext uri="{FF2B5EF4-FFF2-40B4-BE49-F238E27FC236}">
              <a16:creationId xmlns:a16="http://schemas.microsoft.com/office/drawing/2014/main" id="{00000000-0008-0000-0500-000092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12</xdr:row>
      <xdr:rowOff>0</xdr:rowOff>
    </xdr:from>
    <xdr:to>
      <xdr:col>4</xdr:col>
      <xdr:colOff>76200</xdr:colOff>
      <xdr:row>13</xdr:row>
      <xdr:rowOff>0</xdr:rowOff>
    </xdr:to>
    <xdr:sp macro="" textlink="">
      <xdr:nvSpPr>
        <xdr:cNvPr id="147" name="Text Box 1">
          <a:extLst>
            <a:ext uri="{FF2B5EF4-FFF2-40B4-BE49-F238E27FC236}">
              <a16:creationId xmlns:a16="http://schemas.microsoft.com/office/drawing/2014/main" id="{00000000-0008-0000-0500-000093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12</xdr:row>
      <xdr:rowOff>0</xdr:rowOff>
    </xdr:from>
    <xdr:to>
      <xdr:col>4</xdr:col>
      <xdr:colOff>76200</xdr:colOff>
      <xdr:row>13</xdr:row>
      <xdr:rowOff>0</xdr:rowOff>
    </xdr:to>
    <xdr:sp macro="" textlink="">
      <xdr:nvSpPr>
        <xdr:cNvPr id="148" name="Text Box 1">
          <a:extLst>
            <a:ext uri="{FF2B5EF4-FFF2-40B4-BE49-F238E27FC236}">
              <a16:creationId xmlns:a16="http://schemas.microsoft.com/office/drawing/2014/main" id="{00000000-0008-0000-0500-000094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12</xdr:row>
      <xdr:rowOff>0</xdr:rowOff>
    </xdr:from>
    <xdr:to>
      <xdr:col>4</xdr:col>
      <xdr:colOff>76200</xdr:colOff>
      <xdr:row>13</xdr:row>
      <xdr:rowOff>0</xdr:rowOff>
    </xdr:to>
    <xdr:sp macro="" textlink="">
      <xdr:nvSpPr>
        <xdr:cNvPr id="149" name="Text Box 2">
          <a:extLst>
            <a:ext uri="{FF2B5EF4-FFF2-40B4-BE49-F238E27FC236}">
              <a16:creationId xmlns:a16="http://schemas.microsoft.com/office/drawing/2014/main" id="{00000000-0008-0000-0500-000095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12</xdr:row>
      <xdr:rowOff>0</xdr:rowOff>
    </xdr:from>
    <xdr:to>
      <xdr:col>4</xdr:col>
      <xdr:colOff>76200</xdr:colOff>
      <xdr:row>13</xdr:row>
      <xdr:rowOff>0</xdr:rowOff>
    </xdr:to>
    <xdr:sp macro="" textlink="">
      <xdr:nvSpPr>
        <xdr:cNvPr id="150" name="Text Box 1">
          <a:extLst>
            <a:ext uri="{FF2B5EF4-FFF2-40B4-BE49-F238E27FC236}">
              <a16:creationId xmlns:a16="http://schemas.microsoft.com/office/drawing/2014/main" id="{00000000-0008-0000-0500-000096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12</xdr:row>
      <xdr:rowOff>0</xdr:rowOff>
    </xdr:from>
    <xdr:to>
      <xdr:col>4</xdr:col>
      <xdr:colOff>76200</xdr:colOff>
      <xdr:row>13</xdr:row>
      <xdr:rowOff>0</xdr:rowOff>
    </xdr:to>
    <xdr:sp macro="" textlink="">
      <xdr:nvSpPr>
        <xdr:cNvPr id="151" name="Text Box 1">
          <a:extLst>
            <a:ext uri="{FF2B5EF4-FFF2-40B4-BE49-F238E27FC236}">
              <a16:creationId xmlns:a16="http://schemas.microsoft.com/office/drawing/2014/main" id="{00000000-0008-0000-0500-000097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12</xdr:row>
      <xdr:rowOff>0</xdr:rowOff>
    </xdr:from>
    <xdr:to>
      <xdr:col>4</xdr:col>
      <xdr:colOff>76200</xdr:colOff>
      <xdr:row>13</xdr:row>
      <xdr:rowOff>0</xdr:rowOff>
    </xdr:to>
    <xdr:sp macro="" textlink="">
      <xdr:nvSpPr>
        <xdr:cNvPr id="152" name="Text Box 1">
          <a:extLst>
            <a:ext uri="{FF2B5EF4-FFF2-40B4-BE49-F238E27FC236}">
              <a16:creationId xmlns:a16="http://schemas.microsoft.com/office/drawing/2014/main" id="{00000000-0008-0000-0500-000098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12</xdr:row>
      <xdr:rowOff>0</xdr:rowOff>
    </xdr:from>
    <xdr:to>
      <xdr:col>4</xdr:col>
      <xdr:colOff>76200</xdr:colOff>
      <xdr:row>13</xdr:row>
      <xdr:rowOff>0</xdr:rowOff>
    </xdr:to>
    <xdr:sp macro="" textlink="">
      <xdr:nvSpPr>
        <xdr:cNvPr id="153" name="Text Box 2">
          <a:extLst>
            <a:ext uri="{FF2B5EF4-FFF2-40B4-BE49-F238E27FC236}">
              <a16:creationId xmlns:a16="http://schemas.microsoft.com/office/drawing/2014/main" id="{00000000-0008-0000-0500-000099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12</xdr:row>
      <xdr:rowOff>0</xdr:rowOff>
    </xdr:from>
    <xdr:to>
      <xdr:col>4</xdr:col>
      <xdr:colOff>76200</xdr:colOff>
      <xdr:row>13</xdr:row>
      <xdr:rowOff>0</xdr:rowOff>
    </xdr:to>
    <xdr:sp macro="" textlink="">
      <xdr:nvSpPr>
        <xdr:cNvPr id="154" name="Text Box 1">
          <a:extLst>
            <a:ext uri="{FF2B5EF4-FFF2-40B4-BE49-F238E27FC236}">
              <a16:creationId xmlns:a16="http://schemas.microsoft.com/office/drawing/2014/main" id="{00000000-0008-0000-0500-00009A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12</xdr:row>
      <xdr:rowOff>0</xdr:rowOff>
    </xdr:from>
    <xdr:to>
      <xdr:col>4</xdr:col>
      <xdr:colOff>76200</xdr:colOff>
      <xdr:row>13</xdr:row>
      <xdr:rowOff>0</xdr:rowOff>
    </xdr:to>
    <xdr:sp macro="" textlink="">
      <xdr:nvSpPr>
        <xdr:cNvPr id="155" name="Text Box 1">
          <a:extLst>
            <a:ext uri="{FF2B5EF4-FFF2-40B4-BE49-F238E27FC236}">
              <a16:creationId xmlns:a16="http://schemas.microsoft.com/office/drawing/2014/main" id="{00000000-0008-0000-0500-00009B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12</xdr:row>
      <xdr:rowOff>0</xdr:rowOff>
    </xdr:from>
    <xdr:to>
      <xdr:col>4</xdr:col>
      <xdr:colOff>76200</xdr:colOff>
      <xdr:row>13</xdr:row>
      <xdr:rowOff>0</xdr:rowOff>
    </xdr:to>
    <xdr:sp macro="" textlink="">
      <xdr:nvSpPr>
        <xdr:cNvPr id="156" name="Text Box 2">
          <a:extLst>
            <a:ext uri="{FF2B5EF4-FFF2-40B4-BE49-F238E27FC236}">
              <a16:creationId xmlns:a16="http://schemas.microsoft.com/office/drawing/2014/main" id="{00000000-0008-0000-0500-00009C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12</xdr:row>
      <xdr:rowOff>0</xdr:rowOff>
    </xdr:from>
    <xdr:to>
      <xdr:col>4</xdr:col>
      <xdr:colOff>76200</xdr:colOff>
      <xdr:row>13</xdr:row>
      <xdr:rowOff>0</xdr:rowOff>
    </xdr:to>
    <xdr:sp macro="" textlink="">
      <xdr:nvSpPr>
        <xdr:cNvPr id="157" name="Text Box 1">
          <a:extLst>
            <a:ext uri="{FF2B5EF4-FFF2-40B4-BE49-F238E27FC236}">
              <a16:creationId xmlns:a16="http://schemas.microsoft.com/office/drawing/2014/main" id="{00000000-0008-0000-0500-00009D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12</xdr:row>
      <xdr:rowOff>0</xdr:rowOff>
    </xdr:from>
    <xdr:to>
      <xdr:col>4</xdr:col>
      <xdr:colOff>76200</xdr:colOff>
      <xdr:row>13</xdr:row>
      <xdr:rowOff>0</xdr:rowOff>
    </xdr:to>
    <xdr:sp macro="" textlink="">
      <xdr:nvSpPr>
        <xdr:cNvPr id="158" name="Text Box 1">
          <a:extLst>
            <a:ext uri="{FF2B5EF4-FFF2-40B4-BE49-F238E27FC236}">
              <a16:creationId xmlns:a16="http://schemas.microsoft.com/office/drawing/2014/main" id="{00000000-0008-0000-0500-00009E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12</xdr:row>
      <xdr:rowOff>0</xdr:rowOff>
    </xdr:from>
    <xdr:to>
      <xdr:col>4</xdr:col>
      <xdr:colOff>76200</xdr:colOff>
      <xdr:row>13</xdr:row>
      <xdr:rowOff>0</xdr:rowOff>
    </xdr:to>
    <xdr:sp macro="" textlink="">
      <xdr:nvSpPr>
        <xdr:cNvPr id="159" name="Text Box 1">
          <a:extLst>
            <a:ext uri="{FF2B5EF4-FFF2-40B4-BE49-F238E27FC236}">
              <a16:creationId xmlns:a16="http://schemas.microsoft.com/office/drawing/2014/main" id="{00000000-0008-0000-0500-00009F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12</xdr:row>
      <xdr:rowOff>0</xdr:rowOff>
    </xdr:from>
    <xdr:to>
      <xdr:col>4</xdr:col>
      <xdr:colOff>76200</xdr:colOff>
      <xdr:row>13</xdr:row>
      <xdr:rowOff>0</xdr:rowOff>
    </xdr:to>
    <xdr:sp macro="" textlink="">
      <xdr:nvSpPr>
        <xdr:cNvPr id="160" name="Text Box 2">
          <a:extLst>
            <a:ext uri="{FF2B5EF4-FFF2-40B4-BE49-F238E27FC236}">
              <a16:creationId xmlns:a16="http://schemas.microsoft.com/office/drawing/2014/main" id="{00000000-0008-0000-0500-0000A0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12</xdr:row>
      <xdr:rowOff>0</xdr:rowOff>
    </xdr:from>
    <xdr:to>
      <xdr:col>4</xdr:col>
      <xdr:colOff>76200</xdr:colOff>
      <xdr:row>13</xdr:row>
      <xdr:rowOff>0</xdr:rowOff>
    </xdr:to>
    <xdr:sp macro="" textlink="">
      <xdr:nvSpPr>
        <xdr:cNvPr id="161" name="Text Box 1">
          <a:extLst>
            <a:ext uri="{FF2B5EF4-FFF2-40B4-BE49-F238E27FC236}">
              <a16:creationId xmlns:a16="http://schemas.microsoft.com/office/drawing/2014/main" id="{00000000-0008-0000-0500-0000A1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12</xdr:row>
      <xdr:rowOff>0</xdr:rowOff>
    </xdr:from>
    <xdr:to>
      <xdr:col>4</xdr:col>
      <xdr:colOff>76200</xdr:colOff>
      <xdr:row>13</xdr:row>
      <xdr:rowOff>0</xdr:rowOff>
    </xdr:to>
    <xdr:sp macro="" textlink="">
      <xdr:nvSpPr>
        <xdr:cNvPr id="162" name="Text Box 1">
          <a:extLst>
            <a:ext uri="{FF2B5EF4-FFF2-40B4-BE49-F238E27FC236}">
              <a16:creationId xmlns:a16="http://schemas.microsoft.com/office/drawing/2014/main" id="{00000000-0008-0000-0500-0000A2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13</xdr:row>
      <xdr:rowOff>0</xdr:rowOff>
    </xdr:from>
    <xdr:to>
      <xdr:col>4</xdr:col>
      <xdr:colOff>76200</xdr:colOff>
      <xdr:row>14</xdr:row>
      <xdr:rowOff>0</xdr:rowOff>
    </xdr:to>
    <xdr:sp macro="" textlink="">
      <xdr:nvSpPr>
        <xdr:cNvPr id="163" name="Text Box 1">
          <a:extLst>
            <a:ext uri="{FF2B5EF4-FFF2-40B4-BE49-F238E27FC236}">
              <a16:creationId xmlns:a16="http://schemas.microsoft.com/office/drawing/2014/main" id="{00000000-0008-0000-0500-0000A3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13</xdr:row>
      <xdr:rowOff>0</xdr:rowOff>
    </xdr:from>
    <xdr:to>
      <xdr:col>4</xdr:col>
      <xdr:colOff>76200</xdr:colOff>
      <xdr:row>14</xdr:row>
      <xdr:rowOff>0</xdr:rowOff>
    </xdr:to>
    <xdr:sp macro="" textlink="">
      <xdr:nvSpPr>
        <xdr:cNvPr id="164" name="Text Box 2">
          <a:extLst>
            <a:ext uri="{FF2B5EF4-FFF2-40B4-BE49-F238E27FC236}">
              <a16:creationId xmlns:a16="http://schemas.microsoft.com/office/drawing/2014/main" id="{00000000-0008-0000-0500-0000A4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13</xdr:row>
      <xdr:rowOff>0</xdr:rowOff>
    </xdr:from>
    <xdr:to>
      <xdr:col>4</xdr:col>
      <xdr:colOff>76200</xdr:colOff>
      <xdr:row>14</xdr:row>
      <xdr:rowOff>0</xdr:rowOff>
    </xdr:to>
    <xdr:sp macro="" textlink="">
      <xdr:nvSpPr>
        <xdr:cNvPr id="165" name="Text Box 1">
          <a:extLst>
            <a:ext uri="{FF2B5EF4-FFF2-40B4-BE49-F238E27FC236}">
              <a16:creationId xmlns:a16="http://schemas.microsoft.com/office/drawing/2014/main" id="{00000000-0008-0000-0500-0000A5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13</xdr:row>
      <xdr:rowOff>0</xdr:rowOff>
    </xdr:from>
    <xdr:to>
      <xdr:col>4</xdr:col>
      <xdr:colOff>76200</xdr:colOff>
      <xdr:row>14</xdr:row>
      <xdr:rowOff>0</xdr:rowOff>
    </xdr:to>
    <xdr:sp macro="" textlink="">
      <xdr:nvSpPr>
        <xdr:cNvPr id="166" name="Text Box 1">
          <a:extLst>
            <a:ext uri="{FF2B5EF4-FFF2-40B4-BE49-F238E27FC236}">
              <a16:creationId xmlns:a16="http://schemas.microsoft.com/office/drawing/2014/main" id="{00000000-0008-0000-0500-0000A6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13</xdr:row>
      <xdr:rowOff>0</xdr:rowOff>
    </xdr:from>
    <xdr:to>
      <xdr:col>4</xdr:col>
      <xdr:colOff>76200</xdr:colOff>
      <xdr:row>14</xdr:row>
      <xdr:rowOff>0</xdr:rowOff>
    </xdr:to>
    <xdr:sp macro="" textlink="">
      <xdr:nvSpPr>
        <xdr:cNvPr id="167" name="Text Box 1">
          <a:extLst>
            <a:ext uri="{FF2B5EF4-FFF2-40B4-BE49-F238E27FC236}">
              <a16:creationId xmlns:a16="http://schemas.microsoft.com/office/drawing/2014/main" id="{00000000-0008-0000-0500-0000A7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13</xdr:row>
      <xdr:rowOff>0</xdr:rowOff>
    </xdr:from>
    <xdr:to>
      <xdr:col>4</xdr:col>
      <xdr:colOff>76200</xdr:colOff>
      <xdr:row>14</xdr:row>
      <xdr:rowOff>0</xdr:rowOff>
    </xdr:to>
    <xdr:sp macro="" textlink="">
      <xdr:nvSpPr>
        <xdr:cNvPr id="168" name="Text Box 2">
          <a:extLst>
            <a:ext uri="{FF2B5EF4-FFF2-40B4-BE49-F238E27FC236}">
              <a16:creationId xmlns:a16="http://schemas.microsoft.com/office/drawing/2014/main" id="{00000000-0008-0000-0500-0000A8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13</xdr:row>
      <xdr:rowOff>0</xdr:rowOff>
    </xdr:from>
    <xdr:to>
      <xdr:col>4</xdr:col>
      <xdr:colOff>76200</xdr:colOff>
      <xdr:row>14</xdr:row>
      <xdr:rowOff>0</xdr:rowOff>
    </xdr:to>
    <xdr:sp macro="" textlink="">
      <xdr:nvSpPr>
        <xdr:cNvPr id="169" name="Text Box 1">
          <a:extLst>
            <a:ext uri="{FF2B5EF4-FFF2-40B4-BE49-F238E27FC236}">
              <a16:creationId xmlns:a16="http://schemas.microsoft.com/office/drawing/2014/main" id="{00000000-0008-0000-0500-0000A9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13</xdr:row>
      <xdr:rowOff>0</xdr:rowOff>
    </xdr:from>
    <xdr:to>
      <xdr:col>4</xdr:col>
      <xdr:colOff>76200</xdr:colOff>
      <xdr:row>14</xdr:row>
      <xdr:rowOff>0</xdr:rowOff>
    </xdr:to>
    <xdr:sp macro="" textlink="">
      <xdr:nvSpPr>
        <xdr:cNvPr id="170" name="Text Box 1">
          <a:extLst>
            <a:ext uri="{FF2B5EF4-FFF2-40B4-BE49-F238E27FC236}">
              <a16:creationId xmlns:a16="http://schemas.microsoft.com/office/drawing/2014/main" id="{00000000-0008-0000-0500-0000AA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13</xdr:row>
      <xdr:rowOff>0</xdr:rowOff>
    </xdr:from>
    <xdr:to>
      <xdr:col>4</xdr:col>
      <xdr:colOff>76200</xdr:colOff>
      <xdr:row>14</xdr:row>
      <xdr:rowOff>0</xdr:rowOff>
    </xdr:to>
    <xdr:sp macro="" textlink="">
      <xdr:nvSpPr>
        <xdr:cNvPr id="171" name="Text Box 1">
          <a:extLst>
            <a:ext uri="{FF2B5EF4-FFF2-40B4-BE49-F238E27FC236}">
              <a16:creationId xmlns:a16="http://schemas.microsoft.com/office/drawing/2014/main" id="{00000000-0008-0000-0500-0000AB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13</xdr:row>
      <xdr:rowOff>0</xdr:rowOff>
    </xdr:from>
    <xdr:to>
      <xdr:col>4</xdr:col>
      <xdr:colOff>76200</xdr:colOff>
      <xdr:row>14</xdr:row>
      <xdr:rowOff>0</xdr:rowOff>
    </xdr:to>
    <xdr:sp macro="" textlink="">
      <xdr:nvSpPr>
        <xdr:cNvPr id="172" name="Text Box 2">
          <a:extLst>
            <a:ext uri="{FF2B5EF4-FFF2-40B4-BE49-F238E27FC236}">
              <a16:creationId xmlns:a16="http://schemas.microsoft.com/office/drawing/2014/main" id="{00000000-0008-0000-0500-0000AC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13</xdr:row>
      <xdr:rowOff>0</xdr:rowOff>
    </xdr:from>
    <xdr:to>
      <xdr:col>4</xdr:col>
      <xdr:colOff>76200</xdr:colOff>
      <xdr:row>14</xdr:row>
      <xdr:rowOff>0</xdr:rowOff>
    </xdr:to>
    <xdr:sp macro="" textlink="">
      <xdr:nvSpPr>
        <xdr:cNvPr id="173" name="Text Box 1">
          <a:extLst>
            <a:ext uri="{FF2B5EF4-FFF2-40B4-BE49-F238E27FC236}">
              <a16:creationId xmlns:a16="http://schemas.microsoft.com/office/drawing/2014/main" id="{00000000-0008-0000-0500-0000AD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13</xdr:row>
      <xdr:rowOff>0</xdr:rowOff>
    </xdr:from>
    <xdr:to>
      <xdr:col>4</xdr:col>
      <xdr:colOff>76200</xdr:colOff>
      <xdr:row>14</xdr:row>
      <xdr:rowOff>0</xdr:rowOff>
    </xdr:to>
    <xdr:sp macro="" textlink="">
      <xdr:nvSpPr>
        <xdr:cNvPr id="174" name="Text Box 1">
          <a:extLst>
            <a:ext uri="{FF2B5EF4-FFF2-40B4-BE49-F238E27FC236}">
              <a16:creationId xmlns:a16="http://schemas.microsoft.com/office/drawing/2014/main" id="{00000000-0008-0000-0500-0000AE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13</xdr:row>
      <xdr:rowOff>0</xdr:rowOff>
    </xdr:from>
    <xdr:to>
      <xdr:col>4</xdr:col>
      <xdr:colOff>76200</xdr:colOff>
      <xdr:row>14</xdr:row>
      <xdr:rowOff>0</xdr:rowOff>
    </xdr:to>
    <xdr:sp macro="" textlink="">
      <xdr:nvSpPr>
        <xdr:cNvPr id="175" name="Text Box 1">
          <a:extLst>
            <a:ext uri="{FF2B5EF4-FFF2-40B4-BE49-F238E27FC236}">
              <a16:creationId xmlns:a16="http://schemas.microsoft.com/office/drawing/2014/main" id="{00000000-0008-0000-0500-0000AF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13</xdr:row>
      <xdr:rowOff>0</xdr:rowOff>
    </xdr:from>
    <xdr:to>
      <xdr:col>4</xdr:col>
      <xdr:colOff>76200</xdr:colOff>
      <xdr:row>14</xdr:row>
      <xdr:rowOff>0</xdr:rowOff>
    </xdr:to>
    <xdr:sp macro="" textlink="">
      <xdr:nvSpPr>
        <xdr:cNvPr id="176" name="Text Box 2">
          <a:extLst>
            <a:ext uri="{FF2B5EF4-FFF2-40B4-BE49-F238E27FC236}">
              <a16:creationId xmlns:a16="http://schemas.microsoft.com/office/drawing/2014/main" id="{00000000-0008-0000-0500-0000B0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13</xdr:row>
      <xdr:rowOff>0</xdr:rowOff>
    </xdr:from>
    <xdr:to>
      <xdr:col>4</xdr:col>
      <xdr:colOff>76200</xdr:colOff>
      <xdr:row>14</xdr:row>
      <xdr:rowOff>0</xdr:rowOff>
    </xdr:to>
    <xdr:sp macro="" textlink="">
      <xdr:nvSpPr>
        <xdr:cNvPr id="177" name="Text Box 1">
          <a:extLst>
            <a:ext uri="{FF2B5EF4-FFF2-40B4-BE49-F238E27FC236}">
              <a16:creationId xmlns:a16="http://schemas.microsoft.com/office/drawing/2014/main" id="{00000000-0008-0000-0500-0000B1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13</xdr:row>
      <xdr:rowOff>0</xdr:rowOff>
    </xdr:from>
    <xdr:to>
      <xdr:col>4</xdr:col>
      <xdr:colOff>76200</xdr:colOff>
      <xdr:row>14</xdr:row>
      <xdr:rowOff>0</xdr:rowOff>
    </xdr:to>
    <xdr:sp macro="" textlink="">
      <xdr:nvSpPr>
        <xdr:cNvPr id="178" name="Text Box 1">
          <a:extLst>
            <a:ext uri="{FF2B5EF4-FFF2-40B4-BE49-F238E27FC236}">
              <a16:creationId xmlns:a16="http://schemas.microsoft.com/office/drawing/2014/main" id="{00000000-0008-0000-0500-0000B2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13</xdr:row>
      <xdr:rowOff>0</xdr:rowOff>
    </xdr:from>
    <xdr:to>
      <xdr:col>4</xdr:col>
      <xdr:colOff>76200</xdr:colOff>
      <xdr:row>14</xdr:row>
      <xdr:rowOff>0</xdr:rowOff>
    </xdr:to>
    <xdr:sp macro="" textlink="">
      <xdr:nvSpPr>
        <xdr:cNvPr id="179" name="Text Box 2">
          <a:extLst>
            <a:ext uri="{FF2B5EF4-FFF2-40B4-BE49-F238E27FC236}">
              <a16:creationId xmlns:a16="http://schemas.microsoft.com/office/drawing/2014/main" id="{00000000-0008-0000-0500-0000B3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13</xdr:row>
      <xdr:rowOff>0</xdr:rowOff>
    </xdr:from>
    <xdr:to>
      <xdr:col>4</xdr:col>
      <xdr:colOff>76200</xdr:colOff>
      <xdr:row>14</xdr:row>
      <xdr:rowOff>0</xdr:rowOff>
    </xdr:to>
    <xdr:sp macro="" textlink="">
      <xdr:nvSpPr>
        <xdr:cNvPr id="180" name="Text Box 1">
          <a:extLst>
            <a:ext uri="{FF2B5EF4-FFF2-40B4-BE49-F238E27FC236}">
              <a16:creationId xmlns:a16="http://schemas.microsoft.com/office/drawing/2014/main" id="{00000000-0008-0000-0500-0000B4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13</xdr:row>
      <xdr:rowOff>0</xdr:rowOff>
    </xdr:from>
    <xdr:to>
      <xdr:col>4</xdr:col>
      <xdr:colOff>76200</xdr:colOff>
      <xdr:row>14</xdr:row>
      <xdr:rowOff>0</xdr:rowOff>
    </xdr:to>
    <xdr:sp macro="" textlink="">
      <xdr:nvSpPr>
        <xdr:cNvPr id="181" name="Text Box 1">
          <a:extLst>
            <a:ext uri="{FF2B5EF4-FFF2-40B4-BE49-F238E27FC236}">
              <a16:creationId xmlns:a16="http://schemas.microsoft.com/office/drawing/2014/main" id="{00000000-0008-0000-0500-0000B5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13</xdr:row>
      <xdr:rowOff>0</xdr:rowOff>
    </xdr:from>
    <xdr:to>
      <xdr:col>4</xdr:col>
      <xdr:colOff>76200</xdr:colOff>
      <xdr:row>14</xdr:row>
      <xdr:rowOff>0</xdr:rowOff>
    </xdr:to>
    <xdr:sp macro="" textlink="">
      <xdr:nvSpPr>
        <xdr:cNvPr id="182" name="Text Box 1">
          <a:extLst>
            <a:ext uri="{FF2B5EF4-FFF2-40B4-BE49-F238E27FC236}">
              <a16:creationId xmlns:a16="http://schemas.microsoft.com/office/drawing/2014/main" id="{00000000-0008-0000-0500-0000B6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13</xdr:row>
      <xdr:rowOff>0</xdr:rowOff>
    </xdr:from>
    <xdr:to>
      <xdr:col>4</xdr:col>
      <xdr:colOff>76200</xdr:colOff>
      <xdr:row>14</xdr:row>
      <xdr:rowOff>0</xdr:rowOff>
    </xdr:to>
    <xdr:sp macro="" textlink="">
      <xdr:nvSpPr>
        <xdr:cNvPr id="183" name="Text Box 2">
          <a:extLst>
            <a:ext uri="{FF2B5EF4-FFF2-40B4-BE49-F238E27FC236}">
              <a16:creationId xmlns:a16="http://schemas.microsoft.com/office/drawing/2014/main" id="{00000000-0008-0000-0500-0000B7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13</xdr:row>
      <xdr:rowOff>0</xdr:rowOff>
    </xdr:from>
    <xdr:to>
      <xdr:col>4</xdr:col>
      <xdr:colOff>76200</xdr:colOff>
      <xdr:row>14</xdr:row>
      <xdr:rowOff>0</xdr:rowOff>
    </xdr:to>
    <xdr:sp macro="" textlink="">
      <xdr:nvSpPr>
        <xdr:cNvPr id="184" name="Text Box 1">
          <a:extLst>
            <a:ext uri="{FF2B5EF4-FFF2-40B4-BE49-F238E27FC236}">
              <a16:creationId xmlns:a16="http://schemas.microsoft.com/office/drawing/2014/main" id="{00000000-0008-0000-0500-0000B8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13</xdr:row>
      <xdr:rowOff>0</xdr:rowOff>
    </xdr:from>
    <xdr:to>
      <xdr:col>4</xdr:col>
      <xdr:colOff>76200</xdr:colOff>
      <xdr:row>14</xdr:row>
      <xdr:rowOff>0</xdr:rowOff>
    </xdr:to>
    <xdr:sp macro="" textlink="">
      <xdr:nvSpPr>
        <xdr:cNvPr id="185" name="Text Box 1">
          <a:extLst>
            <a:ext uri="{FF2B5EF4-FFF2-40B4-BE49-F238E27FC236}">
              <a16:creationId xmlns:a16="http://schemas.microsoft.com/office/drawing/2014/main" id="{00000000-0008-0000-0500-0000B9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14</xdr:row>
      <xdr:rowOff>0</xdr:rowOff>
    </xdr:from>
    <xdr:to>
      <xdr:col>4</xdr:col>
      <xdr:colOff>76200</xdr:colOff>
      <xdr:row>15</xdr:row>
      <xdr:rowOff>0</xdr:rowOff>
    </xdr:to>
    <xdr:sp macro="" textlink="">
      <xdr:nvSpPr>
        <xdr:cNvPr id="186" name="Text Box 1">
          <a:extLst>
            <a:ext uri="{FF2B5EF4-FFF2-40B4-BE49-F238E27FC236}">
              <a16:creationId xmlns:a16="http://schemas.microsoft.com/office/drawing/2014/main" id="{00000000-0008-0000-0500-0000BA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14</xdr:row>
      <xdr:rowOff>0</xdr:rowOff>
    </xdr:from>
    <xdr:to>
      <xdr:col>4</xdr:col>
      <xdr:colOff>76200</xdr:colOff>
      <xdr:row>15</xdr:row>
      <xdr:rowOff>0</xdr:rowOff>
    </xdr:to>
    <xdr:sp macro="" textlink="">
      <xdr:nvSpPr>
        <xdr:cNvPr id="187" name="Text Box 2">
          <a:extLst>
            <a:ext uri="{FF2B5EF4-FFF2-40B4-BE49-F238E27FC236}">
              <a16:creationId xmlns:a16="http://schemas.microsoft.com/office/drawing/2014/main" id="{00000000-0008-0000-0500-0000BB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14</xdr:row>
      <xdr:rowOff>0</xdr:rowOff>
    </xdr:from>
    <xdr:to>
      <xdr:col>4</xdr:col>
      <xdr:colOff>76200</xdr:colOff>
      <xdr:row>15</xdr:row>
      <xdr:rowOff>0</xdr:rowOff>
    </xdr:to>
    <xdr:sp macro="" textlink="">
      <xdr:nvSpPr>
        <xdr:cNvPr id="188" name="Text Box 1">
          <a:extLst>
            <a:ext uri="{FF2B5EF4-FFF2-40B4-BE49-F238E27FC236}">
              <a16:creationId xmlns:a16="http://schemas.microsoft.com/office/drawing/2014/main" id="{00000000-0008-0000-0500-0000BC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14</xdr:row>
      <xdr:rowOff>0</xdr:rowOff>
    </xdr:from>
    <xdr:to>
      <xdr:col>4</xdr:col>
      <xdr:colOff>76200</xdr:colOff>
      <xdr:row>15</xdr:row>
      <xdr:rowOff>0</xdr:rowOff>
    </xdr:to>
    <xdr:sp macro="" textlink="">
      <xdr:nvSpPr>
        <xdr:cNvPr id="189" name="Text Box 1">
          <a:extLst>
            <a:ext uri="{FF2B5EF4-FFF2-40B4-BE49-F238E27FC236}">
              <a16:creationId xmlns:a16="http://schemas.microsoft.com/office/drawing/2014/main" id="{00000000-0008-0000-0500-0000BD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14</xdr:row>
      <xdr:rowOff>0</xdr:rowOff>
    </xdr:from>
    <xdr:to>
      <xdr:col>4</xdr:col>
      <xdr:colOff>76200</xdr:colOff>
      <xdr:row>15</xdr:row>
      <xdr:rowOff>0</xdr:rowOff>
    </xdr:to>
    <xdr:sp macro="" textlink="">
      <xdr:nvSpPr>
        <xdr:cNvPr id="190" name="Text Box 1">
          <a:extLst>
            <a:ext uri="{FF2B5EF4-FFF2-40B4-BE49-F238E27FC236}">
              <a16:creationId xmlns:a16="http://schemas.microsoft.com/office/drawing/2014/main" id="{00000000-0008-0000-0500-0000BE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14</xdr:row>
      <xdr:rowOff>0</xdr:rowOff>
    </xdr:from>
    <xdr:to>
      <xdr:col>4</xdr:col>
      <xdr:colOff>76200</xdr:colOff>
      <xdr:row>15</xdr:row>
      <xdr:rowOff>0</xdr:rowOff>
    </xdr:to>
    <xdr:sp macro="" textlink="">
      <xdr:nvSpPr>
        <xdr:cNvPr id="191" name="Text Box 2">
          <a:extLst>
            <a:ext uri="{FF2B5EF4-FFF2-40B4-BE49-F238E27FC236}">
              <a16:creationId xmlns:a16="http://schemas.microsoft.com/office/drawing/2014/main" id="{00000000-0008-0000-0500-0000BF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14</xdr:row>
      <xdr:rowOff>0</xdr:rowOff>
    </xdr:from>
    <xdr:to>
      <xdr:col>4</xdr:col>
      <xdr:colOff>76200</xdr:colOff>
      <xdr:row>15</xdr:row>
      <xdr:rowOff>0</xdr:rowOff>
    </xdr:to>
    <xdr:sp macro="" textlink="">
      <xdr:nvSpPr>
        <xdr:cNvPr id="192" name="Text Box 1">
          <a:extLst>
            <a:ext uri="{FF2B5EF4-FFF2-40B4-BE49-F238E27FC236}">
              <a16:creationId xmlns:a16="http://schemas.microsoft.com/office/drawing/2014/main" id="{00000000-0008-0000-0500-0000C0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14</xdr:row>
      <xdr:rowOff>0</xdr:rowOff>
    </xdr:from>
    <xdr:to>
      <xdr:col>4</xdr:col>
      <xdr:colOff>76200</xdr:colOff>
      <xdr:row>15</xdr:row>
      <xdr:rowOff>0</xdr:rowOff>
    </xdr:to>
    <xdr:sp macro="" textlink="">
      <xdr:nvSpPr>
        <xdr:cNvPr id="193" name="Text Box 1">
          <a:extLst>
            <a:ext uri="{FF2B5EF4-FFF2-40B4-BE49-F238E27FC236}">
              <a16:creationId xmlns:a16="http://schemas.microsoft.com/office/drawing/2014/main" id="{00000000-0008-0000-0500-0000C1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14</xdr:row>
      <xdr:rowOff>0</xdr:rowOff>
    </xdr:from>
    <xdr:to>
      <xdr:col>4</xdr:col>
      <xdr:colOff>76200</xdr:colOff>
      <xdr:row>15</xdr:row>
      <xdr:rowOff>0</xdr:rowOff>
    </xdr:to>
    <xdr:sp macro="" textlink="">
      <xdr:nvSpPr>
        <xdr:cNvPr id="194" name="Text Box 1">
          <a:extLst>
            <a:ext uri="{FF2B5EF4-FFF2-40B4-BE49-F238E27FC236}">
              <a16:creationId xmlns:a16="http://schemas.microsoft.com/office/drawing/2014/main" id="{00000000-0008-0000-0500-0000C2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14</xdr:row>
      <xdr:rowOff>0</xdr:rowOff>
    </xdr:from>
    <xdr:to>
      <xdr:col>4</xdr:col>
      <xdr:colOff>76200</xdr:colOff>
      <xdr:row>15</xdr:row>
      <xdr:rowOff>0</xdr:rowOff>
    </xdr:to>
    <xdr:sp macro="" textlink="">
      <xdr:nvSpPr>
        <xdr:cNvPr id="195" name="Text Box 2">
          <a:extLst>
            <a:ext uri="{FF2B5EF4-FFF2-40B4-BE49-F238E27FC236}">
              <a16:creationId xmlns:a16="http://schemas.microsoft.com/office/drawing/2014/main" id="{00000000-0008-0000-0500-0000C3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14</xdr:row>
      <xdr:rowOff>0</xdr:rowOff>
    </xdr:from>
    <xdr:to>
      <xdr:col>4</xdr:col>
      <xdr:colOff>76200</xdr:colOff>
      <xdr:row>15</xdr:row>
      <xdr:rowOff>0</xdr:rowOff>
    </xdr:to>
    <xdr:sp macro="" textlink="">
      <xdr:nvSpPr>
        <xdr:cNvPr id="196" name="Text Box 1">
          <a:extLst>
            <a:ext uri="{FF2B5EF4-FFF2-40B4-BE49-F238E27FC236}">
              <a16:creationId xmlns:a16="http://schemas.microsoft.com/office/drawing/2014/main" id="{00000000-0008-0000-0500-0000C4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14</xdr:row>
      <xdr:rowOff>0</xdr:rowOff>
    </xdr:from>
    <xdr:to>
      <xdr:col>4</xdr:col>
      <xdr:colOff>76200</xdr:colOff>
      <xdr:row>15</xdr:row>
      <xdr:rowOff>0</xdr:rowOff>
    </xdr:to>
    <xdr:sp macro="" textlink="">
      <xdr:nvSpPr>
        <xdr:cNvPr id="197" name="Text Box 1">
          <a:extLst>
            <a:ext uri="{FF2B5EF4-FFF2-40B4-BE49-F238E27FC236}">
              <a16:creationId xmlns:a16="http://schemas.microsoft.com/office/drawing/2014/main" id="{00000000-0008-0000-0500-0000C5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14</xdr:row>
      <xdr:rowOff>0</xdr:rowOff>
    </xdr:from>
    <xdr:to>
      <xdr:col>4</xdr:col>
      <xdr:colOff>76200</xdr:colOff>
      <xdr:row>15</xdr:row>
      <xdr:rowOff>0</xdr:rowOff>
    </xdr:to>
    <xdr:sp macro="" textlink="">
      <xdr:nvSpPr>
        <xdr:cNvPr id="198" name="Text Box 1">
          <a:extLst>
            <a:ext uri="{FF2B5EF4-FFF2-40B4-BE49-F238E27FC236}">
              <a16:creationId xmlns:a16="http://schemas.microsoft.com/office/drawing/2014/main" id="{00000000-0008-0000-0500-0000C6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14</xdr:row>
      <xdr:rowOff>0</xdr:rowOff>
    </xdr:from>
    <xdr:to>
      <xdr:col>4</xdr:col>
      <xdr:colOff>76200</xdr:colOff>
      <xdr:row>15</xdr:row>
      <xdr:rowOff>0</xdr:rowOff>
    </xdr:to>
    <xdr:sp macro="" textlink="">
      <xdr:nvSpPr>
        <xdr:cNvPr id="199" name="Text Box 2">
          <a:extLst>
            <a:ext uri="{FF2B5EF4-FFF2-40B4-BE49-F238E27FC236}">
              <a16:creationId xmlns:a16="http://schemas.microsoft.com/office/drawing/2014/main" id="{00000000-0008-0000-0500-0000C7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14</xdr:row>
      <xdr:rowOff>0</xdr:rowOff>
    </xdr:from>
    <xdr:to>
      <xdr:col>4</xdr:col>
      <xdr:colOff>76200</xdr:colOff>
      <xdr:row>15</xdr:row>
      <xdr:rowOff>0</xdr:rowOff>
    </xdr:to>
    <xdr:sp macro="" textlink="">
      <xdr:nvSpPr>
        <xdr:cNvPr id="200" name="Text Box 1">
          <a:extLst>
            <a:ext uri="{FF2B5EF4-FFF2-40B4-BE49-F238E27FC236}">
              <a16:creationId xmlns:a16="http://schemas.microsoft.com/office/drawing/2014/main" id="{00000000-0008-0000-0500-0000C8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14</xdr:row>
      <xdr:rowOff>0</xdr:rowOff>
    </xdr:from>
    <xdr:to>
      <xdr:col>4</xdr:col>
      <xdr:colOff>76200</xdr:colOff>
      <xdr:row>15</xdr:row>
      <xdr:rowOff>0</xdr:rowOff>
    </xdr:to>
    <xdr:sp macro="" textlink="">
      <xdr:nvSpPr>
        <xdr:cNvPr id="201" name="Text Box 1">
          <a:extLst>
            <a:ext uri="{FF2B5EF4-FFF2-40B4-BE49-F238E27FC236}">
              <a16:creationId xmlns:a16="http://schemas.microsoft.com/office/drawing/2014/main" id="{00000000-0008-0000-0500-0000C9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14</xdr:row>
      <xdr:rowOff>0</xdr:rowOff>
    </xdr:from>
    <xdr:to>
      <xdr:col>4</xdr:col>
      <xdr:colOff>76200</xdr:colOff>
      <xdr:row>15</xdr:row>
      <xdr:rowOff>0</xdr:rowOff>
    </xdr:to>
    <xdr:sp macro="" textlink="">
      <xdr:nvSpPr>
        <xdr:cNvPr id="202" name="Text Box 2">
          <a:extLst>
            <a:ext uri="{FF2B5EF4-FFF2-40B4-BE49-F238E27FC236}">
              <a16:creationId xmlns:a16="http://schemas.microsoft.com/office/drawing/2014/main" id="{00000000-0008-0000-0500-0000CA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14</xdr:row>
      <xdr:rowOff>0</xdr:rowOff>
    </xdr:from>
    <xdr:to>
      <xdr:col>4</xdr:col>
      <xdr:colOff>76200</xdr:colOff>
      <xdr:row>15</xdr:row>
      <xdr:rowOff>0</xdr:rowOff>
    </xdr:to>
    <xdr:sp macro="" textlink="">
      <xdr:nvSpPr>
        <xdr:cNvPr id="203" name="Text Box 1">
          <a:extLst>
            <a:ext uri="{FF2B5EF4-FFF2-40B4-BE49-F238E27FC236}">
              <a16:creationId xmlns:a16="http://schemas.microsoft.com/office/drawing/2014/main" id="{00000000-0008-0000-0500-0000CB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14</xdr:row>
      <xdr:rowOff>0</xdr:rowOff>
    </xdr:from>
    <xdr:to>
      <xdr:col>4</xdr:col>
      <xdr:colOff>76200</xdr:colOff>
      <xdr:row>15</xdr:row>
      <xdr:rowOff>0</xdr:rowOff>
    </xdr:to>
    <xdr:sp macro="" textlink="">
      <xdr:nvSpPr>
        <xdr:cNvPr id="204" name="Text Box 1">
          <a:extLst>
            <a:ext uri="{FF2B5EF4-FFF2-40B4-BE49-F238E27FC236}">
              <a16:creationId xmlns:a16="http://schemas.microsoft.com/office/drawing/2014/main" id="{00000000-0008-0000-0500-0000CC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14</xdr:row>
      <xdr:rowOff>0</xdr:rowOff>
    </xdr:from>
    <xdr:to>
      <xdr:col>4</xdr:col>
      <xdr:colOff>76200</xdr:colOff>
      <xdr:row>15</xdr:row>
      <xdr:rowOff>0</xdr:rowOff>
    </xdr:to>
    <xdr:sp macro="" textlink="">
      <xdr:nvSpPr>
        <xdr:cNvPr id="205" name="Text Box 1">
          <a:extLst>
            <a:ext uri="{FF2B5EF4-FFF2-40B4-BE49-F238E27FC236}">
              <a16:creationId xmlns:a16="http://schemas.microsoft.com/office/drawing/2014/main" id="{00000000-0008-0000-0500-0000CD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14</xdr:row>
      <xdr:rowOff>0</xdr:rowOff>
    </xdr:from>
    <xdr:to>
      <xdr:col>4</xdr:col>
      <xdr:colOff>76200</xdr:colOff>
      <xdr:row>15</xdr:row>
      <xdr:rowOff>0</xdr:rowOff>
    </xdr:to>
    <xdr:sp macro="" textlink="">
      <xdr:nvSpPr>
        <xdr:cNvPr id="206" name="Text Box 2">
          <a:extLst>
            <a:ext uri="{FF2B5EF4-FFF2-40B4-BE49-F238E27FC236}">
              <a16:creationId xmlns:a16="http://schemas.microsoft.com/office/drawing/2014/main" id="{00000000-0008-0000-0500-0000CE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14</xdr:row>
      <xdr:rowOff>0</xdr:rowOff>
    </xdr:from>
    <xdr:to>
      <xdr:col>4</xdr:col>
      <xdr:colOff>76200</xdr:colOff>
      <xdr:row>15</xdr:row>
      <xdr:rowOff>0</xdr:rowOff>
    </xdr:to>
    <xdr:sp macro="" textlink="">
      <xdr:nvSpPr>
        <xdr:cNvPr id="207" name="Text Box 1">
          <a:extLst>
            <a:ext uri="{FF2B5EF4-FFF2-40B4-BE49-F238E27FC236}">
              <a16:creationId xmlns:a16="http://schemas.microsoft.com/office/drawing/2014/main" id="{00000000-0008-0000-0500-0000CF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14</xdr:row>
      <xdr:rowOff>0</xdr:rowOff>
    </xdr:from>
    <xdr:to>
      <xdr:col>4</xdr:col>
      <xdr:colOff>76200</xdr:colOff>
      <xdr:row>15</xdr:row>
      <xdr:rowOff>0</xdr:rowOff>
    </xdr:to>
    <xdr:sp macro="" textlink="">
      <xdr:nvSpPr>
        <xdr:cNvPr id="208" name="Text Box 1">
          <a:extLst>
            <a:ext uri="{FF2B5EF4-FFF2-40B4-BE49-F238E27FC236}">
              <a16:creationId xmlns:a16="http://schemas.microsoft.com/office/drawing/2014/main" id="{00000000-0008-0000-0500-0000D0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15</xdr:row>
      <xdr:rowOff>0</xdr:rowOff>
    </xdr:from>
    <xdr:to>
      <xdr:col>4</xdr:col>
      <xdr:colOff>76200</xdr:colOff>
      <xdr:row>16</xdr:row>
      <xdr:rowOff>0</xdr:rowOff>
    </xdr:to>
    <xdr:sp macro="" textlink="">
      <xdr:nvSpPr>
        <xdr:cNvPr id="209" name="Text Box 1">
          <a:extLst>
            <a:ext uri="{FF2B5EF4-FFF2-40B4-BE49-F238E27FC236}">
              <a16:creationId xmlns:a16="http://schemas.microsoft.com/office/drawing/2014/main" id="{00000000-0008-0000-0500-0000D1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15</xdr:row>
      <xdr:rowOff>0</xdr:rowOff>
    </xdr:from>
    <xdr:to>
      <xdr:col>4</xdr:col>
      <xdr:colOff>76200</xdr:colOff>
      <xdr:row>16</xdr:row>
      <xdr:rowOff>0</xdr:rowOff>
    </xdr:to>
    <xdr:sp macro="" textlink="">
      <xdr:nvSpPr>
        <xdr:cNvPr id="210" name="Text Box 2">
          <a:extLst>
            <a:ext uri="{FF2B5EF4-FFF2-40B4-BE49-F238E27FC236}">
              <a16:creationId xmlns:a16="http://schemas.microsoft.com/office/drawing/2014/main" id="{00000000-0008-0000-0500-0000D2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15</xdr:row>
      <xdr:rowOff>0</xdr:rowOff>
    </xdr:from>
    <xdr:to>
      <xdr:col>4</xdr:col>
      <xdr:colOff>76200</xdr:colOff>
      <xdr:row>16</xdr:row>
      <xdr:rowOff>0</xdr:rowOff>
    </xdr:to>
    <xdr:sp macro="" textlink="">
      <xdr:nvSpPr>
        <xdr:cNvPr id="211" name="Text Box 1">
          <a:extLst>
            <a:ext uri="{FF2B5EF4-FFF2-40B4-BE49-F238E27FC236}">
              <a16:creationId xmlns:a16="http://schemas.microsoft.com/office/drawing/2014/main" id="{00000000-0008-0000-0500-0000D3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15</xdr:row>
      <xdr:rowOff>0</xdr:rowOff>
    </xdr:from>
    <xdr:to>
      <xdr:col>4</xdr:col>
      <xdr:colOff>76200</xdr:colOff>
      <xdr:row>16</xdr:row>
      <xdr:rowOff>0</xdr:rowOff>
    </xdr:to>
    <xdr:sp macro="" textlink="">
      <xdr:nvSpPr>
        <xdr:cNvPr id="212" name="Text Box 1">
          <a:extLst>
            <a:ext uri="{FF2B5EF4-FFF2-40B4-BE49-F238E27FC236}">
              <a16:creationId xmlns:a16="http://schemas.microsoft.com/office/drawing/2014/main" id="{00000000-0008-0000-0500-0000D4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15</xdr:row>
      <xdr:rowOff>0</xdr:rowOff>
    </xdr:from>
    <xdr:to>
      <xdr:col>4</xdr:col>
      <xdr:colOff>76200</xdr:colOff>
      <xdr:row>16</xdr:row>
      <xdr:rowOff>0</xdr:rowOff>
    </xdr:to>
    <xdr:sp macro="" textlink="">
      <xdr:nvSpPr>
        <xdr:cNvPr id="213" name="Text Box 1">
          <a:extLst>
            <a:ext uri="{FF2B5EF4-FFF2-40B4-BE49-F238E27FC236}">
              <a16:creationId xmlns:a16="http://schemas.microsoft.com/office/drawing/2014/main" id="{00000000-0008-0000-0500-0000D5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15</xdr:row>
      <xdr:rowOff>0</xdr:rowOff>
    </xdr:from>
    <xdr:to>
      <xdr:col>4</xdr:col>
      <xdr:colOff>76200</xdr:colOff>
      <xdr:row>16</xdr:row>
      <xdr:rowOff>0</xdr:rowOff>
    </xdr:to>
    <xdr:sp macro="" textlink="">
      <xdr:nvSpPr>
        <xdr:cNvPr id="214" name="Text Box 2">
          <a:extLst>
            <a:ext uri="{FF2B5EF4-FFF2-40B4-BE49-F238E27FC236}">
              <a16:creationId xmlns:a16="http://schemas.microsoft.com/office/drawing/2014/main" id="{00000000-0008-0000-0500-0000D6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15</xdr:row>
      <xdr:rowOff>0</xdr:rowOff>
    </xdr:from>
    <xdr:to>
      <xdr:col>4</xdr:col>
      <xdr:colOff>76200</xdr:colOff>
      <xdr:row>16</xdr:row>
      <xdr:rowOff>0</xdr:rowOff>
    </xdr:to>
    <xdr:sp macro="" textlink="">
      <xdr:nvSpPr>
        <xdr:cNvPr id="215" name="Text Box 1">
          <a:extLst>
            <a:ext uri="{FF2B5EF4-FFF2-40B4-BE49-F238E27FC236}">
              <a16:creationId xmlns:a16="http://schemas.microsoft.com/office/drawing/2014/main" id="{00000000-0008-0000-0500-0000D7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15</xdr:row>
      <xdr:rowOff>0</xdr:rowOff>
    </xdr:from>
    <xdr:to>
      <xdr:col>4</xdr:col>
      <xdr:colOff>76200</xdr:colOff>
      <xdr:row>16</xdr:row>
      <xdr:rowOff>0</xdr:rowOff>
    </xdr:to>
    <xdr:sp macro="" textlink="">
      <xdr:nvSpPr>
        <xdr:cNvPr id="216" name="Text Box 1">
          <a:extLst>
            <a:ext uri="{FF2B5EF4-FFF2-40B4-BE49-F238E27FC236}">
              <a16:creationId xmlns:a16="http://schemas.microsoft.com/office/drawing/2014/main" id="{00000000-0008-0000-0500-0000D8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15</xdr:row>
      <xdr:rowOff>0</xdr:rowOff>
    </xdr:from>
    <xdr:to>
      <xdr:col>4</xdr:col>
      <xdr:colOff>76200</xdr:colOff>
      <xdr:row>16</xdr:row>
      <xdr:rowOff>0</xdr:rowOff>
    </xdr:to>
    <xdr:sp macro="" textlink="">
      <xdr:nvSpPr>
        <xdr:cNvPr id="217" name="Text Box 1">
          <a:extLst>
            <a:ext uri="{FF2B5EF4-FFF2-40B4-BE49-F238E27FC236}">
              <a16:creationId xmlns:a16="http://schemas.microsoft.com/office/drawing/2014/main" id="{00000000-0008-0000-0500-0000D9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15</xdr:row>
      <xdr:rowOff>0</xdr:rowOff>
    </xdr:from>
    <xdr:to>
      <xdr:col>4</xdr:col>
      <xdr:colOff>76200</xdr:colOff>
      <xdr:row>16</xdr:row>
      <xdr:rowOff>0</xdr:rowOff>
    </xdr:to>
    <xdr:sp macro="" textlink="">
      <xdr:nvSpPr>
        <xdr:cNvPr id="218" name="Text Box 2">
          <a:extLst>
            <a:ext uri="{FF2B5EF4-FFF2-40B4-BE49-F238E27FC236}">
              <a16:creationId xmlns:a16="http://schemas.microsoft.com/office/drawing/2014/main" id="{00000000-0008-0000-0500-0000DA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15</xdr:row>
      <xdr:rowOff>0</xdr:rowOff>
    </xdr:from>
    <xdr:to>
      <xdr:col>4</xdr:col>
      <xdr:colOff>76200</xdr:colOff>
      <xdr:row>16</xdr:row>
      <xdr:rowOff>0</xdr:rowOff>
    </xdr:to>
    <xdr:sp macro="" textlink="">
      <xdr:nvSpPr>
        <xdr:cNvPr id="219" name="Text Box 1">
          <a:extLst>
            <a:ext uri="{FF2B5EF4-FFF2-40B4-BE49-F238E27FC236}">
              <a16:creationId xmlns:a16="http://schemas.microsoft.com/office/drawing/2014/main" id="{00000000-0008-0000-0500-0000DB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15</xdr:row>
      <xdr:rowOff>0</xdr:rowOff>
    </xdr:from>
    <xdr:to>
      <xdr:col>4</xdr:col>
      <xdr:colOff>76200</xdr:colOff>
      <xdr:row>16</xdr:row>
      <xdr:rowOff>0</xdr:rowOff>
    </xdr:to>
    <xdr:sp macro="" textlink="">
      <xdr:nvSpPr>
        <xdr:cNvPr id="220" name="Text Box 1">
          <a:extLst>
            <a:ext uri="{FF2B5EF4-FFF2-40B4-BE49-F238E27FC236}">
              <a16:creationId xmlns:a16="http://schemas.microsoft.com/office/drawing/2014/main" id="{00000000-0008-0000-0500-0000DC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15</xdr:row>
      <xdr:rowOff>0</xdr:rowOff>
    </xdr:from>
    <xdr:to>
      <xdr:col>4</xdr:col>
      <xdr:colOff>76200</xdr:colOff>
      <xdr:row>16</xdr:row>
      <xdr:rowOff>0</xdr:rowOff>
    </xdr:to>
    <xdr:sp macro="" textlink="">
      <xdr:nvSpPr>
        <xdr:cNvPr id="221" name="Text Box 1">
          <a:extLst>
            <a:ext uri="{FF2B5EF4-FFF2-40B4-BE49-F238E27FC236}">
              <a16:creationId xmlns:a16="http://schemas.microsoft.com/office/drawing/2014/main" id="{00000000-0008-0000-0500-0000DD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15</xdr:row>
      <xdr:rowOff>0</xdr:rowOff>
    </xdr:from>
    <xdr:to>
      <xdr:col>4</xdr:col>
      <xdr:colOff>76200</xdr:colOff>
      <xdr:row>16</xdr:row>
      <xdr:rowOff>0</xdr:rowOff>
    </xdr:to>
    <xdr:sp macro="" textlink="">
      <xdr:nvSpPr>
        <xdr:cNvPr id="222" name="Text Box 2">
          <a:extLst>
            <a:ext uri="{FF2B5EF4-FFF2-40B4-BE49-F238E27FC236}">
              <a16:creationId xmlns:a16="http://schemas.microsoft.com/office/drawing/2014/main" id="{00000000-0008-0000-0500-0000DE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15</xdr:row>
      <xdr:rowOff>0</xdr:rowOff>
    </xdr:from>
    <xdr:to>
      <xdr:col>4</xdr:col>
      <xdr:colOff>76200</xdr:colOff>
      <xdr:row>16</xdr:row>
      <xdr:rowOff>0</xdr:rowOff>
    </xdr:to>
    <xdr:sp macro="" textlink="">
      <xdr:nvSpPr>
        <xdr:cNvPr id="223" name="Text Box 1">
          <a:extLst>
            <a:ext uri="{FF2B5EF4-FFF2-40B4-BE49-F238E27FC236}">
              <a16:creationId xmlns:a16="http://schemas.microsoft.com/office/drawing/2014/main" id="{00000000-0008-0000-0500-0000DF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15</xdr:row>
      <xdr:rowOff>0</xdr:rowOff>
    </xdr:from>
    <xdr:to>
      <xdr:col>4</xdr:col>
      <xdr:colOff>76200</xdr:colOff>
      <xdr:row>16</xdr:row>
      <xdr:rowOff>0</xdr:rowOff>
    </xdr:to>
    <xdr:sp macro="" textlink="">
      <xdr:nvSpPr>
        <xdr:cNvPr id="224" name="Text Box 1">
          <a:extLst>
            <a:ext uri="{FF2B5EF4-FFF2-40B4-BE49-F238E27FC236}">
              <a16:creationId xmlns:a16="http://schemas.microsoft.com/office/drawing/2014/main" id="{00000000-0008-0000-0500-0000E0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15</xdr:row>
      <xdr:rowOff>0</xdr:rowOff>
    </xdr:from>
    <xdr:to>
      <xdr:col>4</xdr:col>
      <xdr:colOff>76200</xdr:colOff>
      <xdr:row>16</xdr:row>
      <xdr:rowOff>0</xdr:rowOff>
    </xdr:to>
    <xdr:sp macro="" textlink="">
      <xdr:nvSpPr>
        <xdr:cNvPr id="225" name="Text Box 2">
          <a:extLst>
            <a:ext uri="{FF2B5EF4-FFF2-40B4-BE49-F238E27FC236}">
              <a16:creationId xmlns:a16="http://schemas.microsoft.com/office/drawing/2014/main" id="{00000000-0008-0000-0500-0000E1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15</xdr:row>
      <xdr:rowOff>0</xdr:rowOff>
    </xdr:from>
    <xdr:to>
      <xdr:col>4</xdr:col>
      <xdr:colOff>76200</xdr:colOff>
      <xdr:row>16</xdr:row>
      <xdr:rowOff>0</xdr:rowOff>
    </xdr:to>
    <xdr:sp macro="" textlink="">
      <xdr:nvSpPr>
        <xdr:cNvPr id="226" name="Text Box 1">
          <a:extLst>
            <a:ext uri="{FF2B5EF4-FFF2-40B4-BE49-F238E27FC236}">
              <a16:creationId xmlns:a16="http://schemas.microsoft.com/office/drawing/2014/main" id="{00000000-0008-0000-0500-0000E2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15</xdr:row>
      <xdr:rowOff>0</xdr:rowOff>
    </xdr:from>
    <xdr:to>
      <xdr:col>4</xdr:col>
      <xdr:colOff>76200</xdr:colOff>
      <xdr:row>16</xdr:row>
      <xdr:rowOff>0</xdr:rowOff>
    </xdr:to>
    <xdr:sp macro="" textlink="">
      <xdr:nvSpPr>
        <xdr:cNvPr id="227" name="Text Box 1">
          <a:extLst>
            <a:ext uri="{FF2B5EF4-FFF2-40B4-BE49-F238E27FC236}">
              <a16:creationId xmlns:a16="http://schemas.microsoft.com/office/drawing/2014/main" id="{00000000-0008-0000-0500-0000E3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15</xdr:row>
      <xdr:rowOff>0</xdr:rowOff>
    </xdr:from>
    <xdr:to>
      <xdr:col>4</xdr:col>
      <xdr:colOff>76200</xdr:colOff>
      <xdr:row>16</xdr:row>
      <xdr:rowOff>0</xdr:rowOff>
    </xdr:to>
    <xdr:sp macro="" textlink="">
      <xdr:nvSpPr>
        <xdr:cNvPr id="228" name="Text Box 1">
          <a:extLst>
            <a:ext uri="{FF2B5EF4-FFF2-40B4-BE49-F238E27FC236}">
              <a16:creationId xmlns:a16="http://schemas.microsoft.com/office/drawing/2014/main" id="{00000000-0008-0000-0500-0000E4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15</xdr:row>
      <xdr:rowOff>0</xdr:rowOff>
    </xdr:from>
    <xdr:to>
      <xdr:col>4</xdr:col>
      <xdr:colOff>76200</xdr:colOff>
      <xdr:row>16</xdr:row>
      <xdr:rowOff>0</xdr:rowOff>
    </xdr:to>
    <xdr:sp macro="" textlink="">
      <xdr:nvSpPr>
        <xdr:cNvPr id="229" name="Text Box 2">
          <a:extLst>
            <a:ext uri="{FF2B5EF4-FFF2-40B4-BE49-F238E27FC236}">
              <a16:creationId xmlns:a16="http://schemas.microsoft.com/office/drawing/2014/main" id="{00000000-0008-0000-0500-0000E5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15</xdr:row>
      <xdr:rowOff>0</xdr:rowOff>
    </xdr:from>
    <xdr:to>
      <xdr:col>4</xdr:col>
      <xdr:colOff>76200</xdr:colOff>
      <xdr:row>16</xdr:row>
      <xdr:rowOff>0</xdr:rowOff>
    </xdr:to>
    <xdr:sp macro="" textlink="">
      <xdr:nvSpPr>
        <xdr:cNvPr id="230" name="Text Box 1">
          <a:extLst>
            <a:ext uri="{FF2B5EF4-FFF2-40B4-BE49-F238E27FC236}">
              <a16:creationId xmlns:a16="http://schemas.microsoft.com/office/drawing/2014/main" id="{00000000-0008-0000-0500-0000E6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15</xdr:row>
      <xdr:rowOff>0</xdr:rowOff>
    </xdr:from>
    <xdr:to>
      <xdr:col>4</xdr:col>
      <xdr:colOff>76200</xdr:colOff>
      <xdr:row>16</xdr:row>
      <xdr:rowOff>0</xdr:rowOff>
    </xdr:to>
    <xdr:sp macro="" textlink="">
      <xdr:nvSpPr>
        <xdr:cNvPr id="231" name="Text Box 1">
          <a:extLst>
            <a:ext uri="{FF2B5EF4-FFF2-40B4-BE49-F238E27FC236}">
              <a16:creationId xmlns:a16="http://schemas.microsoft.com/office/drawing/2014/main" id="{00000000-0008-0000-0500-0000E7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16</xdr:row>
      <xdr:rowOff>0</xdr:rowOff>
    </xdr:from>
    <xdr:to>
      <xdr:col>4</xdr:col>
      <xdr:colOff>76200</xdr:colOff>
      <xdr:row>17</xdr:row>
      <xdr:rowOff>0</xdr:rowOff>
    </xdr:to>
    <xdr:sp macro="" textlink="">
      <xdr:nvSpPr>
        <xdr:cNvPr id="232" name="Text Box 1">
          <a:extLst>
            <a:ext uri="{FF2B5EF4-FFF2-40B4-BE49-F238E27FC236}">
              <a16:creationId xmlns:a16="http://schemas.microsoft.com/office/drawing/2014/main" id="{00000000-0008-0000-0500-0000E8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16</xdr:row>
      <xdr:rowOff>0</xdr:rowOff>
    </xdr:from>
    <xdr:to>
      <xdr:col>4</xdr:col>
      <xdr:colOff>76200</xdr:colOff>
      <xdr:row>17</xdr:row>
      <xdr:rowOff>0</xdr:rowOff>
    </xdr:to>
    <xdr:sp macro="" textlink="">
      <xdr:nvSpPr>
        <xdr:cNvPr id="233" name="Text Box 2">
          <a:extLst>
            <a:ext uri="{FF2B5EF4-FFF2-40B4-BE49-F238E27FC236}">
              <a16:creationId xmlns:a16="http://schemas.microsoft.com/office/drawing/2014/main" id="{00000000-0008-0000-0500-0000E9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16</xdr:row>
      <xdr:rowOff>0</xdr:rowOff>
    </xdr:from>
    <xdr:to>
      <xdr:col>4</xdr:col>
      <xdr:colOff>76200</xdr:colOff>
      <xdr:row>17</xdr:row>
      <xdr:rowOff>0</xdr:rowOff>
    </xdr:to>
    <xdr:sp macro="" textlink="">
      <xdr:nvSpPr>
        <xdr:cNvPr id="234" name="Text Box 1">
          <a:extLst>
            <a:ext uri="{FF2B5EF4-FFF2-40B4-BE49-F238E27FC236}">
              <a16:creationId xmlns:a16="http://schemas.microsoft.com/office/drawing/2014/main" id="{00000000-0008-0000-0500-0000EA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16</xdr:row>
      <xdr:rowOff>0</xdr:rowOff>
    </xdr:from>
    <xdr:to>
      <xdr:col>4</xdr:col>
      <xdr:colOff>76200</xdr:colOff>
      <xdr:row>17</xdr:row>
      <xdr:rowOff>0</xdr:rowOff>
    </xdr:to>
    <xdr:sp macro="" textlink="">
      <xdr:nvSpPr>
        <xdr:cNvPr id="235" name="Text Box 1">
          <a:extLst>
            <a:ext uri="{FF2B5EF4-FFF2-40B4-BE49-F238E27FC236}">
              <a16:creationId xmlns:a16="http://schemas.microsoft.com/office/drawing/2014/main" id="{00000000-0008-0000-0500-0000EB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16</xdr:row>
      <xdr:rowOff>0</xdr:rowOff>
    </xdr:from>
    <xdr:to>
      <xdr:col>4</xdr:col>
      <xdr:colOff>76200</xdr:colOff>
      <xdr:row>17</xdr:row>
      <xdr:rowOff>0</xdr:rowOff>
    </xdr:to>
    <xdr:sp macro="" textlink="">
      <xdr:nvSpPr>
        <xdr:cNvPr id="236" name="Text Box 1">
          <a:extLst>
            <a:ext uri="{FF2B5EF4-FFF2-40B4-BE49-F238E27FC236}">
              <a16:creationId xmlns:a16="http://schemas.microsoft.com/office/drawing/2014/main" id="{00000000-0008-0000-0500-0000EC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16</xdr:row>
      <xdr:rowOff>0</xdr:rowOff>
    </xdr:from>
    <xdr:to>
      <xdr:col>4</xdr:col>
      <xdr:colOff>76200</xdr:colOff>
      <xdr:row>17</xdr:row>
      <xdr:rowOff>0</xdr:rowOff>
    </xdr:to>
    <xdr:sp macro="" textlink="">
      <xdr:nvSpPr>
        <xdr:cNvPr id="237" name="Text Box 2">
          <a:extLst>
            <a:ext uri="{FF2B5EF4-FFF2-40B4-BE49-F238E27FC236}">
              <a16:creationId xmlns:a16="http://schemas.microsoft.com/office/drawing/2014/main" id="{00000000-0008-0000-0500-0000ED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16</xdr:row>
      <xdr:rowOff>0</xdr:rowOff>
    </xdr:from>
    <xdr:to>
      <xdr:col>4</xdr:col>
      <xdr:colOff>76200</xdr:colOff>
      <xdr:row>17</xdr:row>
      <xdr:rowOff>0</xdr:rowOff>
    </xdr:to>
    <xdr:sp macro="" textlink="">
      <xdr:nvSpPr>
        <xdr:cNvPr id="238" name="Text Box 1">
          <a:extLst>
            <a:ext uri="{FF2B5EF4-FFF2-40B4-BE49-F238E27FC236}">
              <a16:creationId xmlns:a16="http://schemas.microsoft.com/office/drawing/2014/main" id="{00000000-0008-0000-0500-0000EE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16</xdr:row>
      <xdr:rowOff>0</xdr:rowOff>
    </xdr:from>
    <xdr:to>
      <xdr:col>4</xdr:col>
      <xdr:colOff>76200</xdr:colOff>
      <xdr:row>17</xdr:row>
      <xdr:rowOff>0</xdr:rowOff>
    </xdr:to>
    <xdr:sp macro="" textlink="">
      <xdr:nvSpPr>
        <xdr:cNvPr id="239" name="Text Box 1">
          <a:extLst>
            <a:ext uri="{FF2B5EF4-FFF2-40B4-BE49-F238E27FC236}">
              <a16:creationId xmlns:a16="http://schemas.microsoft.com/office/drawing/2014/main" id="{00000000-0008-0000-0500-0000EF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16</xdr:row>
      <xdr:rowOff>0</xdr:rowOff>
    </xdr:from>
    <xdr:to>
      <xdr:col>4</xdr:col>
      <xdr:colOff>76200</xdr:colOff>
      <xdr:row>17</xdr:row>
      <xdr:rowOff>0</xdr:rowOff>
    </xdr:to>
    <xdr:sp macro="" textlink="">
      <xdr:nvSpPr>
        <xdr:cNvPr id="240" name="Text Box 1">
          <a:extLst>
            <a:ext uri="{FF2B5EF4-FFF2-40B4-BE49-F238E27FC236}">
              <a16:creationId xmlns:a16="http://schemas.microsoft.com/office/drawing/2014/main" id="{00000000-0008-0000-0500-0000F0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16</xdr:row>
      <xdr:rowOff>0</xdr:rowOff>
    </xdr:from>
    <xdr:to>
      <xdr:col>4</xdr:col>
      <xdr:colOff>76200</xdr:colOff>
      <xdr:row>17</xdr:row>
      <xdr:rowOff>0</xdr:rowOff>
    </xdr:to>
    <xdr:sp macro="" textlink="">
      <xdr:nvSpPr>
        <xdr:cNvPr id="241" name="Text Box 2">
          <a:extLst>
            <a:ext uri="{FF2B5EF4-FFF2-40B4-BE49-F238E27FC236}">
              <a16:creationId xmlns:a16="http://schemas.microsoft.com/office/drawing/2014/main" id="{00000000-0008-0000-0500-0000F1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16</xdr:row>
      <xdr:rowOff>0</xdr:rowOff>
    </xdr:from>
    <xdr:to>
      <xdr:col>4</xdr:col>
      <xdr:colOff>76200</xdr:colOff>
      <xdr:row>17</xdr:row>
      <xdr:rowOff>0</xdr:rowOff>
    </xdr:to>
    <xdr:sp macro="" textlink="">
      <xdr:nvSpPr>
        <xdr:cNvPr id="242" name="Text Box 1">
          <a:extLst>
            <a:ext uri="{FF2B5EF4-FFF2-40B4-BE49-F238E27FC236}">
              <a16:creationId xmlns:a16="http://schemas.microsoft.com/office/drawing/2014/main" id="{00000000-0008-0000-0500-0000F2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16</xdr:row>
      <xdr:rowOff>0</xdr:rowOff>
    </xdr:from>
    <xdr:to>
      <xdr:col>4</xdr:col>
      <xdr:colOff>76200</xdr:colOff>
      <xdr:row>17</xdr:row>
      <xdr:rowOff>0</xdr:rowOff>
    </xdr:to>
    <xdr:sp macro="" textlink="">
      <xdr:nvSpPr>
        <xdr:cNvPr id="243" name="Text Box 1">
          <a:extLst>
            <a:ext uri="{FF2B5EF4-FFF2-40B4-BE49-F238E27FC236}">
              <a16:creationId xmlns:a16="http://schemas.microsoft.com/office/drawing/2014/main" id="{00000000-0008-0000-0500-0000F3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16</xdr:row>
      <xdr:rowOff>0</xdr:rowOff>
    </xdr:from>
    <xdr:to>
      <xdr:col>4</xdr:col>
      <xdr:colOff>76200</xdr:colOff>
      <xdr:row>17</xdr:row>
      <xdr:rowOff>0</xdr:rowOff>
    </xdr:to>
    <xdr:sp macro="" textlink="">
      <xdr:nvSpPr>
        <xdr:cNvPr id="244" name="Text Box 1">
          <a:extLst>
            <a:ext uri="{FF2B5EF4-FFF2-40B4-BE49-F238E27FC236}">
              <a16:creationId xmlns:a16="http://schemas.microsoft.com/office/drawing/2014/main" id="{00000000-0008-0000-0500-0000F4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16</xdr:row>
      <xdr:rowOff>0</xdr:rowOff>
    </xdr:from>
    <xdr:to>
      <xdr:col>4</xdr:col>
      <xdr:colOff>76200</xdr:colOff>
      <xdr:row>17</xdr:row>
      <xdr:rowOff>0</xdr:rowOff>
    </xdr:to>
    <xdr:sp macro="" textlink="">
      <xdr:nvSpPr>
        <xdr:cNvPr id="245" name="Text Box 2">
          <a:extLst>
            <a:ext uri="{FF2B5EF4-FFF2-40B4-BE49-F238E27FC236}">
              <a16:creationId xmlns:a16="http://schemas.microsoft.com/office/drawing/2014/main" id="{00000000-0008-0000-0500-0000F5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16</xdr:row>
      <xdr:rowOff>0</xdr:rowOff>
    </xdr:from>
    <xdr:to>
      <xdr:col>4</xdr:col>
      <xdr:colOff>76200</xdr:colOff>
      <xdr:row>17</xdr:row>
      <xdr:rowOff>0</xdr:rowOff>
    </xdr:to>
    <xdr:sp macro="" textlink="">
      <xdr:nvSpPr>
        <xdr:cNvPr id="246" name="Text Box 1">
          <a:extLst>
            <a:ext uri="{FF2B5EF4-FFF2-40B4-BE49-F238E27FC236}">
              <a16:creationId xmlns:a16="http://schemas.microsoft.com/office/drawing/2014/main" id="{00000000-0008-0000-0500-0000F6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16</xdr:row>
      <xdr:rowOff>0</xdr:rowOff>
    </xdr:from>
    <xdr:to>
      <xdr:col>4</xdr:col>
      <xdr:colOff>76200</xdr:colOff>
      <xdr:row>17</xdr:row>
      <xdr:rowOff>0</xdr:rowOff>
    </xdr:to>
    <xdr:sp macro="" textlink="">
      <xdr:nvSpPr>
        <xdr:cNvPr id="247" name="Text Box 1">
          <a:extLst>
            <a:ext uri="{FF2B5EF4-FFF2-40B4-BE49-F238E27FC236}">
              <a16:creationId xmlns:a16="http://schemas.microsoft.com/office/drawing/2014/main" id="{00000000-0008-0000-0500-0000F7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16</xdr:row>
      <xdr:rowOff>0</xdr:rowOff>
    </xdr:from>
    <xdr:to>
      <xdr:col>4</xdr:col>
      <xdr:colOff>76200</xdr:colOff>
      <xdr:row>17</xdr:row>
      <xdr:rowOff>0</xdr:rowOff>
    </xdr:to>
    <xdr:sp macro="" textlink="">
      <xdr:nvSpPr>
        <xdr:cNvPr id="248" name="Text Box 2">
          <a:extLst>
            <a:ext uri="{FF2B5EF4-FFF2-40B4-BE49-F238E27FC236}">
              <a16:creationId xmlns:a16="http://schemas.microsoft.com/office/drawing/2014/main" id="{00000000-0008-0000-0500-0000F8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16</xdr:row>
      <xdr:rowOff>0</xdr:rowOff>
    </xdr:from>
    <xdr:to>
      <xdr:col>4</xdr:col>
      <xdr:colOff>76200</xdr:colOff>
      <xdr:row>17</xdr:row>
      <xdr:rowOff>0</xdr:rowOff>
    </xdr:to>
    <xdr:sp macro="" textlink="">
      <xdr:nvSpPr>
        <xdr:cNvPr id="249" name="Text Box 1">
          <a:extLst>
            <a:ext uri="{FF2B5EF4-FFF2-40B4-BE49-F238E27FC236}">
              <a16:creationId xmlns:a16="http://schemas.microsoft.com/office/drawing/2014/main" id="{00000000-0008-0000-0500-0000F9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16</xdr:row>
      <xdr:rowOff>0</xdr:rowOff>
    </xdr:from>
    <xdr:to>
      <xdr:col>4</xdr:col>
      <xdr:colOff>76200</xdr:colOff>
      <xdr:row>17</xdr:row>
      <xdr:rowOff>0</xdr:rowOff>
    </xdr:to>
    <xdr:sp macro="" textlink="">
      <xdr:nvSpPr>
        <xdr:cNvPr id="250" name="Text Box 1">
          <a:extLst>
            <a:ext uri="{FF2B5EF4-FFF2-40B4-BE49-F238E27FC236}">
              <a16:creationId xmlns:a16="http://schemas.microsoft.com/office/drawing/2014/main" id="{00000000-0008-0000-0500-0000FA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16</xdr:row>
      <xdr:rowOff>0</xdr:rowOff>
    </xdr:from>
    <xdr:to>
      <xdr:col>4</xdr:col>
      <xdr:colOff>76200</xdr:colOff>
      <xdr:row>17</xdr:row>
      <xdr:rowOff>0</xdr:rowOff>
    </xdr:to>
    <xdr:sp macro="" textlink="">
      <xdr:nvSpPr>
        <xdr:cNvPr id="251" name="Text Box 1">
          <a:extLst>
            <a:ext uri="{FF2B5EF4-FFF2-40B4-BE49-F238E27FC236}">
              <a16:creationId xmlns:a16="http://schemas.microsoft.com/office/drawing/2014/main" id="{00000000-0008-0000-0500-0000FB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16</xdr:row>
      <xdr:rowOff>0</xdr:rowOff>
    </xdr:from>
    <xdr:to>
      <xdr:col>4</xdr:col>
      <xdr:colOff>76200</xdr:colOff>
      <xdr:row>17</xdr:row>
      <xdr:rowOff>0</xdr:rowOff>
    </xdr:to>
    <xdr:sp macro="" textlink="">
      <xdr:nvSpPr>
        <xdr:cNvPr id="252" name="Text Box 2">
          <a:extLst>
            <a:ext uri="{FF2B5EF4-FFF2-40B4-BE49-F238E27FC236}">
              <a16:creationId xmlns:a16="http://schemas.microsoft.com/office/drawing/2014/main" id="{00000000-0008-0000-0500-0000FC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16</xdr:row>
      <xdr:rowOff>0</xdr:rowOff>
    </xdr:from>
    <xdr:to>
      <xdr:col>4</xdr:col>
      <xdr:colOff>76200</xdr:colOff>
      <xdr:row>17</xdr:row>
      <xdr:rowOff>0</xdr:rowOff>
    </xdr:to>
    <xdr:sp macro="" textlink="">
      <xdr:nvSpPr>
        <xdr:cNvPr id="253" name="Text Box 1">
          <a:extLst>
            <a:ext uri="{FF2B5EF4-FFF2-40B4-BE49-F238E27FC236}">
              <a16:creationId xmlns:a16="http://schemas.microsoft.com/office/drawing/2014/main" id="{00000000-0008-0000-0500-0000FD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16</xdr:row>
      <xdr:rowOff>0</xdr:rowOff>
    </xdr:from>
    <xdr:to>
      <xdr:col>4</xdr:col>
      <xdr:colOff>76200</xdr:colOff>
      <xdr:row>17</xdr:row>
      <xdr:rowOff>0</xdr:rowOff>
    </xdr:to>
    <xdr:sp macro="" textlink="">
      <xdr:nvSpPr>
        <xdr:cNvPr id="254" name="Text Box 1">
          <a:extLst>
            <a:ext uri="{FF2B5EF4-FFF2-40B4-BE49-F238E27FC236}">
              <a16:creationId xmlns:a16="http://schemas.microsoft.com/office/drawing/2014/main" id="{00000000-0008-0000-0500-0000FE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17</xdr:row>
      <xdr:rowOff>0</xdr:rowOff>
    </xdr:from>
    <xdr:to>
      <xdr:col>4</xdr:col>
      <xdr:colOff>76200</xdr:colOff>
      <xdr:row>18</xdr:row>
      <xdr:rowOff>0</xdr:rowOff>
    </xdr:to>
    <xdr:sp macro="" textlink="">
      <xdr:nvSpPr>
        <xdr:cNvPr id="255" name="Text Box 1">
          <a:extLst>
            <a:ext uri="{FF2B5EF4-FFF2-40B4-BE49-F238E27FC236}">
              <a16:creationId xmlns:a16="http://schemas.microsoft.com/office/drawing/2014/main" id="{00000000-0008-0000-0500-0000FF00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17</xdr:row>
      <xdr:rowOff>0</xdr:rowOff>
    </xdr:from>
    <xdr:to>
      <xdr:col>4</xdr:col>
      <xdr:colOff>76200</xdr:colOff>
      <xdr:row>18</xdr:row>
      <xdr:rowOff>0</xdr:rowOff>
    </xdr:to>
    <xdr:sp macro="" textlink="">
      <xdr:nvSpPr>
        <xdr:cNvPr id="256" name="Text Box 2">
          <a:extLst>
            <a:ext uri="{FF2B5EF4-FFF2-40B4-BE49-F238E27FC236}">
              <a16:creationId xmlns:a16="http://schemas.microsoft.com/office/drawing/2014/main" id="{00000000-0008-0000-0500-000000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17</xdr:row>
      <xdr:rowOff>0</xdr:rowOff>
    </xdr:from>
    <xdr:to>
      <xdr:col>4</xdr:col>
      <xdr:colOff>76200</xdr:colOff>
      <xdr:row>18</xdr:row>
      <xdr:rowOff>0</xdr:rowOff>
    </xdr:to>
    <xdr:sp macro="" textlink="">
      <xdr:nvSpPr>
        <xdr:cNvPr id="257" name="Text Box 1">
          <a:extLst>
            <a:ext uri="{FF2B5EF4-FFF2-40B4-BE49-F238E27FC236}">
              <a16:creationId xmlns:a16="http://schemas.microsoft.com/office/drawing/2014/main" id="{00000000-0008-0000-0500-000001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17</xdr:row>
      <xdr:rowOff>0</xdr:rowOff>
    </xdr:from>
    <xdr:to>
      <xdr:col>4</xdr:col>
      <xdr:colOff>76200</xdr:colOff>
      <xdr:row>18</xdr:row>
      <xdr:rowOff>0</xdr:rowOff>
    </xdr:to>
    <xdr:sp macro="" textlink="">
      <xdr:nvSpPr>
        <xdr:cNvPr id="258" name="Text Box 1">
          <a:extLst>
            <a:ext uri="{FF2B5EF4-FFF2-40B4-BE49-F238E27FC236}">
              <a16:creationId xmlns:a16="http://schemas.microsoft.com/office/drawing/2014/main" id="{00000000-0008-0000-0500-000002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17</xdr:row>
      <xdr:rowOff>0</xdr:rowOff>
    </xdr:from>
    <xdr:to>
      <xdr:col>4</xdr:col>
      <xdr:colOff>76200</xdr:colOff>
      <xdr:row>18</xdr:row>
      <xdr:rowOff>0</xdr:rowOff>
    </xdr:to>
    <xdr:sp macro="" textlink="">
      <xdr:nvSpPr>
        <xdr:cNvPr id="259" name="Text Box 1">
          <a:extLst>
            <a:ext uri="{FF2B5EF4-FFF2-40B4-BE49-F238E27FC236}">
              <a16:creationId xmlns:a16="http://schemas.microsoft.com/office/drawing/2014/main" id="{00000000-0008-0000-0500-000003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17</xdr:row>
      <xdr:rowOff>0</xdr:rowOff>
    </xdr:from>
    <xdr:to>
      <xdr:col>4</xdr:col>
      <xdr:colOff>76200</xdr:colOff>
      <xdr:row>18</xdr:row>
      <xdr:rowOff>0</xdr:rowOff>
    </xdr:to>
    <xdr:sp macro="" textlink="">
      <xdr:nvSpPr>
        <xdr:cNvPr id="260" name="Text Box 2">
          <a:extLst>
            <a:ext uri="{FF2B5EF4-FFF2-40B4-BE49-F238E27FC236}">
              <a16:creationId xmlns:a16="http://schemas.microsoft.com/office/drawing/2014/main" id="{00000000-0008-0000-0500-000004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17</xdr:row>
      <xdr:rowOff>0</xdr:rowOff>
    </xdr:from>
    <xdr:to>
      <xdr:col>4</xdr:col>
      <xdr:colOff>76200</xdr:colOff>
      <xdr:row>18</xdr:row>
      <xdr:rowOff>0</xdr:rowOff>
    </xdr:to>
    <xdr:sp macro="" textlink="">
      <xdr:nvSpPr>
        <xdr:cNvPr id="261" name="Text Box 1">
          <a:extLst>
            <a:ext uri="{FF2B5EF4-FFF2-40B4-BE49-F238E27FC236}">
              <a16:creationId xmlns:a16="http://schemas.microsoft.com/office/drawing/2014/main" id="{00000000-0008-0000-0500-000005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17</xdr:row>
      <xdr:rowOff>0</xdr:rowOff>
    </xdr:from>
    <xdr:to>
      <xdr:col>4</xdr:col>
      <xdr:colOff>76200</xdr:colOff>
      <xdr:row>18</xdr:row>
      <xdr:rowOff>0</xdr:rowOff>
    </xdr:to>
    <xdr:sp macro="" textlink="">
      <xdr:nvSpPr>
        <xdr:cNvPr id="262" name="Text Box 1">
          <a:extLst>
            <a:ext uri="{FF2B5EF4-FFF2-40B4-BE49-F238E27FC236}">
              <a16:creationId xmlns:a16="http://schemas.microsoft.com/office/drawing/2014/main" id="{00000000-0008-0000-0500-000006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17</xdr:row>
      <xdr:rowOff>0</xdr:rowOff>
    </xdr:from>
    <xdr:to>
      <xdr:col>4</xdr:col>
      <xdr:colOff>76200</xdr:colOff>
      <xdr:row>18</xdr:row>
      <xdr:rowOff>0</xdr:rowOff>
    </xdr:to>
    <xdr:sp macro="" textlink="">
      <xdr:nvSpPr>
        <xdr:cNvPr id="263" name="Text Box 1">
          <a:extLst>
            <a:ext uri="{FF2B5EF4-FFF2-40B4-BE49-F238E27FC236}">
              <a16:creationId xmlns:a16="http://schemas.microsoft.com/office/drawing/2014/main" id="{00000000-0008-0000-0500-000007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17</xdr:row>
      <xdr:rowOff>0</xdr:rowOff>
    </xdr:from>
    <xdr:to>
      <xdr:col>4</xdr:col>
      <xdr:colOff>76200</xdr:colOff>
      <xdr:row>18</xdr:row>
      <xdr:rowOff>0</xdr:rowOff>
    </xdr:to>
    <xdr:sp macro="" textlink="">
      <xdr:nvSpPr>
        <xdr:cNvPr id="264" name="Text Box 2">
          <a:extLst>
            <a:ext uri="{FF2B5EF4-FFF2-40B4-BE49-F238E27FC236}">
              <a16:creationId xmlns:a16="http://schemas.microsoft.com/office/drawing/2014/main" id="{00000000-0008-0000-0500-000008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17</xdr:row>
      <xdr:rowOff>0</xdr:rowOff>
    </xdr:from>
    <xdr:to>
      <xdr:col>4</xdr:col>
      <xdr:colOff>76200</xdr:colOff>
      <xdr:row>18</xdr:row>
      <xdr:rowOff>0</xdr:rowOff>
    </xdr:to>
    <xdr:sp macro="" textlink="">
      <xdr:nvSpPr>
        <xdr:cNvPr id="265" name="Text Box 1">
          <a:extLst>
            <a:ext uri="{FF2B5EF4-FFF2-40B4-BE49-F238E27FC236}">
              <a16:creationId xmlns:a16="http://schemas.microsoft.com/office/drawing/2014/main" id="{00000000-0008-0000-0500-000009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17</xdr:row>
      <xdr:rowOff>0</xdr:rowOff>
    </xdr:from>
    <xdr:to>
      <xdr:col>4</xdr:col>
      <xdr:colOff>76200</xdr:colOff>
      <xdr:row>18</xdr:row>
      <xdr:rowOff>0</xdr:rowOff>
    </xdr:to>
    <xdr:sp macro="" textlink="">
      <xdr:nvSpPr>
        <xdr:cNvPr id="266" name="Text Box 1">
          <a:extLst>
            <a:ext uri="{FF2B5EF4-FFF2-40B4-BE49-F238E27FC236}">
              <a16:creationId xmlns:a16="http://schemas.microsoft.com/office/drawing/2014/main" id="{00000000-0008-0000-0500-00000A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17</xdr:row>
      <xdr:rowOff>0</xdr:rowOff>
    </xdr:from>
    <xdr:to>
      <xdr:col>4</xdr:col>
      <xdr:colOff>76200</xdr:colOff>
      <xdr:row>18</xdr:row>
      <xdr:rowOff>0</xdr:rowOff>
    </xdr:to>
    <xdr:sp macro="" textlink="">
      <xdr:nvSpPr>
        <xdr:cNvPr id="267" name="Text Box 1">
          <a:extLst>
            <a:ext uri="{FF2B5EF4-FFF2-40B4-BE49-F238E27FC236}">
              <a16:creationId xmlns:a16="http://schemas.microsoft.com/office/drawing/2014/main" id="{00000000-0008-0000-0500-00000B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17</xdr:row>
      <xdr:rowOff>0</xdr:rowOff>
    </xdr:from>
    <xdr:to>
      <xdr:col>4</xdr:col>
      <xdr:colOff>76200</xdr:colOff>
      <xdr:row>18</xdr:row>
      <xdr:rowOff>0</xdr:rowOff>
    </xdr:to>
    <xdr:sp macro="" textlink="">
      <xdr:nvSpPr>
        <xdr:cNvPr id="268" name="Text Box 2">
          <a:extLst>
            <a:ext uri="{FF2B5EF4-FFF2-40B4-BE49-F238E27FC236}">
              <a16:creationId xmlns:a16="http://schemas.microsoft.com/office/drawing/2014/main" id="{00000000-0008-0000-0500-00000C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17</xdr:row>
      <xdr:rowOff>0</xdr:rowOff>
    </xdr:from>
    <xdr:to>
      <xdr:col>4</xdr:col>
      <xdr:colOff>76200</xdr:colOff>
      <xdr:row>18</xdr:row>
      <xdr:rowOff>0</xdr:rowOff>
    </xdr:to>
    <xdr:sp macro="" textlink="">
      <xdr:nvSpPr>
        <xdr:cNvPr id="269" name="Text Box 1">
          <a:extLst>
            <a:ext uri="{FF2B5EF4-FFF2-40B4-BE49-F238E27FC236}">
              <a16:creationId xmlns:a16="http://schemas.microsoft.com/office/drawing/2014/main" id="{00000000-0008-0000-0500-00000D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17</xdr:row>
      <xdr:rowOff>0</xdr:rowOff>
    </xdr:from>
    <xdr:to>
      <xdr:col>4</xdr:col>
      <xdr:colOff>76200</xdr:colOff>
      <xdr:row>18</xdr:row>
      <xdr:rowOff>0</xdr:rowOff>
    </xdr:to>
    <xdr:sp macro="" textlink="">
      <xdr:nvSpPr>
        <xdr:cNvPr id="270" name="Text Box 1">
          <a:extLst>
            <a:ext uri="{FF2B5EF4-FFF2-40B4-BE49-F238E27FC236}">
              <a16:creationId xmlns:a16="http://schemas.microsoft.com/office/drawing/2014/main" id="{00000000-0008-0000-0500-00000E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17</xdr:row>
      <xdr:rowOff>0</xdr:rowOff>
    </xdr:from>
    <xdr:to>
      <xdr:col>4</xdr:col>
      <xdr:colOff>76200</xdr:colOff>
      <xdr:row>18</xdr:row>
      <xdr:rowOff>0</xdr:rowOff>
    </xdr:to>
    <xdr:sp macro="" textlink="">
      <xdr:nvSpPr>
        <xdr:cNvPr id="271" name="Text Box 2">
          <a:extLst>
            <a:ext uri="{FF2B5EF4-FFF2-40B4-BE49-F238E27FC236}">
              <a16:creationId xmlns:a16="http://schemas.microsoft.com/office/drawing/2014/main" id="{00000000-0008-0000-0500-00000F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17</xdr:row>
      <xdr:rowOff>0</xdr:rowOff>
    </xdr:from>
    <xdr:to>
      <xdr:col>4</xdr:col>
      <xdr:colOff>76200</xdr:colOff>
      <xdr:row>18</xdr:row>
      <xdr:rowOff>0</xdr:rowOff>
    </xdr:to>
    <xdr:sp macro="" textlink="">
      <xdr:nvSpPr>
        <xdr:cNvPr id="272" name="Text Box 1">
          <a:extLst>
            <a:ext uri="{FF2B5EF4-FFF2-40B4-BE49-F238E27FC236}">
              <a16:creationId xmlns:a16="http://schemas.microsoft.com/office/drawing/2014/main" id="{00000000-0008-0000-0500-000010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17</xdr:row>
      <xdr:rowOff>0</xdr:rowOff>
    </xdr:from>
    <xdr:to>
      <xdr:col>4</xdr:col>
      <xdr:colOff>76200</xdr:colOff>
      <xdr:row>18</xdr:row>
      <xdr:rowOff>0</xdr:rowOff>
    </xdr:to>
    <xdr:sp macro="" textlink="">
      <xdr:nvSpPr>
        <xdr:cNvPr id="273" name="Text Box 1">
          <a:extLst>
            <a:ext uri="{FF2B5EF4-FFF2-40B4-BE49-F238E27FC236}">
              <a16:creationId xmlns:a16="http://schemas.microsoft.com/office/drawing/2014/main" id="{00000000-0008-0000-0500-000011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17</xdr:row>
      <xdr:rowOff>0</xdr:rowOff>
    </xdr:from>
    <xdr:to>
      <xdr:col>4</xdr:col>
      <xdr:colOff>76200</xdr:colOff>
      <xdr:row>18</xdr:row>
      <xdr:rowOff>0</xdr:rowOff>
    </xdr:to>
    <xdr:sp macro="" textlink="">
      <xdr:nvSpPr>
        <xdr:cNvPr id="274" name="Text Box 1">
          <a:extLst>
            <a:ext uri="{FF2B5EF4-FFF2-40B4-BE49-F238E27FC236}">
              <a16:creationId xmlns:a16="http://schemas.microsoft.com/office/drawing/2014/main" id="{00000000-0008-0000-0500-000012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17</xdr:row>
      <xdr:rowOff>0</xdr:rowOff>
    </xdr:from>
    <xdr:to>
      <xdr:col>4</xdr:col>
      <xdr:colOff>76200</xdr:colOff>
      <xdr:row>18</xdr:row>
      <xdr:rowOff>0</xdr:rowOff>
    </xdr:to>
    <xdr:sp macro="" textlink="">
      <xdr:nvSpPr>
        <xdr:cNvPr id="275" name="Text Box 2">
          <a:extLst>
            <a:ext uri="{FF2B5EF4-FFF2-40B4-BE49-F238E27FC236}">
              <a16:creationId xmlns:a16="http://schemas.microsoft.com/office/drawing/2014/main" id="{00000000-0008-0000-0500-000013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17</xdr:row>
      <xdr:rowOff>0</xdr:rowOff>
    </xdr:from>
    <xdr:to>
      <xdr:col>4</xdr:col>
      <xdr:colOff>76200</xdr:colOff>
      <xdr:row>18</xdr:row>
      <xdr:rowOff>0</xdr:rowOff>
    </xdr:to>
    <xdr:sp macro="" textlink="">
      <xdr:nvSpPr>
        <xdr:cNvPr id="276" name="Text Box 1">
          <a:extLst>
            <a:ext uri="{FF2B5EF4-FFF2-40B4-BE49-F238E27FC236}">
              <a16:creationId xmlns:a16="http://schemas.microsoft.com/office/drawing/2014/main" id="{00000000-0008-0000-0500-000014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17</xdr:row>
      <xdr:rowOff>0</xdr:rowOff>
    </xdr:from>
    <xdr:to>
      <xdr:col>4</xdr:col>
      <xdr:colOff>76200</xdr:colOff>
      <xdr:row>18</xdr:row>
      <xdr:rowOff>0</xdr:rowOff>
    </xdr:to>
    <xdr:sp macro="" textlink="">
      <xdr:nvSpPr>
        <xdr:cNvPr id="277" name="Text Box 1">
          <a:extLst>
            <a:ext uri="{FF2B5EF4-FFF2-40B4-BE49-F238E27FC236}">
              <a16:creationId xmlns:a16="http://schemas.microsoft.com/office/drawing/2014/main" id="{00000000-0008-0000-0500-000015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76200</xdr:colOff>
      <xdr:row>19</xdr:row>
      <xdr:rowOff>0</xdr:rowOff>
    </xdr:to>
    <xdr:sp macro="" textlink="">
      <xdr:nvSpPr>
        <xdr:cNvPr id="278" name="Text Box 1">
          <a:extLst>
            <a:ext uri="{FF2B5EF4-FFF2-40B4-BE49-F238E27FC236}">
              <a16:creationId xmlns:a16="http://schemas.microsoft.com/office/drawing/2014/main" id="{00000000-0008-0000-0500-000016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76200</xdr:colOff>
      <xdr:row>19</xdr:row>
      <xdr:rowOff>0</xdr:rowOff>
    </xdr:to>
    <xdr:sp macro="" textlink="">
      <xdr:nvSpPr>
        <xdr:cNvPr id="279" name="Text Box 2">
          <a:extLst>
            <a:ext uri="{FF2B5EF4-FFF2-40B4-BE49-F238E27FC236}">
              <a16:creationId xmlns:a16="http://schemas.microsoft.com/office/drawing/2014/main" id="{00000000-0008-0000-0500-000017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76200</xdr:colOff>
      <xdr:row>19</xdr:row>
      <xdr:rowOff>0</xdr:rowOff>
    </xdr:to>
    <xdr:sp macro="" textlink="">
      <xdr:nvSpPr>
        <xdr:cNvPr id="280" name="Text Box 1">
          <a:extLst>
            <a:ext uri="{FF2B5EF4-FFF2-40B4-BE49-F238E27FC236}">
              <a16:creationId xmlns:a16="http://schemas.microsoft.com/office/drawing/2014/main" id="{00000000-0008-0000-0500-000018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76200</xdr:colOff>
      <xdr:row>19</xdr:row>
      <xdr:rowOff>0</xdr:rowOff>
    </xdr:to>
    <xdr:sp macro="" textlink="">
      <xdr:nvSpPr>
        <xdr:cNvPr id="281" name="Text Box 1">
          <a:extLst>
            <a:ext uri="{FF2B5EF4-FFF2-40B4-BE49-F238E27FC236}">
              <a16:creationId xmlns:a16="http://schemas.microsoft.com/office/drawing/2014/main" id="{00000000-0008-0000-0500-000019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76200</xdr:colOff>
      <xdr:row>19</xdr:row>
      <xdr:rowOff>0</xdr:rowOff>
    </xdr:to>
    <xdr:sp macro="" textlink="">
      <xdr:nvSpPr>
        <xdr:cNvPr id="282" name="Text Box 1">
          <a:extLst>
            <a:ext uri="{FF2B5EF4-FFF2-40B4-BE49-F238E27FC236}">
              <a16:creationId xmlns:a16="http://schemas.microsoft.com/office/drawing/2014/main" id="{00000000-0008-0000-0500-00001A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76200</xdr:colOff>
      <xdr:row>19</xdr:row>
      <xdr:rowOff>0</xdr:rowOff>
    </xdr:to>
    <xdr:sp macro="" textlink="">
      <xdr:nvSpPr>
        <xdr:cNvPr id="283" name="Text Box 2">
          <a:extLst>
            <a:ext uri="{FF2B5EF4-FFF2-40B4-BE49-F238E27FC236}">
              <a16:creationId xmlns:a16="http://schemas.microsoft.com/office/drawing/2014/main" id="{00000000-0008-0000-0500-00001B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76200</xdr:colOff>
      <xdr:row>19</xdr:row>
      <xdr:rowOff>0</xdr:rowOff>
    </xdr:to>
    <xdr:sp macro="" textlink="">
      <xdr:nvSpPr>
        <xdr:cNvPr id="284" name="Text Box 1">
          <a:extLst>
            <a:ext uri="{FF2B5EF4-FFF2-40B4-BE49-F238E27FC236}">
              <a16:creationId xmlns:a16="http://schemas.microsoft.com/office/drawing/2014/main" id="{00000000-0008-0000-0500-00001C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76200</xdr:colOff>
      <xdr:row>19</xdr:row>
      <xdr:rowOff>0</xdr:rowOff>
    </xdr:to>
    <xdr:sp macro="" textlink="">
      <xdr:nvSpPr>
        <xdr:cNvPr id="285" name="Text Box 1">
          <a:extLst>
            <a:ext uri="{FF2B5EF4-FFF2-40B4-BE49-F238E27FC236}">
              <a16:creationId xmlns:a16="http://schemas.microsoft.com/office/drawing/2014/main" id="{00000000-0008-0000-0500-00001D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76200</xdr:colOff>
      <xdr:row>19</xdr:row>
      <xdr:rowOff>0</xdr:rowOff>
    </xdr:to>
    <xdr:sp macro="" textlink="">
      <xdr:nvSpPr>
        <xdr:cNvPr id="286" name="Text Box 1">
          <a:extLst>
            <a:ext uri="{FF2B5EF4-FFF2-40B4-BE49-F238E27FC236}">
              <a16:creationId xmlns:a16="http://schemas.microsoft.com/office/drawing/2014/main" id="{00000000-0008-0000-0500-00001E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76200</xdr:colOff>
      <xdr:row>19</xdr:row>
      <xdr:rowOff>0</xdr:rowOff>
    </xdr:to>
    <xdr:sp macro="" textlink="">
      <xdr:nvSpPr>
        <xdr:cNvPr id="287" name="Text Box 2">
          <a:extLst>
            <a:ext uri="{FF2B5EF4-FFF2-40B4-BE49-F238E27FC236}">
              <a16:creationId xmlns:a16="http://schemas.microsoft.com/office/drawing/2014/main" id="{00000000-0008-0000-0500-00001F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76200</xdr:colOff>
      <xdr:row>19</xdr:row>
      <xdr:rowOff>0</xdr:rowOff>
    </xdr:to>
    <xdr:sp macro="" textlink="">
      <xdr:nvSpPr>
        <xdr:cNvPr id="288" name="Text Box 1">
          <a:extLst>
            <a:ext uri="{FF2B5EF4-FFF2-40B4-BE49-F238E27FC236}">
              <a16:creationId xmlns:a16="http://schemas.microsoft.com/office/drawing/2014/main" id="{00000000-0008-0000-0500-000020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76200</xdr:colOff>
      <xdr:row>19</xdr:row>
      <xdr:rowOff>0</xdr:rowOff>
    </xdr:to>
    <xdr:sp macro="" textlink="">
      <xdr:nvSpPr>
        <xdr:cNvPr id="289" name="Text Box 1">
          <a:extLst>
            <a:ext uri="{FF2B5EF4-FFF2-40B4-BE49-F238E27FC236}">
              <a16:creationId xmlns:a16="http://schemas.microsoft.com/office/drawing/2014/main" id="{00000000-0008-0000-0500-000021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76200</xdr:colOff>
      <xdr:row>19</xdr:row>
      <xdr:rowOff>0</xdr:rowOff>
    </xdr:to>
    <xdr:sp macro="" textlink="">
      <xdr:nvSpPr>
        <xdr:cNvPr id="290" name="Text Box 1">
          <a:extLst>
            <a:ext uri="{FF2B5EF4-FFF2-40B4-BE49-F238E27FC236}">
              <a16:creationId xmlns:a16="http://schemas.microsoft.com/office/drawing/2014/main" id="{00000000-0008-0000-0500-000022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76200</xdr:colOff>
      <xdr:row>19</xdr:row>
      <xdr:rowOff>0</xdr:rowOff>
    </xdr:to>
    <xdr:sp macro="" textlink="">
      <xdr:nvSpPr>
        <xdr:cNvPr id="291" name="Text Box 2">
          <a:extLst>
            <a:ext uri="{FF2B5EF4-FFF2-40B4-BE49-F238E27FC236}">
              <a16:creationId xmlns:a16="http://schemas.microsoft.com/office/drawing/2014/main" id="{00000000-0008-0000-0500-000023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76200</xdr:colOff>
      <xdr:row>19</xdr:row>
      <xdr:rowOff>0</xdr:rowOff>
    </xdr:to>
    <xdr:sp macro="" textlink="">
      <xdr:nvSpPr>
        <xdr:cNvPr id="292" name="Text Box 1">
          <a:extLst>
            <a:ext uri="{FF2B5EF4-FFF2-40B4-BE49-F238E27FC236}">
              <a16:creationId xmlns:a16="http://schemas.microsoft.com/office/drawing/2014/main" id="{00000000-0008-0000-0500-000024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76200</xdr:colOff>
      <xdr:row>19</xdr:row>
      <xdr:rowOff>0</xdr:rowOff>
    </xdr:to>
    <xdr:sp macro="" textlink="">
      <xdr:nvSpPr>
        <xdr:cNvPr id="293" name="Text Box 1">
          <a:extLst>
            <a:ext uri="{FF2B5EF4-FFF2-40B4-BE49-F238E27FC236}">
              <a16:creationId xmlns:a16="http://schemas.microsoft.com/office/drawing/2014/main" id="{00000000-0008-0000-0500-000025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76200</xdr:colOff>
      <xdr:row>19</xdr:row>
      <xdr:rowOff>0</xdr:rowOff>
    </xdr:to>
    <xdr:sp macro="" textlink="">
      <xdr:nvSpPr>
        <xdr:cNvPr id="294" name="Text Box 2">
          <a:extLst>
            <a:ext uri="{FF2B5EF4-FFF2-40B4-BE49-F238E27FC236}">
              <a16:creationId xmlns:a16="http://schemas.microsoft.com/office/drawing/2014/main" id="{00000000-0008-0000-0500-000026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76200</xdr:colOff>
      <xdr:row>19</xdr:row>
      <xdr:rowOff>0</xdr:rowOff>
    </xdr:to>
    <xdr:sp macro="" textlink="">
      <xdr:nvSpPr>
        <xdr:cNvPr id="295" name="Text Box 1">
          <a:extLst>
            <a:ext uri="{FF2B5EF4-FFF2-40B4-BE49-F238E27FC236}">
              <a16:creationId xmlns:a16="http://schemas.microsoft.com/office/drawing/2014/main" id="{00000000-0008-0000-0500-000027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76200</xdr:colOff>
      <xdr:row>19</xdr:row>
      <xdr:rowOff>0</xdr:rowOff>
    </xdr:to>
    <xdr:sp macro="" textlink="">
      <xdr:nvSpPr>
        <xdr:cNvPr id="296" name="Text Box 1">
          <a:extLst>
            <a:ext uri="{FF2B5EF4-FFF2-40B4-BE49-F238E27FC236}">
              <a16:creationId xmlns:a16="http://schemas.microsoft.com/office/drawing/2014/main" id="{00000000-0008-0000-0500-000028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76200</xdr:colOff>
      <xdr:row>19</xdr:row>
      <xdr:rowOff>0</xdr:rowOff>
    </xdr:to>
    <xdr:sp macro="" textlink="">
      <xdr:nvSpPr>
        <xdr:cNvPr id="297" name="Text Box 1">
          <a:extLst>
            <a:ext uri="{FF2B5EF4-FFF2-40B4-BE49-F238E27FC236}">
              <a16:creationId xmlns:a16="http://schemas.microsoft.com/office/drawing/2014/main" id="{00000000-0008-0000-0500-000029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76200</xdr:colOff>
      <xdr:row>19</xdr:row>
      <xdr:rowOff>0</xdr:rowOff>
    </xdr:to>
    <xdr:sp macro="" textlink="">
      <xdr:nvSpPr>
        <xdr:cNvPr id="298" name="Text Box 2">
          <a:extLst>
            <a:ext uri="{FF2B5EF4-FFF2-40B4-BE49-F238E27FC236}">
              <a16:creationId xmlns:a16="http://schemas.microsoft.com/office/drawing/2014/main" id="{00000000-0008-0000-0500-00002A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76200</xdr:colOff>
      <xdr:row>19</xdr:row>
      <xdr:rowOff>0</xdr:rowOff>
    </xdr:to>
    <xdr:sp macro="" textlink="">
      <xdr:nvSpPr>
        <xdr:cNvPr id="299" name="Text Box 1">
          <a:extLst>
            <a:ext uri="{FF2B5EF4-FFF2-40B4-BE49-F238E27FC236}">
              <a16:creationId xmlns:a16="http://schemas.microsoft.com/office/drawing/2014/main" id="{00000000-0008-0000-0500-00002B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76200</xdr:colOff>
      <xdr:row>19</xdr:row>
      <xdr:rowOff>0</xdr:rowOff>
    </xdr:to>
    <xdr:sp macro="" textlink="">
      <xdr:nvSpPr>
        <xdr:cNvPr id="300" name="Text Box 1">
          <a:extLst>
            <a:ext uri="{FF2B5EF4-FFF2-40B4-BE49-F238E27FC236}">
              <a16:creationId xmlns:a16="http://schemas.microsoft.com/office/drawing/2014/main" id="{00000000-0008-0000-0500-00002C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19</xdr:row>
      <xdr:rowOff>0</xdr:rowOff>
    </xdr:from>
    <xdr:to>
      <xdr:col>4</xdr:col>
      <xdr:colOff>76200</xdr:colOff>
      <xdr:row>20</xdr:row>
      <xdr:rowOff>0</xdr:rowOff>
    </xdr:to>
    <xdr:sp macro="" textlink="">
      <xdr:nvSpPr>
        <xdr:cNvPr id="301" name="Text Box 1">
          <a:extLst>
            <a:ext uri="{FF2B5EF4-FFF2-40B4-BE49-F238E27FC236}">
              <a16:creationId xmlns:a16="http://schemas.microsoft.com/office/drawing/2014/main" id="{00000000-0008-0000-0500-00002D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19</xdr:row>
      <xdr:rowOff>0</xdr:rowOff>
    </xdr:from>
    <xdr:to>
      <xdr:col>4</xdr:col>
      <xdr:colOff>76200</xdr:colOff>
      <xdr:row>20</xdr:row>
      <xdr:rowOff>0</xdr:rowOff>
    </xdr:to>
    <xdr:sp macro="" textlink="">
      <xdr:nvSpPr>
        <xdr:cNvPr id="302" name="Text Box 2">
          <a:extLst>
            <a:ext uri="{FF2B5EF4-FFF2-40B4-BE49-F238E27FC236}">
              <a16:creationId xmlns:a16="http://schemas.microsoft.com/office/drawing/2014/main" id="{00000000-0008-0000-0500-00002E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19</xdr:row>
      <xdr:rowOff>0</xdr:rowOff>
    </xdr:from>
    <xdr:to>
      <xdr:col>4</xdr:col>
      <xdr:colOff>76200</xdr:colOff>
      <xdr:row>20</xdr:row>
      <xdr:rowOff>0</xdr:rowOff>
    </xdr:to>
    <xdr:sp macro="" textlink="">
      <xdr:nvSpPr>
        <xdr:cNvPr id="303" name="Text Box 1">
          <a:extLst>
            <a:ext uri="{FF2B5EF4-FFF2-40B4-BE49-F238E27FC236}">
              <a16:creationId xmlns:a16="http://schemas.microsoft.com/office/drawing/2014/main" id="{00000000-0008-0000-0500-00002F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19</xdr:row>
      <xdr:rowOff>0</xdr:rowOff>
    </xdr:from>
    <xdr:to>
      <xdr:col>4</xdr:col>
      <xdr:colOff>76200</xdr:colOff>
      <xdr:row>20</xdr:row>
      <xdr:rowOff>0</xdr:rowOff>
    </xdr:to>
    <xdr:sp macro="" textlink="">
      <xdr:nvSpPr>
        <xdr:cNvPr id="304" name="Text Box 1">
          <a:extLst>
            <a:ext uri="{FF2B5EF4-FFF2-40B4-BE49-F238E27FC236}">
              <a16:creationId xmlns:a16="http://schemas.microsoft.com/office/drawing/2014/main" id="{00000000-0008-0000-0500-000030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19</xdr:row>
      <xdr:rowOff>0</xdr:rowOff>
    </xdr:from>
    <xdr:to>
      <xdr:col>4</xdr:col>
      <xdr:colOff>76200</xdr:colOff>
      <xdr:row>20</xdr:row>
      <xdr:rowOff>0</xdr:rowOff>
    </xdr:to>
    <xdr:sp macro="" textlink="">
      <xdr:nvSpPr>
        <xdr:cNvPr id="305" name="Text Box 1">
          <a:extLst>
            <a:ext uri="{FF2B5EF4-FFF2-40B4-BE49-F238E27FC236}">
              <a16:creationId xmlns:a16="http://schemas.microsoft.com/office/drawing/2014/main" id="{00000000-0008-0000-0500-000031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19</xdr:row>
      <xdr:rowOff>0</xdr:rowOff>
    </xdr:from>
    <xdr:to>
      <xdr:col>4</xdr:col>
      <xdr:colOff>76200</xdr:colOff>
      <xdr:row>20</xdr:row>
      <xdr:rowOff>0</xdr:rowOff>
    </xdr:to>
    <xdr:sp macro="" textlink="">
      <xdr:nvSpPr>
        <xdr:cNvPr id="306" name="Text Box 2">
          <a:extLst>
            <a:ext uri="{FF2B5EF4-FFF2-40B4-BE49-F238E27FC236}">
              <a16:creationId xmlns:a16="http://schemas.microsoft.com/office/drawing/2014/main" id="{00000000-0008-0000-0500-000032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19</xdr:row>
      <xdr:rowOff>0</xdr:rowOff>
    </xdr:from>
    <xdr:to>
      <xdr:col>4</xdr:col>
      <xdr:colOff>76200</xdr:colOff>
      <xdr:row>20</xdr:row>
      <xdr:rowOff>0</xdr:rowOff>
    </xdr:to>
    <xdr:sp macro="" textlink="">
      <xdr:nvSpPr>
        <xdr:cNvPr id="307" name="Text Box 1">
          <a:extLst>
            <a:ext uri="{FF2B5EF4-FFF2-40B4-BE49-F238E27FC236}">
              <a16:creationId xmlns:a16="http://schemas.microsoft.com/office/drawing/2014/main" id="{00000000-0008-0000-0500-000033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19</xdr:row>
      <xdr:rowOff>0</xdr:rowOff>
    </xdr:from>
    <xdr:to>
      <xdr:col>4</xdr:col>
      <xdr:colOff>76200</xdr:colOff>
      <xdr:row>20</xdr:row>
      <xdr:rowOff>0</xdr:rowOff>
    </xdr:to>
    <xdr:sp macro="" textlink="">
      <xdr:nvSpPr>
        <xdr:cNvPr id="308" name="Text Box 1">
          <a:extLst>
            <a:ext uri="{FF2B5EF4-FFF2-40B4-BE49-F238E27FC236}">
              <a16:creationId xmlns:a16="http://schemas.microsoft.com/office/drawing/2014/main" id="{00000000-0008-0000-0500-000034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19</xdr:row>
      <xdr:rowOff>0</xdr:rowOff>
    </xdr:from>
    <xdr:to>
      <xdr:col>4</xdr:col>
      <xdr:colOff>76200</xdr:colOff>
      <xdr:row>20</xdr:row>
      <xdr:rowOff>0</xdr:rowOff>
    </xdr:to>
    <xdr:sp macro="" textlink="">
      <xdr:nvSpPr>
        <xdr:cNvPr id="309" name="Text Box 1">
          <a:extLst>
            <a:ext uri="{FF2B5EF4-FFF2-40B4-BE49-F238E27FC236}">
              <a16:creationId xmlns:a16="http://schemas.microsoft.com/office/drawing/2014/main" id="{00000000-0008-0000-0500-000035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19</xdr:row>
      <xdr:rowOff>0</xdr:rowOff>
    </xdr:from>
    <xdr:to>
      <xdr:col>4</xdr:col>
      <xdr:colOff>76200</xdr:colOff>
      <xdr:row>20</xdr:row>
      <xdr:rowOff>0</xdr:rowOff>
    </xdr:to>
    <xdr:sp macro="" textlink="">
      <xdr:nvSpPr>
        <xdr:cNvPr id="310" name="Text Box 2">
          <a:extLst>
            <a:ext uri="{FF2B5EF4-FFF2-40B4-BE49-F238E27FC236}">
              <a16:creationId xmlns:a16="http://schemas.microsoft.com/office/drawing/2014/main" id="{00000000-0008-0000-0500-000036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19</xdr:row>
      <xdr:rowOff>0</xdr:rowOff>
    </xdr:from>
    <xdr:to>
      <xdr:col>4</xdr:col>
      <xdr:colOff>76200</xdr:colOff>
      <xdr:row>20</xdr:row>
      <xdr:rowOff>0</xdr:rowOff>
    </xdr:to>
    <xdr:sp macro="" textlink="">
      <xdr:nvSpPr>
        <xdr:cNvPr id="311" name="Text Box 1">
          <a:extLst>
            <a:ext uri="{FF2B5EF4-FFF2-40B4-BE49-F238E27FC236}">
              <a16:creationId xmlns:a16="http://schemas.microsoft.com/office/drawing/2014/main" id="{00000000-0008-0000-0500-000037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19</xdr:row>
      <xdr:rowOff>0</xdr:rowOff>
    </xdr:from>
    <xdr:to>
      <xdr:col>4</xdr:col>
      <xdr:colOff>76200</xdr:colOff>
      <xdr:row>20</xdr:row>
      <xdr:rowOff>0</xdr:rowOff>
    </xdr:to>
    <xdr:sp macro="" textlink="">
      <xdr:nvSpPr>
        <xdr:cNvPr id="312" name="Text Box 1">
          <a:extLst>
            <a:ext uri="{FF2B5EF4-FFF2-40B4-BE49-F238E27FC236}">
              <a16:creationId xmlns:a16="http://schemas.microsoft.com/office/drawing/2014/main" id="{00000000-0008-0000-0500-000038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19</xdr:row>
      <xdr:rowOff>0</xdr:rowOff>
    </xdr:from>
    <xdr:to>
      <xdr:col>4</xdr:col>
      <xdr:colOff>76200</xdr:colOff>
      <xdr:row>20</xdr:row>
      <xdr:rowOff>0</xdr:rowOff>
    </xdr:to>
    <xdr:sp macro="" textlink="">
      <xdr:nvSpPr>
        <xdr:cNvPr id="313" name="Text Box 1">
          <a:extLst>
            <a:ext uri="{FF2B5EF4-FFF2-40B4-BE49-F238E27FC236}">
              <a16:creationId xmlns:a16="http://schemas.microsoft.com/office/drawing/2014/main" id="{00000000-0008-0000-0500-000039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19</xdr:row>
      <xdr:rowOff>0</xdr:rowOff>
    </xdr:from>
    <xdr:to>
      <xdr:col>4</xdr:col>
      <xdr:colOff>76200</xdr:colOff>
      <xdr:row>20</xdr:row>
      <xdr:rowOff>0</xdr:rowOff>
    </xdr:to>
    <xdr:sp macro="" textlink="">
      <xdr:nvSpPr>
        <xdr:cNvPr id="314" name="Text Box 2">
          <a:extLst>
            <a:ext uri="{FF2B5EF4-FFF2-40B4-BE49-F238E27FC236}">
              <a16:creationId xmlns:a16="http://schemas.microsoft.com/office/drawing/2014/main" id="{00000000-0008-0000-0500-00003A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19</xdr:row>
      <xdr:rowOff>0</xdr:rowOff>
    </xdr:from>
    <xdr:to>
      <xdr:col>4</xdr:col>
      <xdr:colOff>76200</xdr:colOff>
      <xdr:row>20</xdr:row>
      <xdr:rowOff>0</xdr:rowOff>
    </xdr:to>
    <xdr:sp macro="" textlink="">
      <xdr:nvSpPr>
        <xdr:cNvPr id="315" name="Text Box 1">
          <a:extLst>
            <a:ext uri="{FF2B5EF4-FFF2-40B4-BE49-F238E27FC236}">
              <a16:creationId xmlns:a16="http://schemas.microsoft.com/office/drawing/2014/main" id="{00000000-0008-0000-0500-00003B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19</xdr:row>
      <xdr:rowOff>0</xdr:rowOff>
    </xdr:from>
    <xdr:to>
      <xdr:col>4</xdr:col>
      <xdr:colOff>76200</xdr:colOff>
      <xdr:row>20</xdr:row>
      <xdr:rowOff>0</xdr:rowOff>
    </xdr:to>
    <xdr:sp macro="" textlink="">
      <xdr:nvSpPr>
        <xdr:cNvPr id="316" name="Text Box 1">
          <a:extLst>
            <a:ext uri="{FF2B5EF4-FFF2-40B4-BE49-F238E27FC236}">
              <a16:creationId xmlns:a16="http://schemas.microsoft.com/office/drawing/2014/main" id="{00000000-0008-0000-0500-00003C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19</xdr:row>
      <xdr:rowOff>0</xdr:rowOff>
    </xdr:from>
    <xdr:to>
      <xdr:col>4</xdr:col>
      <xdr:colOff>76200</xdr:colOff>
      <xdr:row>20</xdr:row>
      <xdr:rowOff>0</xdr:rowOff>
    </xdr:to>
    <xdr:sp macro="" textlink="">
      <xdr:nvSpPr>
        <xdr:cNvPr id="317" name="Text Box 2">
          <a:extLst>
            <a:ext uri="{FF2B5EF4-FFF2-40B4-BE49-F238E27FC236}">
              <a16:creationId xmlns:a16="http://schemas.microsoft.com/office/drawing/2014/main" id="{00000000-0008-0000-0500-00003D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19</xdr:row>
      <xdr:rowOff>0</xdr:rowOff>
    </xdr:from>
    <xdr:to>
      <xdr:col>4</xdr:col>
      <xdr:colOff>76200</xdr:colOff>
      <xdr:row>20</xdr:row>
      <xdr:rowOff>0</xdr:rowOff>
    </xdr:to>
    <xdr:sp macro="" textlink="">
      <xdr:nvSpPr>
        <xdr:cNvPr id="318" name="Text Box 1">
          <a:extLst>
            <a:ext uri="{FF2B5EF4-FFF2-40B4-BE49-F238E27FC236}">
              <a16:creationId xmlns:a16="http://schemas.microsoft.com/office/drawing/2014/main" id="{00000000-0008-0000-0500-00003E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19</xdr:row>
      <xdr:rowOff>0</xdr:rowOff>
    </xdr:from>
    <xdr:to>
      <xdr:col>4</xdr:col>
      <xdr:colOff>76200</xdr:colOff>
      <xdr:row>20</xdr:row>
      <xdr:rowOff>0</xdr:rowOff>
    </xdr:to>
    <xdr:sp macro="" textlink="">
      <xdr:nvSpPr>
        <xdr:cNvPr id="319" name="Text Box 1">
          <a:extLst>
            <a:ext uri="{FF2B5EF4-FFF2-40B4-BE49-F238E27FC236}">
              <a16:creationId xmlns:a16="http://schemas.microsoft.com/office/drawing/2014/main" id="{00000000-0008-0000-0500-00003F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19</xdr:row>
      <xdr:rowOff>0</xdr:rowOff>
    </xdr:from>
    <xdr:to>
      <xdr:col>4</xdr:col>
      <xdr:colOff>76200</xdr:colOff>
      <xdr:row>20</xdr:row>
      <xdr:rowOff>0</xdr:rowOff>
    </xdr:to>
    <xdr:sp macro="" textlink="">
      <xdr:nvSpPr>
        <xdr:cNvPr id="320" name="Text Box 1">
          <a:extLst>
            <a:ext uri="{FF2B5EF4-FFF2-40B4-BE49-F238E27FC236}">
              <a16:creationId xmlns:a16="http://schemas.microsoft.com/office/drawing/2014/main" id="{00000000-0008-0000-0500-000040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19</xdr:row>
      <xdr:rowOff>0</xdr:rowOff>
    </xdr:from>
    <xdr:to>
      <xdr:col>4</xdr:col>
      <xdr:colOff>76200</xdr:colOff>
      <xdr:row>20</xdr:row>
      <xdr:rowOff>0</xdr:rowOff>
    </xdr:to>
    <xdr:sp macro="" textlink="">
      <xdr:nvSpPr>
        <xdr:cNvPr id="321" name="Text Box 2">
          <a:extLst>
            <a:ext uri="{FF2B5EF4-FFF2-40B4-BE49-F238E27FC236}">
              <a16:creationId xmlns:a16="http://schemas.microsoft.com/office/drawing/2014/main" id="{00000000-0008-0000-0500-000041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19</xdr:row>
      <xdr:rowOff>0</xdr:rowOff>
    </xdr:from>
    <xdr:to>
      <xdr:col>4</xdr:col>
      <xdr:colOff>76200</xdr:colOff>
      <xdr:row>20</xdr:row>
      <xdr:rowOff>0</xdr:rowOff>
    </xdr:to>
    <xdr:sp macro="" textlink="">
      <xdr:nvSpPr>
        <xdr:cNvPr id="322" name="Text Box 1">
          <a:extLst>
            <a:ext uri="{FF2B5EF4-FFF2-40B4-BE49-F238E27FC236}">
              <a16:creationId xmlns:a16="http://schemas.microsoft.com/office/drawing/2014/main" id="{00000000-0008-0000-0500-000042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19</xdr:row>
      <xdr:rowOff>0</xdr:rowOff>
    </xdr:from>
    <xdr:to>
      <xdr:col>4</xdr:col>
      <xdr:colOff>76200</xdr:colOff>
      <xdr:row>20</xdr:row>
      <xdr:rowOff>0</xdr:rowOff>
    </xdr:to>
    <xdr:sp macro="" textlink="">
      <xdr:nvSpPr>
        <xdr:cNvPr id="323" name="Text Box 1">
          <a:extLst>
            <a:ext uri="{FF2B5EF4-FFF2-40B4-BE49-F238E27FC236}">
              <a16:creationId xmlns:a16="http://schemas.microsoft.com/office/drawing/2014/main" id="{00000000-0008-0000-0500-000043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76200</xdr:colOff>
      <xdr:row>21</xdr:row>
      <xdr:rowOff>0</xdr:rowOff>
    </xdr:to>
    <xdr:sp macro="" textlink="">
      <xdr:nvSpPr>
        <xdr:cNvPr id="324" name="Text Box 1">
          <a:extLst>
            <a:ext uri="{FF2B5EF4-FFF2-40B4-BE49-F238E27FC236}">
              <a16:creationId xmlns:a16="http://schemas.microsoft.com/office/drawing/2014/main" id="{00000000-0008-0000-0500-000044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76200</xdr:colOff>
      <xdr:row>21</xdr:row>
      <xdr:rowOff>0</xdr:rowOff>
    </xdr:to>
    <xdr:sp macro="" textlink="">
      <xdr:nvSpPr>
        <xdr:cNvPr id="325" name="Text Box 2">
          <a:extLst>
            <a:ext uri="{FF2B5EF4-FFF2-40B4-BE49-F238E27FC236}">
              <a16:creationId xmlns:a16="http://schemas.microsoft.com/office/drawing/2014/main" id="{00000000-0008-0000-0500-000045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76200</xdr:colOff>
      <xdr:row>21</xdr:row>
      <xdr:rowOff>0</xdr:rowOff>
    </xdr:to>
    <xdr:sp macro="" textlink="">
      <xdr:nvSpPr>
        <xdr:cNvPr id="326" name="Text Box 1">
          <a:extLst>
            <a:ext uri="{FF2B5EF4-FFF2-40B4-BE49-F238E27FC236}">
              <a16:creationId xmlns:a16="http://schemas.microsoft.com/office/drawing/2014/main" id="{00000000-0008-0000-0500-000046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76200</xdr:colOff>
      <xdr:row>21</xdr:row>
      <xdr:rowOff>0</xdr:rowOff>
    </xdr:to>
    <xdr:sp macro="" textlink="">
      <xdr:nvSpPr>
        <xdr:cNvPr id="327" name="Text Box 1">
          <a:extLst>
            <a:ext uri="{FF2B5EF4-FFF2-40B4-BE49-F238E27FC236}">
              <a16:creationId xmlns:a16="http://schemas.microsoft.com/office/drawing/2014/main" id="{00000000-0008-0000-0500-000047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76200</xdr:colOff>
      <xdr:row>21</xdr:row>
      <xdr:rowOff>0</xdr:rowOff>
    </xdr:to>
    <xdr:sp macro="" textlink="">
      <xdr:nvSpPr>
        <xdr:cNvPr id="328" name="Text Box 1">
          <a:extLst>
            <a:ext uri="{FF2B5EF4-FFF2-40B4-BE49-F238E27FC236}">
              <a16:creationId xmlns:a16="http://schemas.microsoft.com/office/drawing/2014/main" id="{00000000-0008-0000-0500-000048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76200</xdr:colOff>
      <xdr:row>21</xdr:row>
      <xdr:rowOff>0</xdr:rowOff>
    </xdr:to>
    <xdr:sp macro="" textlink="">
      <xdr:nvSpPr>
        <xdr:cNvPr id="329" name="Text Box 2">
          <a:extLst>
            <a:ext uri="{FF2B5EF4-FFF2-40B4-BE49-F238E27FC236}">
              <a16:creationId xmlns:a16="http://schemas.microsoft.com/office/drawing/2014/main" id="{00000000-0008-0000-0500-000049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76200</xdr:colOff>
      <xdr:row>21</xdr:row>
      <xdr:rowOff>0</xdr:rowOff>
    </xdr:to>
    <xdr:sp macro="" textlink="">
      <xdr:nvSpPr>
        <xdr:cNvPr id="330" name="Text Box 1">
          <a:extLst>
            <a:ext uri="{FF2B5EF4-FFF2-40B4-BE49-F238E27FC236}">
              <a16:creationId xmlns:a16="http://schemas.microsoft.com/office/drawing/2014/main" id="{00000000-0008-0000-0500-00004A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76200</xdr:colOff>
      <xdr:row>21</xdr:row>
      <xdr:rowOff>0</xdr:rowOff>
    </xdr:to>
    <xdr:sp macro="" textlink="">
      <xdr:nvSpPr>
        <xdr:cNvPr id="331" name="Text Box 1">
          <a:extLst>
            <a:ext uri="{FF2B5EF4-FFF2-40B4-BE49-F238E27FC236}">
              <a16:creationId xmlns:a16="http://schemas.microsoft.com/office/drawing/2014/main" id="{00000000-0008-0000-0500-00004B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76200</xdr:colOff>
      <xdr:row>21</xdr:row>
      <xdr:rowOff>0</xdr:rowOff>
    </xdr:to>
    <xdr:sp macro="" textlink="">
      <xdr:nvSpPr>
        <xdr:cNvPr id="332" name="Text Box 1">
          <a:extLst>
            <a:ext uri="{FF2B5EF4-FFF2-40B4-BE49-F238E27FC236}">
              <a16:creationId xmlns:a16="http://schemas.microsoft.com/office/drawing/2014/main" id="{00000000-0008-0000-0500-00004C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76200</xdr:colOff>
      <xdr:row>21</xdr:row>
      <xdr:rowOff>0</xdr:rowOff>
    </xdr:to>
    <xdr:sp macro="" textlink="">
      <xdr:nvSpPr>
        <xdr:cNvPr id="333" name="Text Box 2">
          <a:extLst>
            <a:ext uri="{FF2B5EF4-FFF2-40B4-BE49-F238E27FC236}">
              <a16:creationId xmlns:a16="http://schemas.microsoft.com/office/drawing/2014/main" id="{00000000-0008-0000-0500-00004D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76200</xdr:colOff>
      <xdr:row>21</xdr:row>
      <xdr:rowOff>0</xdr:rowOff>
    </xdr:to>
    <xdr:sp macro="" textlink="">
      <xdr:nvSpPr>
        <xdr:cNvPr id="334" name="Text Box 1">
          <a:extLst>
            <a:ext uri="{FF2B5EF4-FFF2-40B4-BE49-F238E27FC236}">
              <a16:creationId xmlns:a16="http://schemas.microsoft.com/office/drawing/2014/main" id="{00000000-0008-0000-0500-00004E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76200</xdr:colOff>
      <xdr:row>21</xdr:row>
      <xdr:rowOff>0</xdr:rowOff>
    </xdr:to>
    <xdr:sp macro="" textlink="">
      <xdr:nvSpPr>
        <xdr:cNvPr id="335" name="Text Box 1">
          <a:extLst>
            <a:ext uri="{FF2B5EF4-FFF2-40B4-BE49-F238E27FC236}">
              <a16:creationId xmlns:a16="http://schemas.microsoft.com/office/drawing/2014/main" id="{00000000-0008-0000-0500-00004F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76200</xdr:colOff>
      <xdr:row>21</xdr:row>
      <xdr:rowOff>0</xdr:rowOff>
    </xdr:to>
    <xdr:sp macro="" textlink="">
      <xdr:nvSpPr>
        <xdr:cNvPr id="336" name="Text Box 1">
          <a:extLst>
            <a:ext uri="{FF2B5EF4-FFF2-40B4-BE49-F238E27FC236}">
              <a16:creationId xmlns:a16="http://schemas.microsoft.com/office/drawing/2014/main" id="{00000000-0008-0000-0500-000050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76200</xdr:colOff>
      <xdr:row>21</xdr:row>
      <xdr:rowOff>0</xdr:rowOff>
    </xdr:to>
    <xdr:sp macro="" textlink="">
      <xdr:nvSpPr>
        <xdr:cNvPr id="337" name="Text Box 2">
          <a:extLst>
            <a:ext uri="{FF2B5EF4-FFF2-40B4-BE49-F238E27FC236}">
              <a16:creationId xmlns:a16="http://schemas.microsoft.com/office/drawing/2014/main" id="{00000000-0008-0000-0500-000051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76200</xdr:colOff>
      <xdr:row>21</xdr:row>
      <xdr:rowOff>0</xdr:rowOff>
    </xdr:to>
    <xdr:sp macro="" textlink="">
      <xdr:nvSpPr>
        <xdr:cNvPr id="338" name="Text Box 1">
          <a:extLst>
            <a:ext uri="{FF2B5EF4-FFF2-40B4-BE49-F238E27FC236}">
              <a16:creationId xmlns:a16="http://schemas.microsoft.com/office/drawing/2014/main" id="{00000000-0008-0000-0500-000052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76200</xdr:colOff>
      <xdr:row>21</xdr:row>
      <xdr:rowOff>0</xdr:rowOff>
    </xdr:to>
    <xdr:sp macro="" textlink="">
      <xdr:nvSpPr>
        <xdr:cNvPr id="339" name="Text Box 1">
          <a:extLst>
            <a:ext uri="{FF2B5EF4-FFF2-40B4-BE49-F238E27FC236}">
              <a16:creationId xmlns:a16="http://schemas.microsoft.com/office/drawing/2014/main" id="{00000000-0008-0000-0500-000053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76200</xdr:colOff>
      <xdr:row>21</xdr:row>
      <xdr:rowOff>0</xdr:rowOff>
    </xdr:to>
    <xdr:sp macro="" textlink="">
      <xdr:nvSpPr>
        <xdr:cNvPr id="340" name="Text Box 2">
          <a:extLst>
            <a:ext uri="{FF2B5EF4-FFF2-40B4-BE49-F238E27FC236}">
              <a16:creationId xmlns:a16="http://schemas.microsoft.com/office/drawing/2014/main" id="{00000000-0008-0000-0500-000054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76200</xdr:colOff>
      <xdr:row>21</xdr:row>
      <xdr:rowOff>0</xdr:rowOff>
    </xdr:to>
    <xdr:sp macro="" textlink="">
      <xdr:nvSpPr>
        <xdr:cNvPr id="341" name="Text Box 1">
          <a:extLst>
            <a:ext uri="{FF2B5EF4-FFF2-40B4-BE49-F238E27FC236}">
              <a16:creationId xmlns:a16="http://schemas.microsoft.com/office/drawing/2014/main" id="{00000000-0008-0000-0500-000055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76200</xdr:colOff>
      <xdr:row>21</xdr:row>
      <xdr:rowOff>0</xdr:rowOff>
    </xdr:to>
    <xdr:sp macro="" textlink="">
      <xdr:nvSpPr>
        <xdr:cNvPr id="342" name="Text Box 1">
          <a:extLst>
            <a:ext uri="{FF2B5EF4-FFF2-40B4-BE49-F238E27FC236}">
              <a16:creationId xmlns:a16="http://schemas.microsoft.com/office/drawing/2014/main" id="{00000000-0008-0000-0500-000056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76200</xdr:colOff>
      <xdr:row>21</xdr:row>
      <xdr:rowOff>0</xdr:rowOff>
    </xdr:to>
    <xdr:sp macro="" textlink="">
      <xdr:nvSpPr>
        <xdr:cNvPr id="343" name="Text Box 1">
          <a:extLst>
            <a:ext uri="{FF2B5EF4-FFF2-40B4-BE49-F238E27FC236}">
              <a16:creationId xmlns:a16="http://schemas.microsoft.com/office/drawing/2014/main" id="{00000000-0008-0000-0500-000057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76200</xdr:colOff>
      <xdr:row>21</xdr:row>
      <xdr:rowOff>0</xdr:rowOff>
    </xdr:to>
    <xdr:sp macro="" textlink="">
      <xdr:nvSpPr>
        <xdr:cNvPr id="344" name="Text Box 2">
          <a:extLst>
            <a:ext uri="{FF2B5EF4-FFF2-40B4-BE49-F238E27FC236}">
              <a16:creationId xmlns:a16="http://schemas.microsoft.com/office/drawing/2014/main" id="{00000000-0008-0000-0500-000058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76200</xdr:colOff>
      <xdr:row>21</xdr:row>
      <xdr:rowOff>0</xdr:rowOff>
    </xdr:to>
    <xdr:sp macro="" textlink="">
      <xdr:nvSpPr>
        <xdr:cNvPr id="345" name="Text Box 1">
          <a:extLst>
            <a:ext uri="{FF2B5EF4-FFF2-40B4-BE49-F238E27FC236}">
              <a16:creationId xmlns:a16="http://schemas.microsoft.com/office/drawing/2014/main" id="{00000000-0008-0000-0500-000059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76200</xdr:colOff>
      <xdr:row>21</xdr:row>
      <xdr:rowOff>0</xdr:rowOff>
    </xdr:to>
    <xdr:sp macro="" textlink="">
      <xdr:nvSpPr>
        <xdr:cNvPr id="346" name="Text Box 1">
          <a:extLst>
            <a:ext uri="{FF2B5EF4-FFF2-40B4-BE49-F238E27FC236}">
              <a16:creationId xmlns:a16="http://schemas.microsoft.com/office/drawing/2014/main" id="{00000000-0008-0000-0500-00005A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76200</xdr:colOff>
      <xdr:row>22</xdr:row>
      <xdr:rowOff>0</xdr:rowOff>
    </xdr:to>
    <xdr:sp macro="" textlink="">
      <xdr:nvSpPr>
        <xdr:cNvPr id="347" name="Text Box 1">
          <a:extLst>
            <a:ext uri="{FF2B5EF4-FFF2-40B4-BE49-F238E27FC236}">
              <a16:creationId xmlns:a16="http://schemas.microsoft.com/office/drawing/2014/main" id="{00000000-0008-0000-0500-00005B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76200</xdr:colOff>
      <xdr:row>22</xdr:row>
      <xdr:rowOff>0</xdr:rowOff>
    </xdr:to>
    <xdr:sp macro="" textlink="">
      <xdr:nvSpPr>
        <xdr:cNvPr id="348" name="Text Box 2">
          <a:extLst>
            <a:ext uri="{FF2B5EF4-FFF2-40B4-BE49-F238E27FC236}">
              <a16:creationId xmlns:a16="http://schemas.microsoft.com/office/drawing/2014/main" id="{00000000-0008-0000-0500-00005C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76200</xdr:colOff>
      <xdr:row>22</xdr:row>
      <xdr:rowOff>0</xdr:rowOff>
    </xdr:to>
    <xdr:sp macro="" textlink="">
      <xdr:nvSpPr>
        <xdr:cNvPr id="349" name="Text Box 1">
          <a:extLst>
            <a:ext uri="{FF2B5EF4-FFF2-40B4-BE49-F238E27FC236}">
              <a16:creationId xmlns:a16="http://schemas.microsoft.com/office/drawing/2014/main" id="{00000000-0008-0000-0500-00005D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76200</xdr:colOff>
      <xdr:row>22</xdr:row>
      <xdr:rowOff>0</xdr:rowOff>
    </xdr:to>
    <xdr:sp macro="" textlink="">
      <xdr:nvSpPr>
        <xdr:cNvPr id="350" name="Text Box 1">
          <a:extLst>
            <a:ext uri="{FF2B5EF4-FFF2-40B4-BE49-F238E27FC236}">
              <a16:creationId xmlns:a16="http://schemas.microsoft.com/office/drawing/2014/main" id="{00000000-0008-0000-0500-00005E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76200</xdr:colOff>
      <xdr:row>22</xdr:row>
      <xdr:rowOff>0</xdr:rowOff>
    </xdr:to>
    <xdr:sp macro="" textlink="">
      <xdr:nvSpPr>
        <xdr:cNvPr id="351" name="Text Box 1">
          <a:extLst>
            <a:ext uri="{FF2B5EF4-FFF2-40B4-BE49-F238E27FC236}">
              <a16:creationId xmlns:a16="http://schemas.microsoft.com/office/drawing/2014/main" id="{00000000-0008-0000-0500-00005F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76200</xdr:colOff>
      <xdr:row>22</xdr:row>
      <xdr:rowOff>0</xdr:rowOff>
    </xdr:to>
    <xdr:sp macro="" textlink="">
      <xdr:nvSpPr>
        <xdr:cNvPr id="352" name="Text Box 2">
          <a:extLst>
            <a:ext uri="{FF2B5EF4-FFF2-40B4-BE49-F238E27FC236}">
              <a16:creationId xmlns:a16="http://schemas.microsoft.com/office/drawing/2014/main" id="{00000000-0008-0000-0500-000060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76200</xdr:colOff>
      <xdr:row>22</xdr:row>
      <xdr:rowOff>0</xdr:rowOff>
    </xdr:to>
    <xdr:sp macro="" textlink="">
      <xdr:nvSpPr>
        <xdr:cNvPr id="353" name="Text Box 1">
          <a:extLst>
            <a:ext uri="{FF2B5EF4-FFF2-40B4-BE49-F238E27FC236}">
              <a16:creationId xmlns:a16="http://schemas.microsoft.com/office/drawing/2014/main" id="{00000000-0008-0000-0500-000061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76200</xdr:colOff>
      <xdr:row>22</xdr:row>
      <xdr:rowOff>0</xdr:rowOff>
    </xdr:to>
    <xdr:sp macro="" textlink="">
      <xdr:nvSpPr>
        <xdr:cNvPr id="354" name="Text Box 1">
          <a:extLst>
            <a:ext uri="{FF2B5EF4-FFF2-40B4-BE49-F238E27FC236}">
              <a16:creationId xmlns:a16="http://schemas.microsoft.com/office/drawing/2014/main" id="{00000000-0008-0000-0500-000062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76200</xdr:colOff>
      <xdr:row>22</xdr:row>
      <xdr:rowOff>0</xdr:rowOff>
    </xdr:to>
    <xdr:sp macro="" textlink="">
      <xdr:nvSpPr>
        <xdr:cNvPr id="355" name="Text Box 1">
          <a:extLst>
            <a:ext uri="{FF2B5EF4-FFF2-40B4-BE49-F238E27FC236}">
              <a16:creationId xmlns:a16="http://schemas.microsoft.com/office/drawing/2014/main" id="{00000000-0008-0000-0500-000063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76200</xdr:colOff>
      <xdr:row>22</xdr:row>
      <xdr:rowOff>0</xdr:rowOff>
    </xdr:to>
    <xdr:sp macro="" textlink="">
      <xdr:nvSpPr>
        <xdr:cNvPr id="356" name="Text Box 2">
          <a:extLst>
            <a:ext uri="{FF2B5EF4-FFF2-40B4-BE49-F238E27FC236}">
              <a16:creationId xmlns:a16="http://schemas.microsoft.com/office/drawing/2014/main" id="{00000000-0008-0000-0500-000064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76200</xdr:colOff>
      <xdr:row>22</xdr:row>
      <xdr:rowOff>0</xdr:rowOff>
    </xdr:to>
    <xdr:sp macro="" textlink="">
      <xdr:nvSpPr>
        <xdr:cNvPr id="357" name="Text Box 1">
          <a:extLst>
            <a:ext uri="{FF2B5EF4-FFF2-40B4-BE49-F238E27FC236}">
              <a16:creationId xmlns:a16="http://schemas.microsoft.com/office/drawing/2014/main" id="{00000000-0008-0000-0500-000065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76200</xdr:colOff>
      <xdr:row>22</xdr:row>
      <xdr:rowOff>0</xdr:rowOff>
    </xdr:to>
    <xdr:sp macro="" textlink="">
      <xdr:nvSpPr>
        <xdr:cNvPr id="358" name="Text Box 1">
          <a:extLst>
            <a:ext uri="{FF2B5EF4-FFF2-40B4-BE49-F238E27FC236}">
              <a16:creationId xmlns:a16="http://schemas.microsoft.com/office/drawing/2014/main" id="{00000000-0008-0000-0500-000066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76200</xdr:colOff>
      <xdr:row>22</xdr:row>
      <xdr:rowOff>0</xdr:rowOff>
    </xdr:to>
    <xdr:sp macro="" textlink="">
      <xdr:nvSpPr>
        <xdr:cNvPr id="359" name="Text Box 1">
          <a:extLst>
            <a:ext uri="{FF2B5EF4-FFF2-40B4-BE49-F238E27FC236}">
              <a16:creationId xmlns:a16="http://schemas.microsoft.com/office/drawing/2014/main" id="{00000000-0008-0000-0500-000067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76200</xdr:colOff>
      <xdr:row>22</xdr:row>
      <xdr:rowOff>0</xdr:rowOff>
    </xdr:to>
    <xdr:sp macro="" textlink="">
      <xdr:nvSpPr>
        <xdr:cNvPr id="360" name="Text Box 2">
          <a:extLst>
            <a:ext uri="{FF2B5EF4-FFF2-40B4-BE49-F238E27FC236}">
              <a16:creationId xmlns:a16="http://schemas.microsoft.com/office/drawing/2014/main" id="{00000000-0008-0000-0500-000068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76200</xdr:colOff>
      <xdr:row>22</xdr:row>
      <xdr:rowOff>0</xdr:rowOff>
    </xdr:to>
    <xdr:sp macro="" textlink="">
      <xdr:nvSpPr>
        <xdr:cNvPr id="361" name="Text Box 1">
          <a:extLst>
            <a:ext uri="{FF2B5EF4-FFF2-40B4-BE49-F238E27FC236}">
              <a16:creationId xmlns:a16="http://schemas.microsoft.com/office/drawing/2014/main" id="{00000000-0008-0000-0500-000069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76200</xdr:colOff>
      <xdr:row>22</xdr:row>
      <xdr:rowOff>0</xdr:rowOff>
    </xdr:to>
    <xdr:sp macro="" textlink="">
      <xdr:nvSpPr>
        <xdr:cNvPr id="362" name="Text Box 1">
          <a:extLst>
            <a:ext uri="{FF2B5EF4-FFF2-40B4-BE49-F238E27FC236}">
              <a16:creationId xmlns:a16="http://schemas.microsoft.com/office/drawing/2014/main" id="{00000000-0008-0000-0500-00006A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76200</xdr:colOff>
      <xdr:row>22</xdr:row>
      <xdr:rowOff>0</xdr:rowOff>
    </xdr:to>
    <xdr:sp macro="" textlink="">
      <xdr:nvSpPr>
        <xdr:cNvPr id="363" name="Text Box 2">
          <a:extLst>
            <a:ext uri="{FF2B5EF4-FFF2-40B4-BE49-F238E27FC236}">
              <a16:creationId xmlns:a16="http://schemas.microsoft.com/office/drawing/2014/main" id="{00000000-0008-0000-0500-00006B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76200</xdr:colOff>
      <xdr:row>22</xdr:row>
      <xdr:rowOff>0</xdr:rowOff>
    </xdr:to>
    <xdr:sp macro="" textlink="">
      <xdr:nvSpPr>
        <xdr:cNvPr id="364" name="Text Box 1">
          <a:extLst>
            <a:ext uri="{FF2B5EF4-FFF2-40B4-BE49-F238E27FC236}">
              <a16:creationId xmlns:a16="http://schemas.microsoft.com/office/drawing/2014/main" id="{00000000-0008-0000-0500-00006C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76200</xdr:colOff>
      <xdr:row>22</xdr:row>
      <xdr:rowOff>0</xdr:rowOff>
    </xdr:to>
    <xdr:sp macro="" textlink="">
      <xdr:nvSpPr>
        <xdr:cNvPr id="365" name="Text Box 1">
          <a:extLst>
            <a:ext uri="{FF2B5EF4-FFF2-40B4-BE49-F238E27FC236}">
              <a16:creationId xmlns:a16="http://schemas.microsoft.com/office/drawing/2014/main" id="{00000000-0008-0000-0500-00006D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76200</xdr:colOff>
      <xdr:row>22</xdr:row>
      <xdr:rowOff>0</xdr:rowOff>
    </xdr:to>
    <xdr:sp macro="" textlink="">
      <xdr:nvSpPr>
        <xdr:cNvPr id="366" name="Text Box 1">
          <a:extLst>
            <a:ext uri="{FF2B5EF4-FFF2-40B4-BE49-F238E27FC236}">
              <a16:creationId xmlns:a16="http://schemas.microsoft.com/office/drawing/2014/main" id="{00000000-0008-0000-0500-00006E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76200</xdr:colOff>
      <xdr:row>22</xdr:row>
      <xdr:rowOff>0</xdr:rowOff>
    </xdr:to>
    <xdr:sp macro="" textlink="">
      <xdr:nvSpPr>
        <xdr:cNvPr id="367" name="Text Box 2">
          <a:extLst>
            <a:ext uri="{FF2B5EF4-FFF2-40B4-BE49-F238E27FC236}">
              <a16:creationId xmlns:a16="http://schemas.microsoft.com/office/drawing/2014/main" id="{00000000-0008-0000-0500-00006F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76200</xdr:colOff>
      <xdr:row>22</xdr:row>
      <xdr:rowOff>0</xdr:rowOff>
    </xdr:to>
    <xdr:sp macro="" textlink="">
      <xdr:nvSpPr>
        <xdr:cNvPr id="368" name="Text Box 1">
          <a:extLst>
            <a:ext uri="{FF2B5EF4-FFF2-40B4-BE49-F238E27FC236}">
              <a16:creationId xmlns:a16="http://schemas.microsoft.com/office/drawing/2014/main" id="{00000000-0008-0000-0500-000070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76200</xdr:colOff>
      <xdr:row>22</xdr:row>
      <xdr:rowOff>0</xdr:rowOff>
    </xdr:to>
    <xdr:sp macro="" textlink="">
      <xdr:nvSpPr>
        <xdr:cNvPr id="369" name="Text Box 1">
          <a:extLst>
            <a:ext uri="{FF2B5EF4-FFF2-40B4-BE49-F238E27FC236}">
              <a16:creationId xmlns:a16="http://schemas.microsoft.com/office/drawing/2014/main" id="{00000000-0008-0000-0500-000071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76200</xdr:colOff>
      <xdr:row>23</xdr:row>
      <xdr:rowOff>0</xdr:rowOff>
    </xdr:to>
    <xdr:sp macro="" textlink="">
      <xdr:nvSpPr>
        <xdr:cNvPr id="370" name="Text Box 1">
          <a:extLst>
            <a:ext uri="{FF2B5EF4-FFF2-40B4-BE49-F238E27FC236}">
              <a16:creationId xmlns:a16="http://schemas.microsoft.com/office/drawing/2014/main" id="{00000000-0008-0000-0500-000072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76200</xdr:colOff>
      <xdr:row>23</xdr:row>
      <xdr:rowOff>0</xdr:rowOff>
    </xdr:to>
    <xdr:sp macro="" textlink="">
      <xdr:nvSpPr>
        <xdr:cNvPr id="371" name="Text Box 2">
          <a:extLst>
            <a:ext uri="{FF2B5EF4-FFF2-40B4-BE49-F238E27FC236}">
              <a16:creationId xmlns:a16="http://schemas.microsoft.com/office/drawing/2014/main" id="{00000000-0008-0000-0500-000073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76200</xdr:colOff>
      <xdr:row>23</xdr:row>
      <xdr:rowOff>0</xdr:rowOff>
    </xdr:to>
    <xdr:sp macro="" textlink="">
      <xdr:nvSpPr>
        <xdr:cNvPr id="372" name="Text Box 1">
          <a:extLst>
            <a:ext uri="{FF2B5EF4-FFF2-40B4-BE49-F238E27FC236}">
              <a16:creationId xmlns:a16="http://schemas.microsoft.com/office/drawing/2014/main" id="{00000000-0008-0000-0500-000074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76200</xdr:colOff>
      <xdr:row>23</xdr:row>
      <xdr:rowOff>0</xdr:rowOff>
    </xdr:to>
    <xdr:sp macro="" textlink="">
      <xdr:nvSpPr>
        <xdr:cNvPr id="373" name="Text Box 1">
          <a:extLst>
            <a:ext uri="{FF2B5EF4-FFF2-40B4-BE49-F238E27FC236}">
              <a16:creationId xmlns:a16="http://schemas.microsoft.com/office/drawing/2014/main" id="{00000000-0008-0000-0500-000075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76200</xdr:colOff>
      <xdr:row>23</xdr:row>
      <xdr:rowOff>0</xdr:rowOff>
    </xdr:to>
    <xdr:sp macro="" textlink="">
      <xdr:nvSpPr>
        <xdr:cNvPr id="374" name="Text Box 1">
          <a:extLst>
            <a:ext uri="{FF2B5EF4-FFF2-40B4-BE49-F238E27FC236}">
              <a16:creationId xmlns:a16="http://schemas.microsoft.com/office/drawing/2014/main" id="{00000000-0008-0000-0500-000076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76200</xdr:colOff>
      <xdr:row>23</xdr:row>
      <xdr:rowOff>0</xdr:rowOff>
    </xdr:to>
    <xdr:sp macro="" textlink="">
      <xdr:nvSpPr>
        <xdr:cNvPr id="375" name="Text Box 2">
          <a:extLst>
            <a:ext uri="{FF2B5EF4-FFF2-40B4-BE49-F238E27FC236}">
              <a16:creationId xmlns:a16="http://schemas.microsoft.com/office/drawing/2014/main" id="{00000000-0008-0000-0500-000077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76200</xdr:colOff>
      <xdr:row>23</xdr:row>
      <xdr:rowOff>0</xdr:rowOff>
    </xdr:to>
    <xdr:sp macro="" textlink="">
      <xdr:nvSpPr>
        <xdr:cNvPr id="376" name="Text Box 1">
          <a:extLst>
            <a:ext uri="{FF2B5EF4-FFF2-40B4-BE49-F238E27FC236}">
              <a16:creationId xmlns:a16="http://schemas.microsoft.com/office/drawing/2014/main" id="{00000000-0008-0000-0500-000078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76200</xdr:colOff>
      <xdr:row>23</xdr:row>
      <xdr:rowOff>0</xdr:rowOff>
    </xdr:to>
    <xdr:sp macro="" textlink="">
      <xdr:nvSpPr>
        <xdr:cNvPr id="377" name="Text Box 1">
          <a:extLst>
            <a:ext uri="{FF2B5EF4-FFF2-40B4-BE49-F238E27FC236}">
              <a16:creationId xmlns:a16="http://schemas.microsoft.com/office/drawing/2014/main" id="{00000000-0008-0000-0500-000079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76200</xdr:colOff>
      <xdr:row>23</xdr:row>
      <xdr:rowOff>0</xdr:rowOff>
    </xdr:to>
    <xdr:sp macro="" textlink="">
      <xdr:nvSpPr>
        <xdr:cNvPr id="378" name="Text Box 1">
          <a:extLst>
            <a:ext uri="{FF2B5EF4-FFF2-40B4-BE49-F238E27FC236}">
              <a16:creationId xmlns:a16="http://schemas.microsoft.com/office/drawing/2014/main" id="{00000000-0008-0000-0500-00007A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76200</xdr:colOff>
      <xdr:row>23</xdr:row>
      <xdr:rowOff>0</xdr:rowOff>
    </xdr:to>
    <xdr:sp macro="" textlink="">
      <xdr:nvSpPr>
        <xdr:cNvPr id="379" name="Text Box 2">
          <a:extLst>
            <a:ext uri="{FF2B5EF4-FFF2-40B4-BE49-F238E27FC236}">
              <a16:creationId xmlns:a16="http://schemas.microsoft.com/office/drawing/2014/main" id="{00000000-0008-0000-0500-00007B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76200</xdr:colOff>
      <xdr:row>23</xdr:row>
      <xdr:rowOff>0</xdr:rowOff>
    </xdr:to>
    <xdr:sp macro="" textlink="">
      <xdr:nvSpPr>
        <xdr:cNvPr id="380" name="Text Box 1">
          <a:extLst>
            <a:ext uri="{FF2B5EF4-FFF2-40B4-BE49-F238E27FC236}">
              <a16:creationId xmlns:a16="http://schemas.microsoft.com/office/drawing/2014/main" id="{00000000-0008-0000-0500-00007C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76200</xdr:colOff>
      <xdr:row>23</xdr:row>
      <xdr:rowOff>0</xdr:rowOff>
    </xdr:to>
    <xdr:sp macro="" textlink="">
      <xdr:nvSpPr>
        <xdr:cNvPr id="381" name="Text Box 1">
          <a:extLst>
            <a:ext uri="{FF2B5EF4-FFF2-40B4-BE49-F238E27FC236}">
              <a16:creationId xmlns:a16="http://schemas.microsoft.com/office/drawing/2014/main" id="{00000000-0008-0000-0500-00007D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76200</xdr:colOff>
      <xdr:row>23</xdr:row>
      <xdr:rowOff>0</xdr:rowOff>
    </xdr:to>
    <xdr:sp macro="" textlink="">
      <xdr:nvSpPr>
        <xdr:cNvPr id="382" name="Text Box 1">
          <a:extLst>
            <a:ext uri="{FF2B5EF4-FFF2-40B4-BE49-F238E27FC236}">
              <a16:creationId xmlns:a16="http://schemas.microsoft.com/office/drawing/2014/main" id="{00000000-0008-0000-0500-00007E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76200</xdr:colOff>
      <xdr:row>23</xdr:row>
      <xdr:rowOff>0</xdr:rowOff>
    </xdr:to>
    <xdr:sp macro="" textlink="">
      <xdr:nvSpPr>
        <xdr:cNvPr id="383" name="Text Box 2">
          <a:extLst>
            <a:ext uri="{FF2B5EF4-FFF2-40B4-BE49-F238E27FC236}">
              <a16:creationId xmlns:a16="http://schemas.microsoft.com/office/drawing/2014/main" id="{00000000-0008-0000-0500-00007F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76200</xdr:colOff>
      <xdr:row>23</xdr:row>
      <xdr:rowOff>0</xdr:rowOff>
    </xdr:to>
    <xdr:sp macro="" textlink="">
      <xdr:nvSpPr>
        <xdr:cNvPr id="384" name="Text Box 1">
          <a:extLst>
            <a:ext uri="{FF2B5EF4-FFF2-40B4-BE49-F238E27FC236}">
              <a16:creationId xmlns:a16="http://schemas.microsoft.com/office/drawing/2014/main" id="{00000000-0008-0000-0500-000080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76200</xdr:colOff>
      <xdr:row>23</xdr:row>
      <xdr:rowOff>0</xdr:rowOff>
    </xdr:to>
    <xdr:sp macro="" textlink="">
      <xdr:nvSpPr>
        <xdr:cNvPr id="385" name="Text Box 1">
          <a:extLst>
            <a:ext uri="{FF2B5EF4-FFF2-40B4-BE49-F238E27FC236}">
              <a16:creationId xmlns:a16="http://schemas.microsoft.com/office/drawing/2014/main" id="{00000000-0008-0000-0500-000081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76200</xdr:colOff>
      <xdr:row>23</xdr:row>
      <xdr:rowOff>0</xdr:rowOff>
    </xdr:to>
    <xdr:sp macro="" textlink="">
      <xdr:nvSpPr>
        <xdr:cNvPr id="386" name="Text Box 2">
          <a:extLst>
            <a:ext uri="{FF2B5EF4-FFF2-40B4-BE49-F238E27FC236}">
              <a16:creationId xmlns:a16="http://schemas.microsoft.com/office/drawing/2014/main" id="{00000000-0008-0000-0500-000082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76200</xdr:colOff>
      <xdr:row>23</xdr:row>
      <xdr:rowOff>0</xdr:rowOff>
    </xdr:to>
    <xdr:sp macro="" textlink="">
      <xdr:nvSpPr>
        <xdr:cNvPr id="387" name="Text Box 1">
          <a:extLst>
            <a:ext uri="{FF2B5EF4-FFF2-40B4-BE49-F238E27FC236}">
              <a16:creationId xmlns:a16="http://schemas.microsoft.com/office/drawing/2014/main" id="{00000000-0008-0000-0500-000083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76200</xdr:colOff>
      <xdr:row>23</xdr:row>
      <xdr:rowOff>0</xdr:rowOff>
    </xdr:to>
    <xdr:sp macro="" textlink="">
      <xdr:nvSpPr>
        <xdr:cNvPr id="388" name="Text Box 1">
          <a:extLst>
            <a:ext uri="{FF2B5EF4-FFF2-40B4-BE49-F238E27FC236}">
              <a16:creationId xmlns:a16="http://schemas.microsoft.com/office/drawing/2014/main" id="{00000000-0008-0000-0500-000084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76200</xdr:colOff>
      <xdr:row>23</xdr:row>
      <xdr:rowOff>0</xdr:rowOff>
    </xdr:to>
    <xdr:sp macro="" textlink="">
      <xdr:nvSpPr>
        <xdr:cNvPr id="389" name="Text Box 1">
          <a:extLst>
            <a:ext uri="{FF2B5EF4-FFF2-40B4-BE49-F238E27FC236}">
              <a16:creationId xmlns:a16="http://schemas.microsoft.com/office/drawing/2014/main" id="{00000000-0008-0000-0500-000085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76200</xdr:colOff>
      <xdr:row>23</xdr:row>
      <xdr:rowOff>0</xdr:rowOff>
    </xdr:to>
    <xdr:sp macro="" textlink="">
      <xdr:nvSpPr>
        <xdr:cNvPr id="390" name="Text Box 2">
          <a:extLst>
            <a:ext uri="{FF2B5EF4-FFF2-40B4-BE49-F238E27FC236}">
              <a16:creationId xmlns:a16="http://schemas.microsoft.com/office/drawing/2014/main" id="{00000000-0008-0000-0500-000086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76200</xdr:colOff>
      <xdr:row>23</xdr:row>
      <xdr:rowOff>0</xdr:rowOff>
    </xdr:to>
    <xdr:sp macro="" textlink="">
      <xdr:nvSpPr>
        <xdr:cNvPr id="391" name="Text Box 1">
          <a:extLst>
            <a:ext uri="{FF2B5EF4-FFF2-40B4-BE49-F238E27FC236}">
              <a16:creationId xmlns:a16="http://schemas.microsoft.com/office/drawing/2014/main" id="{00000000-0008-0000-0500-000087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76200</xdr:colOff>
      <xdr:row>23</xdr:row>
      <xdr:rowOff>0</xdr:rowOff>
    </xdr:to>
    <xdr:sp macro="" textlink="">
      <xdr:nvSpPr>
        <xdr:cNvPr id="392" name="Text Box 1">
          <a:extLst>
            <a:ext uri="{FF2B5EF4-FFF2-40B4-BE49-F238E27FC236}">
              <a16:creationId xmlns:a16="http://schemas.microsoft.com/office/drawing/2014/main" id="{00000000-0008-0000-0500-000088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23</xdr:row>
      <xdr:rowOff>0</xdr:rowOff>
    </xdr:from>
    <xdr:to>
      <xdr:col>4</xdr:col>
      <xdr:colOff>76200</xdr:colOff>
      <xdr:row>24</xdr:row>
      <xdr:rowOff>0</xdr:rowOff>
    </xdr:to>
    <xdr:sp macro="" textlink="">
      <xdr:nvSpPr>
        <xdr:cNvPr id="393" name="Text Box 1">
          <a:extLst>
            <a:ext uri="{FF2B5EF4-FFF2-40B4-BE49-F238E27FC236}">
              <a16:creationId xmlns:a16="http://schemas.microsoft.com/office/drawing/2014/main" id="{00000000-0008-0000-0500-000089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23</xdr:row>
      <xdr:rowOff>0</xdr:rowOff>
    </xdr:from>
    <xdr:to>
      <xdr:col>4</xdr:col>
      <xdr:colOff>76200</xdr:colOff>
      <xdr:row>24</xdr:row>
      <xdr:rowOff>0</xdr:rowOff>
    </xdr:to>
    <xdr:sp macro="" textlink="">
      <xdr:nvSpPr>
        <xdr:cNvPr id="394" name="Text Box 2">
          <a:extLst>
            <a:ext uri="{FF2B5EF4-FFF2-40B4-BE49-F238E27FC236}">
              <a16:creationId xmlns:a16="http://schemas.microsoft.com/office/drawing/2014/main" id="{00000000-0008-0000-0500-00008A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23</xdr:row>
      <xdr:rowOff>0</xdr:rowOff>
    </xdr:from>
    <xdr:to>
      <xdr:col>4</xdr:col>
      <xdr:colOff>76200</xdr:colOff>
      <xdr:row>24</xdr:row>
      <xdr:rowOff>0</xdr:rowOff>
    </xdr:to>
    <xdr:sp macro="" textlink="">
      <xdr:nvSpPr>
        <xdr:cNvPr id="395" name="Text Box 1">
          <a:extLst>
            <a:ext uri="{FF2B5EF4-FFF2-40B4-BE49-F238E27FC236}">
              <a16:creationId xmlns:a16="http://schemas.microsoft.com/office/drawing/2014/main" id="{00000000-0008-0000-0500-00008B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23</xdr:row>
      <xdr:rowOff>0</xdr:rowOff>
    </xdr:from>
    <xdr:to>
      <xdr:col>4</xdr:col>
      <xdr:colOff>76200</xdr:colOff>
      <xdr:row>24</xdr:row>
      <xdr:rowOff>0</xdr:rowOff>
    </xdr:to>
    <xdr:sp macro="" textlink="">
      <xdr:nvSpPr>
        <xdr:cNvPr id="396" name="Text Box 1">
          <a:extLst>
            <a:ext uri="{FF2B5EF4-FFF2-40B4-BE49-F238E27FC236}">
              <a16:creationId xmlns:a16="http://schemas.microsoft.com/office/drawing/2014/main" id="{00000000-0008-0000-0500-00008C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23</xdr:row>
      <xdr:rowOff>0</xdr:rowOff>
    </xdr:from>
    <xdr:to>
      <xdr:col>4</xdr:col>
      <xdr:colOff>76200</xdr:colOff>
      <xdr:row>24</xdr:row>
      <xdr:rowOff>0</xdr:rowOff>
    </xdr:to>
    <xdr:sp macro="" textlink="">
      <xdr:nvSpPr>
        <xdr:cNvPr id="397" name="Text Box 1">
          <a:extLst>
            <a:ext uri="{FF2B5EF4-FFF2-40B4-BE49-F238E27FC236}">
              <a16:creationId xmlns:a16="http://schemas.microsoft.com/office/drawing/2014/main" id="{00000000-0008-0000-0500-00008D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23</xdr:row>
      <xdr:rowOff>0</xdr:rowOff>
    </xdr:from>
    <xdr:to>
      <xdr:col>4</xdr:col>
      <xdr:colOff>76200</xdr:colOff>
      <xdr:row>24</xdr:row>
      <xdr:rowOff>0</xdr:rowOff>
    </xdr:to>
    <xdr:sp macro="" textlink="">
      <xdr:nvSpPr>
        <xdr:cNvPr id="398" name="Text Box 2">
          <a:extLst>
            <a:ext uri="{FF2B5EF4-FFF2-40B4-BE49-F238E27FC236}">
              <a16:creationId xmlns:a16="http://schemas.microsoft.com/office/drawing/2014/main" id="{00000000-0008-0000-0500-00008E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23</xdr:row>
      <xdr:rowOff>0</xdr:rowOff>
    </xdr:from>
    <xdr:to>
      <xdr:col>4</xdr:col>
      <xdr:colOff>76200</xdr:colOff>
      <xdr:row>24</xdr:row>
      <xdr:rowOff>0</xdr:rowOff>
    </xdr:to>
    <xdr:sp macro="" textlink="">
      <xdr:nvSpPr>
        <xdr:cNvPr id="399" name="Text Box 1">
          <a:extLst>
            <a:ext uri="{FF2B5EF4-FFF2-40B4-BE49-F238E27FC236}">
              <a16:creationId xmlns:a16="http://schemas.microsoft.com/office/drawing/2014/main" id="{00000000-0008-0000-0500-00008F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23</xdr:row>
      <xdr:rowOff>0</xdr:rowOff>
    </xdr:from>
    <xdr:to>
      <xdr:col>4</xdr:col>
      <xdr:colOff>76200</xdr:colOff>
      <xdr:row>24</xdr:row>
      <xdr:rowOff>0</xdr:rowOff>
    </xdr:to>
    <xdr:sp macro="" textlink="">
      <xdr:nvSpPr>
        <xdr:cNvPr id="400" name="Text Box 1">
          <a:extLst>
            <a:ext uri="{FF2B5EF4-FFF2-40B4-BE49-F238E27FC236}">
              <a16:creationId xmlns:a16="http://schemas.microsoft.com/office/drawing/2014/main" id="{00000000-0008-0000-0500-000090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23</xdr:row>
      <xdr:rowOff>0</xdr:rowOff>
    </xdr:from>
    <xdr:to>
      <xdr:col>4</xdr:col>
      <xdr:colOff>76200</xdr:colOff>
      <xdr:row>24</xdr:row>
      <xdr:rowOff>0</xdr:rowOff>
    </xdr:to>
    <xdr:sp macro="" textlink="">
      <xdr:nvSpPr>
        <xdr:cNvPr id="401" name="Text Box 1">
          <a:extLst>
            <a:ext uri="{FF2B5EF4-FFF2-40B4-BE49-F238E27FC236}">
              <a16:creationId xmlns:a16="http://schemas.microsoft.com/office/drawing/2014/main" id="{00000000-0008-0000-0500-000091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23</xdr:row>
      <xdr:rowOff>0</xdr:rowOff>
    </xdr:from>
    <xdr:to>
      <xdr:col>4</xdr:col>
      <xdr:colOff>76200</xdr:colOff>
      <xdr:row>24</xdr:row>
      <xdr:rowOff>0</xdr:rowOff>
    </xdr:to>
    <xdr:sp macro="" textlink="">
      <xdr:nvSpPr>
        <xdr:cNvPr id="402" name="Text Box 2">
          <a:extLst>
            <a:ext uri="{FF2B5EF4-FFF2-40B4-BE49-F238E27FC236}">
              <a16:creationId xmlns:a16="http://schemas.microsoft.com/office/drawing/2014/main" id="{00000000-0008-0000-0500-000092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23</xdr:row>
      <xdr:rowOff>0</xdr:rowOff>
    </xdr:from>
    <xdr:to>
      <xdr:col>4</xdr:col>
      <xdr:colOff>76200</xdr:colOff>
      <xdr:row>24</xdr:row>
      <xdr:rowOff>0</xdr:rowOff>
    </xdr:to>
    <xdr:sp macro="" textlink="">
      <xdr:nvSpPr>
        <xdr:cNvPr id="403" name="Text Box 1">
          <a:extLst>
            <a:ext uri="{FF2B5EF4-FFF2-40B4-BE49-F238E27FC236}">
              <a16:creationId xmlns:a16="http://schemas.microsoft.com/office/drawing/2014/main" id="{00000000-0008-0000-0500-000093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23</xdr:row>
      <xdr:rowOff>0</xdr:rowOff>
    </xdr:from>
    <xdr:to>
      <xdr:col>4</xdr:col>
      <xdr:colOff>76200</xdr:colOff>
      <xdr:row>24</xdr:row>
      <xdr:rowOff>0</xdr:rowOff>
    </xdr:to>
    <xdr:sp macro="" textlink="">
      <xdr:nvSpPr>
        <xdr:cNvPr id="404" name="Text Box 1">
          <a:extLst>
            <a:ext uri="{FF2B5EF4-FFF2-40B4-BE49-F238E27FC236}">
              <a16:creationId xmlns:a16="http://schemas.microsoft.com/office/drawing/2014/main" id="{00000000-0008-0000-0500-000094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23</xdr:row>
      <xdr:rowOff>0</xdr:rowOff>
    </xdr:from>
    <xdr:to>
      <xdr:col>4</xdr:col>
      <xdr:colOff>76200</xdr:colOff>
      <xdr:row>24</xdr:row>
      <xdr:rowOff>0</xdr:rowOff>
    </xdr:to>
    <xdr:sp macro="" textlink="">
      <xdr:nvSpPr>
        <xdr:cNvPr id="405" name="Text Box 1">
          <a:extLst>
            <a:ext uri="{FF2B5EF4-FFF2-40B4-BE49-F238E27FC236}">
              <a16:creationId xmlns:a16="http://schemas.microsoft.com/office/drawing/2014/main" id="{00000000-0008-0000-0500-000095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23</xdr:row>
      <xdr:rowOff>0</xdr:rowOff>
    </xdr:from>
    <xdr:to>
      <xdr:col>4</xdr:col>
      <xdr:colOff>76200</xdr:colOff>
      <xdr:row>24</xdr:row>
      <xdr:rowOff>0</xdr:rowOff>
    </xdr:to>
    <xdr:sp macro="" textlink="">
      <xdr:nvSpPr>
        <xdr:cNvPr id="406" name="Text Box 2">
          <a:extLst>
            <a:ext uri="{FF2B5EF4-FFF2-40B4-BE49-F238E27FC236}">
              <a16:creationId xmlns:a16="http://schemas.microsoft.com/office/drawing/2014/main" id="{00000000-0008-0000-0500-000096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23</xdr:row>
      <xdr:rowOff>0</xdr:rowOff>
    </xdr:from>
    <xdr:to>
      <xdr:col>4</xdr:col>
      <xdr:colOff>76200</xdr:colOff>
      <xdr:row>24</xdr:row>
      <xdr:rowOff>0</xdr:rowOff>
    </xdr:to>
    <xdr:sp macro="" textlink="">
      <xdr:nvSpPr>
        <xdr:cNvPr id="407" name="Text Box 1">
          <a:extLst>
            <a:ext uri="{FF2B5EF4-FFF2-40B4-BE49-F238E27FC236}">
              <a16:creationId xmlns:a16="http://schemas.microsoft.com/office/drawing/2014/main" id="{00000000-0008-0000-0500-000097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23</xdr:row>
      <xdr:rowOff>0</xdr:rowOff>
    </xdr:from>
    <xdr:to>
      <xdr:col>4</xdr:col>
      <xdr:colOff>76200</xdr:colOff>
      <xdr:row>24</xdr:row>
      <xdr:rowOff>0</xdr:rowOff>
    </xdr:to>
    <xdr:sp macro="" textlink="">
      <xdr:nvSpPr>
        <xdr:cNvPr id="408" name="Text Box 1">
          <a:extLst>
            <a:ext uri="{FF2B5EF4-FFF2-40B4-BE49-F238E27FC236}">
              <a16:creationId xmlns:a16="http://schemas.microsoft.com/office/drawing/2014/main" id="{00000000-0008-0000-0500-000098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23</xdr:row>
      <xdr:rowOff>0</xdr:rowOff>
    </xdr:from>
    <xdr:to>
      <xdr:col>4</xdr:col>
      <xdr:colOff>76200</xdr:colOff>
      <xdr:row>24</xdr:row>
      <xdr:rowOff>0</xdr:rowOff>
    </xdr:to>
    <xdr:sp macro="" textlink="">
      <xdr:nvSpPr>
        <xdr:cNvPr id="409" name="Text Box 2">
          <a:extLst>
            <a:ext uri="{FF2B5EF4-FFF2-40B4-BE49-F238E27FC236}">
              <a16:creationId xmlns:a16="http://schemas.microsoft.com/office/drawing/2014/main" id="{00000000-0008-0000-0500-000099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23</xdr:row>
      <xdr:rowOff>0</xdr:rowOff>
    </xdr:from>
    <xdr:to>
      <xdr:col>4</xdr:col>
      <xdr:colOff>76200</xdr:colOff>
      <xdr:row>24</xdr:row>
      <xdr:rowOff>0</xdr:rowOff>
    </xdr:to>
    <xdr:sp macro="" textlink="">
      <xdr:nvSpPr>
        <xdr:cNvPr id="410" name="Text Box 1">
          <a:extLst>
            <a:ext uri="{FF2B5EF4-FFF2-40B4-BE49-F238E27FC236}">
              <a16:creationId xmlns:a16="http://schemas.microsoft.com/office/drawing/2014/main" id="{00000000-0008-0000-0500-00009A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23</xdr:row>
      <xdr:rowOff>0</xdr:rowOff>
    </xdr:from>
    <xdr:to>
      <xdr:col>4</xdr:col>
      <xdr:colOff>76200</xdr:colOff>
      <xdr:row>24</xdr:row>
      <xdr:rowOff>0</xdr:rowOff>
    </xdr:to>
    <xdr:sp macro="" textlink="">
      <xdr:nvSpPr>
        <xdr:cNvPr id="411" name="Text Box 1">
          <a:extLst>
            <a:ext uri="{FF2B5EF4-FFF2-40B4-BE49-F238E27FC236}">
              <a16:creationId xmlns:a16="http://schemas.microsoft.com/office/drawing/2014/main" id="{00000000-0008-0000-0500-00009B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23</xdr:row>
      <xdr:rowOff>0</xdr:rowOff>
    </xdr:from>
    <xdr:to>
      <xdr:col>4</xdr:col>
      <xdr:colOff>76200</xdr:colOff>
      <xdr:row>24</xdr:row>
      <xdr:rowOff>0</xdr:rowOff>
    </xdr:to>
    <xdr:sp macro="" textlink="">
      <xdr:nvSpPr>
        <xdr:cNvPr id="412" name="Text Box 1">
          <a:extLst>
            <a:ext uri="{FF2B5EF4-FFF2-40B4-BE49-F238E27FC236}">
              <a16:creationId xmlns:a16="http://schemas.microsoft.com/office/drawing/2014/main" id="{00000000-0008-0000-0500-00009C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23</xdr:row>
      <xdr:rowOff>0</xdr:rowOff>
    </xdr:from>
    <xdr:to>
      <xdr:col>4</xdr:col>
      <xdr:colOff>76200</xdr:colOff>
      <xdr:row>24</xdr:row>
      <xdr:rowOff>0</xdr:rowOff>
    </xdr:to>
    <xdr:sp macro="" textlink="">
      <xdr:nvSpPr>
        <xdr:cNvPr id="413" name="Text Box 2">
          <a:extLst>
            <a:ext uri="{FF2B5EF4-FFF2-40B4-BE49-F238E27FC236}">
              <a16:creationId xmlns:a16="http://schemas.microsoft.com/office/drawing/2014/main" id="{00000000-0008-0000-0500-00009D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23</xdr:row>
      <xdr:rowOff>0</xdr:rowOff>
    </xdr:from>
    <xdr:to>
      <xdr:col>4</xdr:col>
      <xdr:colOff>76200</xdr:colOff>
      <xdr:row>24</xdr:row>
      <xdr:rowOff>0</xdr:rowOff>
    </xdr:to>
    <xdr:sp macro="" textlink="">
      <xdr:nvSpPr>
        <xdr:cNvPr id="414" name="Text Box 1">
          <a:extLst>
            <a:ext uri="{FF2B5EF4-FFF2-40B4-BE49-F238E27FC236}">
              <a16:creationId xmlns:a16="http://schemas.microsoft.com/office/drawing/2014/main" id="{00000000-0008-0000-0500-00009E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23</xdr:row>
      <xdr:rowOff>0</xdr:rowOff>
    </xdr:from>
    <xdr:to>
      <xdr:col>4</xdr:col>
      <xdr:colOff>76200</xdr:colOff>
      <xdr:row>24</xdr:row>
      <xdr:rowOff>0</xdr:rowOff>
    </xdr:to>
    <xdr:sp macro="" textlink="">
      <xdr:nvSpPr>
        <xdr:cNvPr id="415" name="Text Box 1">
          <a:extLst>
            <a:ext uri="{FF2B5EF4-FFF2-40B4-BE49-F238E27FC236}">
              <a16:creationId xmlns:a16="http://schemas.microsoft.com/office/drawing/2014/main" id="{00000000-0008-0000-0500-00009F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76200</xdr:colOff>
      <xdr:row>25</xdr:row>
      <xdr:rowOff>0</xdr:rowOff>
    </xdr:to>
    <xdr:sp macro="" textlink="">
      <xdr:nvSpPr>
        <xdr:cNvPr id="416" name="Text Box 1">
          <a:extLst>
            <a:ext uri="{FF2B5EF4-FFF2-40B4-BE49-F238E27FC236}">
              <a16:creationId xmlns:a16="http://schemas.microsoft.com/office/drawing/2014/main" id="{00000000-0008-0000-0500-0000A0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76200</xdr:colOff>
      <xdr:row>25</xdr:row>
      <xdr:rowOff>0</xdr:rowOff>
    </xdr:to>
    <xdr:sp macro="" textlink="">
      <xdr:nvSpPr>
        <xdr:cNvPr id="417" name="Text Box 2">
          <a:extLst>
            <a:ext uri="{FF2B5EF4-FFF2-40B4-BE49-F238E27FC236}">
              <a16:creationId xmlns:a16="http://schemas.microsoft.com/office/drawing/2014/main" id="{00000000-0008-0000-0500-0000A1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76200</xdr:colOff>
      <xdr:row>25</xdr:row>
      <xdr:rowOff>0</xdr:rowOff>
    </xdr:to>
    <xdr:sp macro="" textlink="">
      <xdr:nvSpPr>
        <xdr:cNvPr id="418" name="Text Box 1">
          <a:extLst>
            <a:ext uri="{FF2B5EF4-FFF2-40B4-BE49-F238E27FC236}">
              <a16:creationId xmlns:a16="http://schemas.microsoft.com/office/drawing/2014/main" id="{00000000-0008-0000-0500-0000A2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76200</xdr:colOff>
      <xdr:row>25</xdr:row>
      <xdr:rowOff>0</xdr:rowOff>
    </xdr:to>
    <xdr:sp macro="" textlink="">
      <xdr:nvSpPr>
        <xdr:cNvPr id="419" name="Text Box 1">
          <a:extLst>
            <a:ext uri="{FF2B5EF4-FFF2-40B4-BE49-F238E27FC236}">
              <a16:creationId xmlns:a16="http://schemas.microsoft.com/office/drawing/2014/main" id="{00000000-0008-0000-0500-0000A3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76200</xdr:colOff>
      <xdr:row>25</xdr:row>
      <xdr:rowOff>0</xdr:rowOff>
    </xdr:to>
    <xdr:sp macro="" textlink="">
      <xdr:nvSpPr>
        <xdr:cNvPr id="420" name="Text Box 1">
          <a:extLst>
            <a:ext uri="{FF2B5EF4-FFF2-40B4-BE49-F238E27FC236}">
              <a16:creationId xmlns:a16="http://schemas.microsoft.com/office/drawing/2014/main" id="{00000000-0008-0000-0500-0000A4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76200</xdr:colOff>
      <xdr:row>25</xdr:row>
      <xdr:rowOff>0</xdr:rowOff>
    </xdr:to>
    <xdr:sp macro="" textlink="">
      <xdr:nvSpPr>
        <xdr:cNvPr id="421" name="Text Box 2">
          <a:extLst>
            <a:ext uri="{FF2B5EF4-FFF2-40B4-BE49-F238E27FC236}">
              <a16:creationId xmlns:a16="http://schemas.microsoft.com/office/drawing/2014/main" id="{00000000-0008-0000-0500-0000A5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76200</xdr:colOff>
      <xdr:row>25</xdr:row>
      <xdr:rowOff>0</xdr:rowOff>
    </xdr:to>
    <xdr:sp macro="" textlink="">
      <xdr:nvSpPr>
        <xdr:cNvPr id="422" name="Text Box 1">
          <a:extLst>
            <a:ext uri="{FF2B5EF4-FFF2-40B4-BE49-F238E27FC236}">
              <a16:creationId xmlns:a16="http://schemas.microsoft.com/office/drawing/2014/main" id="{00000000-0008-0000-0500-0000A6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76200</xdr:colOff>
      <xdr:row>25</xdr:row>
      <xdr:rowOff>0</xdr:rowOff>
    </xdr:to>
    <xdr:sp macro="" textlink="">
      <xdr:nvSpPr>
        <xdr:cNvPr id="423" name="Text Box 1">
          <a:extLst>
            <a:ext uri="{FF2B5EF4-FFF2-40B4-BE49-F238E27FC236}">
              <a16:creationId xmlns:a16="http://schemas.microsoft.com/office/drawing/2014/main" id="{00000000-0008-0000-0500-0000A7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76200</xdr:colOff>
      <xdr:row>25</xdr:row>
      <xdr:rowOff>0</xdr:rowOff>
    </xdr:to>
    <xdr:sp macro="" textlink="">
      <xdr:nvSpPr>
        <xdr:cNvPr id="424" name="Text Box 1">
          <a:extLst>
            <a:ext uri="{FF2B5EF4-FFF2-40B4-BE49-F238E27FC236}">
              <a16:creationId xmlns:a16="http://schemas.microsoft.com/office/drawing/2014/main" id="{00000000-0008-0000-0500-0000A8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76200</xdr:colOff>
      <xdr:row>25</xdr:row>
      <xdr:rowOff>0</xdr:rowOff>
    </xdr:to>
    <xdr:sp macro="" textlink="">
      <xdr:nvSpPr>
        <xdr:cNvPr id="425" name="Text Box 2">
          <a:extLst>
            <a:ext uri="{FF2B5EF4-FFF2-40B4-BE49-F238E27FC236}">
              <a16:creationId xmlns:a16="http://schemas.microsoft.com/office/drawing/2014/main" id="{00000000-0008-0000-0500-0000A9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76200</xdr:colOff>
      <xdr:row>25</xdr:row>
      <xdr:rowOff>0</xdr:rowOff>
    </xdr:to>
    <xdr:sp macro="" textlink="">
      <xdr:nvSpPr>
        <xdr:cNvPr id="426" name="Text Box 1">
          <a:extLst>
            <a:ext uri="{FF2B5EF4-FFF2-40B4-BE49-F238E27FC236}">
              <a16:creationId xmlns:a16="http://schemas.microsoft.com/office/drawing/2014/main" id="{00000000-0008-0000-0500-0000AA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76200</xdr:colOff>
      <xdr:row>25</xdr:row>
      <xdr:rowOff>0</xdr:rowOff>
    </xdr:to>
    <xdr:sp macro="" textlink="">
      <xdr:nvSpPr>
        <xdr:cNvPr id="427" name="Text Box 1">
          <a:extLst>
            <a:ext uri="{FF2B5EF4-FFF2-40B4-BE49-F238E27FC236}">
              <a16:creationId xmlns:a16="http://schemas.microsoft.com/office/drawing/2014/main" id="{00000000-0008-0000-0500-0000AB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76200</xdr:colOff>
      <xdr:row>25</xdr:row>
      <xdr:rowOff>0</xdr:rowOff>
    </xdr:to>
    <xdr:sp macro="" textlink="">
      <xdr:nvSpPr>
        <xdr:cNvPr id="428" name="Text Box 1">
          <a:extLst>
            <a:ext uri="{FF2B5EF4-FFF2-40B4-BE49-F238E27FC236}">
              <a16:creationId xmlns:a16="http://schemas.microsoft.com/office/drawing/2014/main" id="{00000000-0008-0000-0500-0000AC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76200</xdr:colOff>
      <xdr:row>25</xdr:row>
      <xdr:rowOff>0</xdr:rowOff>
    </xdr:to>
    <xdr:sp macro="" textlink="">
      <xdr:nvSpPr>
        <xdr:cNvPr id="429" name="Text Box 2">
          <a:extLst>
            <a:ext uri="{FF2B5EF4-FFF2-40B4-BE49-F238E27FC236}">
              <a16:creationId xmlns:a16="http://schemas.microsoft.com/office/drawing/2014/main" id="{00000000-0008-0000-0500-0000AD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76200</xdr:colOff>
      <xdr:row>25</xdr:row>
      <xdr:rowOff>0</xdr:rowOff>
    </xdr:to>
    <xdr:sp macro="" textlink="">
      <xdr:nvSpPr>
        <xdr:cNvPr id="430" name="Text Box 1">
          <a:extLst>
            <a:ext uri="{FF2B5EF4-FFF2-40B4-BE49-F238E27FC236}">
              <a16:creationId xmlns:a16="http://schemas.microsoft.com/office/drawing/2014/main" id="{00000000-0008-0000-0500-0000AE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76200</xdr:colOff>
      <xdr:row>25</xdr:row>
      <xdr:rowOff>0</xdr:rowOff>
    </xdr:to>
    <xdr:sp macro="" textlink="">
      <xdr:nvSpPr>
        <xdr:cNvPr id="431" name="Text Box 1">
          <a:extLst>
            <a:ext uri="{FF2B5EF4-FFF2-40B4-BE49-F238E27FC236}">
              <a16:creationId xmlns:a16="http://schemas.microsoft.com/office/drawing/2014/main" id="{00000000-0008-0000-0500-0000AF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76200</xdr:colOff>
      <xdr:row>25</xdr:row>
      <xdr:rowOff>0</xdr:rowOff>
    </xdr:to>
    <xdr:sp macro="" textlink="">
      <xdr:nvSpPr>
        <xdr:cNvPr id="432" name="Text Box 2">
          <a:extLst>
            <a:ext uri="{FF2B5EF4-FFF2-40B4-BE49-F238E27FC236}">
              <a16:creationId xmlns:a16="http://schemas.microsoft.com/office/drawing/2014/main" id="{00000000-0008-0000-0500-0000B0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76200</xdr:colOff>
      <xdr:row>25</xdr:row>
      <xdr:rowOff>0</xdr:rowOff>
    </xdr:to>
    <xdr:sp macro="" textlink="">
      <xdr:nvSpPr>
        <xdr:cNvPr id="433" name="Text Box 1">
          <a:extLst>
            <a:ext uri="{FF2B5EF4-FFF2-40B4-BE49-F238E27FC236}">
              <a16:creationId xmlns:a16="http://schemas.microsoft.com/office/drawing/2014/main" id="{00000000-0008-0000-0500-0000B1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76200</xdr:colOff>
      <xdr:row>25</xdr:row>
      <xdr:rowOff>0</xdr:rowOff>
    </xdr:to>
    <xdr:sp macro="" textlink="">
      <xdr:nvSpPr>
        <xdr:cNvPr id="434" name="Text Box 1">
          <a:extLst>
            <a:ext uri="{FF2B5EF4-FFF2-40B4-BE49-F238E27FC236}">
              <a16:creationId xmlns:a16="http://schemas.microsoft.com/office/drawing/2014/main" id="{00000000-0008-0000-0500-0000B2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76200</xdr:colOff>
      <xdr:row>25</xdr:row>
      <xdr:rowOff>0</xdr:rowOff>
    </xdr:to>
    <xdr:sp macro="" textlink="">
      <xdr:nvSpPr>
        <xdr:cNvPr id="435" name="Text Box 1">
          <a:extLst>
            <a:ext uri="{FF2B5EF4-FFF2-40B4-BE49-F238E27FC236}">
              <a16:creationId xmlns:a16="http://schemas.microsoft.com/office/drawing/2014/main" id="{00000000-0008-0000-0500-0000B3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76200</xdr:colOff>
      <xdr:row>25</xdr:row>
      <xdr:rowOff>0</xdr:rowOff>
    </xdr:to>
    <xdr:sp macro="" textlink="">
      <xdr:nvSpPr>
        <xdr:cNvPr id="436" name="Text Box 2">
          <a:extLst>
            <a:ext uri="{FF2B5EF4-FFF2-40B4-BE49-F238E27FC236}">
              <a16:creationId xmlns:a16="http://schemas.microsoft.com/office/drawing/2014/main" id="{00000000-0008-0000-0500-0000B4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76200</xdr:colOff>
      <xdr:row>25</xdr:row>
      <xdr:rowOff>0</xdr:rowOff>
    </xdr:to>
    <xdr:sp macro="" textlink="">
      <xdr:nvSpPr>
        <xdr:cNvPr id="437" name="Text Box 1">
          <a:extLst>
            <a:ext uri="{FF2B5EF4-FFF2-40B4-BE49-F238E27FC236}">
              <a16:creationId xmlns:a16="http://schemas.microsoft.com/office/drawing/2014/main" id="{00000000-0008-0000-0500-0000B5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76200</xdr:colOff>
      <xdr:row>25</xdr:row>
      <xdr:rowOff>0</xdr:rowOff>
    </xdr:to>
    <xdr:sp macro="" textlink="">
      <xdr:nvSpPr>
        <xdr:cNvPr id="438" name="Text Box 1">
          <a:extLst>
            <a:ext uri="{FF2B5EF4-FFF2-40B4-BE49-F238E27FC236}">
              <a16:creationId xmlns:a16="http://schemas.microsoft.com/office/drawing/2014/main" id="{00000000-0008-0000-0500-0000B6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25</xdr:row>
      <xdr:rowOff>0</xdr:rowOff>
    </xdr:from>
    <xdr:to>
      <xdr:col>4</xdr:col>
      <xdr:colOff>76200</xdr:colOff>
      <xdr:row>26</xdr:row>
      <xdr:rowOff>0</xdr:rowOff>
    </xdr:to>
    <xdr:sp macro="" textlink="">
      <xdr:nvSpPr>
        <xdr:cNvPr id="439" name="Text Box 1">
          <a:extLst>
            <a:ext uri="{FF2B5EF4-FFF2-40B4-BE49-F238E27FC236}">
              <a16:creationId xmlns:a16="http://schemas.microsoft.com/office/drawing/2014/main" id="{00000000-0008-0000-0500-0000B7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25</xdr:row>
      <xdr:rowOff>0</xdr:rowOff>
    </xdr:from>
    <xdr:to>
      <xdr:col>4</xdr:col>
      <xdr:colOff>76200</xdr:colOff>
      <xdr:row>26</xdr:row>
      <xdr:rowOff>0</xdr:rowOff>
    </xdr:to>
    <xdr:sp macro="" textlink="">
      <xdr:nvSpPr>
        <xdr:cNvPr id="440" name="Text Box 2">
          <a:extLst>
            <a:ext uri="{FF2B5EF4-FFF2-40B4-BE49-F238E27FC236}">
              <a16:creationId xmlns:a16="http://schemas.microsoft.com/office/drawing/2014/main" id="{00000000-0008-0000-0500-0000B8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25</xdr:row>
      <xdr:rowOff>0</xdr:rowOff>
    </xdr:from>
    <xdr:to>
      <xdr:col>4</xdr:col>
      <xdr:colOff>76200</xdr:colOff>
      <xdr:row>26</xdr:row>
      <xdr:rowOff>0</xdr:rowOff>
    </xdr:to>
    <xdr:sp macro="" textlink="">
      <xdr:nvSpPr>
        <xdr:cNvPr id="441" name="Text Box 1">
          <a:extLst>
            <a:ext uri="{FF2B5EF4-FFF2-40B4-BE49-F238E27FC236}">
              <a16:creationId xmlns:a16="http://schemas.microsoft.com/office/drawing/2014/main" id="{00000000-0008-0000-0500-0000B9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25</xdr:row>
      <xdr:rowOff>0</xdr:rowOff>
    </xdr:from>
    <xdr:to>
      <xdr:col>4</xdr:col>
      <xdr:colOff>76200</xdr:colOff>
      <xdr:row>26</xdr:row>
      <xdr:rowOff>0</xdr:rowOff>
    </xdr:to>
    <xdr:sp macro="" textlink="">
      <xdr:nvSpPr>
        <xdr:cNvPr id="442" name="Text Box 1">
          <a:extLst>
            <a:ext uri="{FF2B5EF4-FFF2-40B4-BE49-F238E27FC236}">
              <a16:creationId xmlns:a16="http://schemas.microsoft.com/office/drawing/2014/main" id="{00000000-0008-0000-0500-0000BA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25</xdr:row>
      <xdr:rowOff>0</xdr:rowOff>
    </xdr:from>
    <xdr:to>
      <xdr:col>4</xdr:col>
      <xdr:colOff>76200</xdr:colOff>
      <xdr:row>26</xdr:row>
      <xdr:rowOff>0</xdr:rowOff>
    </xdr:to>
    <xdr:sp macro="" textlink="">
      <xdr:nvSpPr>
        <xdr:cNvPr id="443" name="Text Box 1">
          <a:extLst>
            <a:ext uri="{FF2B5EF4-FFF2-40B4-BE49-F238E27FC236}">
              <a16:creationId xmlns:a16="http://schemas.microsoft.com/office/drawing/2014/main" id="{00000000-0008-0000-0500-0000BB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25</xdr:row>
      <xdr:rowOff>0</xdr:rowOff>
    </xdr:from>
    <xdr:to>
      <xdr:col>4</xdr:col>
      <xdr:colOff>76200</xdr:colOff>
      <xdr:row>26</xdr:row>
      <xdr:rowOff>0</xdr:rowOff>
    </xdr:to>
    <xdr:sp macro="" textlink="">
      <xdr:nvSpPr>
        <xdr:cNvPr id="444" name="Text Box 2">
          <a:extLst>
            <a:ext uri="{FF2B5EF4-FFF2-40B4-BE49-F238E27FC236}">
              <a16:creationId xmlns:a16="http://schemas.microsoft.com/office/drawing/2014/main" id="{00000000-0008-0000-0500-0000BC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25</xdr:row>
      <xdr:rowOff>0</xdr:rowOff>
    </xdr:from>
    <xdr:to>
      <xdr:col>4</xdr:col>
      <xdr:colOff>76200</xdr:colOff>
      <xdr:row>26</xdr:row>
      <xdr:rowOff>0</xdr:rowOff>
    </xdr:to>
    <xdr:sp macro="" textlink="">
      <xdr:nvSpPr>
        <xdr:cNvPr id="445" name="Text Box 1">
          <a:extLst>
            <a:ext uri="{FF2B5EF4-FFF2-40B4-BE49-F238E27FC236}">
              <a16:creationId xmlns:a16="http://schemas.microsoft.com/office/drawing/2014/main" id="{00000000-0008-0000-0500-0000BD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25</xdr:row>
      <xdr:rowOff>0</xdr:rowOff>
    </xdr:from>
    <xdr:to>
      <xdr:col>4</xdr:col>
      <xdr:colOff>76200</xdr:colOff>
      <xdr:row>26</xdr:row>
      <xdr:rowOff>0</xdr:rowOff>
    </xdr:to>
    <xdr:sp macro="" textlink="">
      <xdr:nvSpPr>
        <xdr:cNvPr id="446" name="Text Box 1">
          <a:extLst>
            <a:ext uri="{FF2B5EF4-FFF2-40B4-BE49-F238E27FC236}">
              <a16:creationId xmlns:a16="http://schemas.microsoft.com/office/drawing/2014/main" id="{00000000-0008-0000-0500-0000BE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25</xdr:row>
      <xdr:rowOff>0</xdr:rowOff>
    </xdr:from>
    <xdr:to>
      <xdr:col>4</xdr:col>
      <xdr:colOff>76200</xdr:colOff>
      <xdr:row>26</xdr:row>
      <xdr:rowOff>0</xdr:rowOff>
    </xdr:to>
    <xdr:sp macro="" textlink="">
      <xdr:nvSpPr>
        <xdr:cNvPr id="447" name="Text Box 1">
          <a:extLst>
            <a:ext uri="{FF2B5EF4-FFF2-40B4-BE49-F238E27FC236}">
              <a16:creationId xmlns:a16="http://schemas.microsoft.com/office/drawing/2014/main" id="{00000000-0008-0000-0500-0000BF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25</xdr:row>
      <xdr:rowOff>0</xdr:rowOff>
    </xdr:from>
    <xdr:to>
      <xdr:col>4</xdr:col>
      <xdr:colOff>76200</xdr:colOff>
      <xdr:row>26</xdr:row>
      <xdr:rowOff>0</xdr:rowOff>
    </xdr:to>
    <xdr:sp macro="" textlink="">
      <xdr:nvSpPr>
        <xdr:cNvPr id="448" name="Text Box 2">
          <a:extLst>
            <a:ext uri="{FF2B5EF4-FFF2-40B4-BE49-F238E27FC236}">
              <a16:creationId xmlns:a16="http://schemas.microsoft.com/office/drawing/2014/main" id="{00000000-0008-0000-0500-0000C0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25</xdr:row>
      <xdr:rowOff>0</xdr:rowOff>
    </xdr:from>
    <xdr:to>
      <xdr:col>4</xdr:col>
      <xdr:colOff>76200</xdr:colOff>
      <xdr:row>26</xdr:row>
      <xdr:rowOff>0</xdr:rowOff>
    </xdr:to>
    <xdr:sp macro="" textlink="">
      <xdr:nvSpPr>
        <xdr:cNvPr id="449" name="Text Box 1">
          <a:extLst>
            <a:ext uri="{FF2B5EF4-FFF2-40B4-BE49-F238E27FC236}">
              <a16:creationId xmlns:a16="http://schemas.microsoft.com/office/drawing/2014/main" id="{00000000-0008-0000-0500-0000C1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25</xdr:row>
      <xdr:rowOff>0</xdr:rowOff>
    </xdr:from>
    <xdr:to>
      <xdr:col>4</xdr:col>
      <xdr:colOff>76200</xdr:colOff>
      <xdr:row>26</xdr:row>
      <xdr:rowOff>0</xdr:rowOff>
    </xdr:to>
    <xdr:sp macro="" textlink="">
      <xdr:nvSpPr>
        <xdr:cNvPr id="450" name="Text Box 1">
          <a:extLst>
            <a:ext uri="{FF2B5EF4-FFF2-40B4-BE49-F238E27FC236}">
              <a16:creationId xmlns:a16="http://schemas.microsoft.com/office/drawing/2014/main" id="{00000000-0008-0000-0500-0000C2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25</xdr:row>
      <xdr:rowOff>0</xdr:rowOff>
    </xdr:from>
    <xdr:to>
      <xdr:col>4</xdr:col>
      <xdr:colOff>76200</xdr:colOff>
      <xdr:row>26</xdr:row>
      <xdr:rowOff>0</xdr:rowOff>
    </xdr:to>
    <xdr:sp macro="" textlink="">
      <xdr:nvSpPr>
        <xdr:cNvPr id="451" name="Text Box 1">
          <a:extLst>
            <a:ext uri="{FF2B5EF4-FFF2-40B4-BE49-F238E27FC236}">
              <a16:creationId xmlns:a16="http://schemas.microsoft.com/office/drawing/2014/main" id="{00000000-0008-0000-0500-0000C3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25</xdr:row>
      <xdr:rowOff>0</xdr:rowOff>
    </xdr:from>
    <xdr:to>
      <xdr:col>4</xdr:col>
      <xdr:colOff>76200</xdr:colOff>
      <xdr:row>26</xdr:row>
      <xdr:rowOff>0</xdr:rowOff>
    </xdr:to>
    <xdr:sp macro="" textlink="">
      <xdr:nvSpPr>
        <xdr:cNvPr id="452" name="Text Box 2">
          <a:extLst>
            <a:ext uri="{FF2B5EF4-FFF2-40B4-BE49-F238E27FC236}">
              <a16:creationId xmlns:a16="http://schemas.microsoft.com/office/drawing/2014/main" id="{00000000-0008-0000-0500-0000C4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25</xdr:row>
      <xdr:rowOff>0</xdr:rowOff>
    </xdr:from>
    <xdr:to>
      <xdr:col>4</xdr:col>
      <xdr:colOff>76200</xdr:colOff>
      <xdr:row>26</xdr:row>
      <xdr:rowOff>0</xdr:rowOff>
    </xdr:to>
    <xdr:sp macro="" textlink="">
      <xdr:nvSpPr>
        <xdr:cNvPr id="453" name="Text Box 1">
          <a:extLst>
            <a:ext uri="{FF2B5EF4-FFF2-40B4-BE49-F238E27FC236}">
              <a16:creationId xmlns:a16="http://schemas.microsoft.com/office/drawing/2014/main" id="{00000000-0008-0000-0500-0000C5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25</xdr:row>
      <xdr:rowOff>0</xdr:rowOff>
    </xdr:from>
    <xdr:to>
      <xdr:col>4</xdr:col>
      <xdr:colOff>76200</xdr:colOff>
      <xdr:row>26</xdr:row>
      <xdr:rowOff>0</xdr:rowOff>
    </xdr:to>
    <xdr:sp macro="" textlink="">
      <xdr:nvSpPr>
        <xdr:cNvPr id="454" name="Text Box 1">
          <a:extLst>
            <a:ext uri="{FF2B5EF4-FFF2-40B4-BE49-F238E27FC236}">
              <a16:creationId xmlns:a16="http://schemas.microsoft.com/office/drawing/2014/main" id="{00000000-0008-0000-0500-0000C6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25</xdr:row>
      <xdr:rowOff>0</xdr:rowOff>
    </xdr:from>
    <xdr:to>
      <xdr:col>4</xdr:col>
      <xdr:colOff>76200</xdr:colOff>
      <xdr:row>26</xdr:row>
      <xdr:rowOff>0</xdr:rowOff>
    </xdr:to>
    <xdr:sp macro="" textlink="">
      <xdr:nvSpPr>
        <xdr:cNvPr id="455" name="Text Box 2">
          <a:extLst>
            <a:ext uri="{FF2B5EF4-FFF2-40B4-BE49-F238E27FC236}">
              <a16:creationId xmlns:a16="http://schemas.microsoft.com/office/drawing/2014/main" id="{00000000-0008-0000-0500-0000C7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25</xdr:row>
      <xdr:rowOff>0</xdr:rowOff>
    </xdr:from>
    <xdr:to>
      <xdr:col>4</xdr:col>
      <xdr:colOff>76200</xdr:colOff>
      <xdr:row>26</xdr:row>
      <xdr:rowOff>0</xdr:rowOff>
    </xdr:to>
    <xdr:sp macro="" textlink="">
      <xdr:nvSpPr>
        <xdr:cNvPr id="456" name="Text Box 1">
          <a:extLst>
            <a:ext uri="{FF2B5EF4-FFF2-40B4-BE49-F238E27FC236}">
              <a16:creationId xmlns:a16="http://schemas.microsoft.com/office/drawing/2014/main" id="{00000000-0008-0000-0500-0000C8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25</xdr:row>
      <xdr:rowOff>0</xdr:rowOff>
    </xdr:from>
    <xdr:to>
      <xdr:col>4</xdr:col>
      <xdr:colOff>76200</xdr:colOff>
      <xdr:row>26</xdr:row>
      <xdr:rowOff>0</xdr:rowOff>
    </xdr:to>
    <xdr:sp macro="" textlink="">
      <xdr:nvSpPr>
        <xdr:cNvPr id="457" name="Text Box 1">
          <a:extLst>
            <a:ext uri="{FF2B5EF4-FFF2-40B4-BE49-F238E27FC236}">
              <a16:creationId xmlns:a16="http://schemas.microsoft.com/office/drawing/2014/main" id="{00000000-0008-0000-0500-0000C9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25</xdr:row>
      <xdr:rowOff>0</xdr:rowOff>
    </xdr:from>
    <xdr:to>
      <xdr:col>4</xdr:col>
      <xdr:colOff>76200</xdr:colOff>
      <xdr:row>26</xdr:row>
      <xdr:rowOff>0</xdr:rowOff>
    </xdr:to>
    <xdr:sp macro="" textlink="">
      <xdr:nvSpPr>
        <xdr:cNvPr id="458" name="Text Box 1">
          <a:extLst>
            <a:ext uri="{FF2B5EF4-FFF2-40B4-BE49-F238E27FC236}">
              <a16:creationId xmlns:a16="http://schemas.microsoft.com/office/drawing/2014/main" id="{00000000-0008-0000-0500-0000CA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25</xdr:row>
      <xdr:rowOff>0</xdr:rowOff>
    </xdr:from>
    <xdr:to>
      <xdr:col>4</xdr:col>
      <xdr:colOff>76200</xdr:colOff>
      <xdr:row>26</xdr:row>
      <xdr:rowOff>0</xdr:rowOff>
    </xdr:to>
    <xdr:sp macro="" textlink="">
      <xdr:nvSpPr>
        <xdr:cNvPr id="459" name="Text Box 2">
          <a:extLst>
            <a:ext uri="{FF2B5EF4-FFF2-40B4-BE49-F238E27FC236}">
              <a16:creationId xmlns:a16="http://schemas.microsoft.com/office/drawing/2014/main" id="{00000000-0008-0000-0500-0000CB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25</xdr:row>
      <xdr:rowOff>0</xdr:rowOff>
    </xdr:from>
    <xdr:to>
      <xdr:col>4</xdr:col>
      <xdr:colOff>76200</xdr:colOff>
      <xdr:row>26</xdr:row>
      <xdr:rowOff>0</xdr:rowOff>
    </xdr:to>
    <xdr:sp macro="" textlink="">
      <xdr:nvSpPr>
        <xdr:cNvPr id="460" name="Text Box 1">
          <a:extLst>
            <a:ext uri="{FF2B5EF4-FFF2-40B4-BE49-F238E27FC236}">
              <a16:creationId xmlns:a16="http://schemas.microsoft.com/office/drawing/2014/main" id="{00000000-0008-0000-0500-0000CC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25</xdr:row>
      <xdr:rowOff>0</xdr:rowOff>
    </xdr:from>
    <xdr:to>
      <xdr:col>4</xdr:col>
      <xdr:colOff>76200</xdr:colOff>
      <xdr:row>26</xdr:row>
      <xdr:rowOff>0</xdr:rowOff>
    </xdr:to>
    <xdr:sp macro="" textlink="">
      <xdr:nvSpPr>
        <xdr:cNvPr id="461" name="Text Box 1">
          <a:extLst>
            <a:ext uri="{FF2B5EF4-FFF2-40B4-BE49-F238E27FC236}">
              <a16:creationId xmlns:a16="http://schemas.microsoft.com/office/drawing/2014/main" id="{00000000-0008-0000-0500-0000CD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76200</xdr:colOff>
      <xdr:row>27</xdr:row>
      <xdr:rowOff>0</xdr:rowOff>
    </xdr:to>
    <xdr:sp macro="" textlink="">
      <xdr:nvSpPr>
        <xdr:cNvPr id="462" name="Text Box 1">
          <a:extLst>
            <a:ext uri="{FF2B5EF4-FFF2-40B4-BE49-F238E27FC236}">
              <a16:creationId xmlns:a16="http://schemas.microsoft.com/office/drawing/2014/main" id="{00000000-0008-0000-0500-0000CE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76200</xdr:colOff>
      <xdr:row>27</xdr:row>
      <xdr:rowOff>0</xdr:rowOff>
    </xdr:to>
    <xdr:sp macro="" textlink="">
      <xdr:nvSpPr>
        <xdr:cNvPr id="463" name="Text Box 2">
          <a:extLst>
            <a:ext uri="{FF2B5EF4-FFF2-40B4-BE49-F238E27FC236}">
              <a16:creationId xmlns:a16="http://schemas.microsoft.com/office/drawing/2014/main" id="{00000000-0008-0000-0500-0000CF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76200</xdr:colOff>
      <xdr:row>27</xdr:row>
      <xdr:rowOff>0</xdr:rowOff>
    </xdr:to>
    <xdr:sp macro="" textlink="">
      <xdr:nvSpPr>
        <xdr:cNvPr id="464" name="Text Box 1">
          <a:extLst>
            <a:ext uri="{FF2B5EF4-FFF2-40B4-BE49-F238E27FC236}">
              <a16:creationId xmlns:a16="http://schemas.microsoft.com/office/drawing/2014/main" id="{00000000-0008-0000-0500-0000D0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76200</xdr:colOff>
      <xdr:row>27</xdr:row>
      <xdr:rowOff>0</xdr:rowOff>
    </xdr:to>
    <xdr:sp macro="" textlink="">
      <xdr:nvSpPr>
        <xdr:cNvPr id="465" name="Text Box 1">
          <a:extLst>
            <a:ext uri="{FF2B5EF4-FFF2-40B4-BE49-F238E27FC236}">
              <a16:creationId xmlns:a16="http://schemas.microsoft.com/office/drawing/2014/main" id="{00000000-0008-0000-0500-0000D1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76200</xdr:colOff>
      <xdr:row>27</xdr:row>
      <xdr:rowOff>0</xdr:rowOff>
    </xdr:to>
    <xdr:sp macro="" textlink="">
      <xdr:nvSpPr>
        <xdr:cNvPr id="466" name="Text Box 1">
          <a:extLst>
            <a:ext uri="{FF2B5EF4-FFF2-40B4-BE49-F238E27FC236}">
              <a16:creationId xmlns:a16="http://schemas.microsoft.com/office/drawing/2014/main" id="{00000000-0008-0000-0500-0000D2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76200</xdr:colOff>
      <xdr:row>27</xdr:row>
      <xdr:rowOff>0</xdr:rowOff>
    </xdr:to>
    <xdr:sp macro="" textlink="">
      <xdr:nvSpPr>
        <xdr:cNvPr id="467" name="Text Box 2">
          <a:extLst>
            <a:ext uri="{FF2B5EF4-FFF2-40B4-BE49-F238E27FC236}">
              <a16:creationId xmlns:a16="http://schemas.microsoft.com/office/drawing/2014/main" id="{00000000-0008-0000-0500-0000D3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76200</xdr:colOff>
      <xdr:row>27</xdr:row>
      <xdr:rowOff>0</xdr:rowOff>
    </xdr:to>
    <xdr:sp macro="" textlink="">
      <xdr:nvSpPr>
        <xdr:cNvPr id="468" name="Text Box 1">
          <a:extLst>
            <a:ext uri="{FF2B5EF4-FFF2-40B4-BE49-F238E27FC236}">
              <a16:creationId xmlns:a16="http://schemas.microsoft.com/office/drawing/2014/main" id="{00000000-0008-0000-0500-0000D4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76200</xdr:colOff>
      <xdr:row>27</xdr:row>
      <xdr:rowOff>0</xdr:rowOff>
    </xdr:to>
    <xdr:sp macro="" textlink="">
      <xdr:nvSpPr>
        <xdr:cNvPr id="469" name="Text Box 1">
          <a:extLst>
            <a:ext uri="{FF2B5EF4-FFF2-40B4-BE49-F238E27FC236}">
              <a16:creationId xmlns:a16="http://schemas.microsoft.com/office/drawing/2014/main" id="{00000000-0008-0000-0500-0000D5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76200</xdr:colOff>
      <xdr:row>27</xdr:row>
      <xdr:rowOff>0</xdr:rowOff>
    </xdr:to>
    <xdr:sp macro="" textlink="">
      <xdr:nvSpPr>
        <xdr:cNvPr id="470" name="Text Box 1">
          <a:extLst>
            <a:ext uri="{FF2B5EF4-FFF2-40B4-BE49-F238E27FC236}">
              <a16:creationId xmlns:a16="http://schemas.microsoft.com/office/drawing/2014/main" id="{00000000-0008-0000-0500-0000D6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76200</xdr:colOff>
      <xdr:row>27</xdr:row>
      <xdr:rowOff>0</xdr:rowOff>
    </xdr:to>
    <xdr:sp macro="" textlink="">
      <xdr:nvSpPr>
        <xdr:cNvPr id="471" name="Text Box 2">
          <a:extLst>
            <a:ext uri="{FF2B5EF4-FFF2-40B4-BE49-F238E27FC236}">
              <a16:creationId xmlns:a16="http://schemas.microsoft.com/office/drawing/2014/main" id="{00000000-0008-0000-0500-0000D7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76200</xdr:colOff>
      <xdr:row>27</xdr:row>
      <xdr:rowOff>0</xdr:rowOff>
    </xdr:to>
    <xdr:sp macro="" textlink="">
      <xdr:nvSpPr>
        <xdr:cNvPr id="472" name="Text Box 1">
          <a:extLst>
            <a:ext uri="{FF2B5EF4-FFF2-40B4-BE49-F238E27FC236}">
              <a16:creationId xmlns:a16="http://schemas.microsoft.com/office/drawing/2014/main" id="{00000000-0008-0000-0500-0000D8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76200</xdr:colOff>
      <xdr:row>27</xdr:row>
      <xdr:rowOff>0</xdr:rowOff>
    </xdr:to>
    <xdr:sp macro="" textlink="">
      <xdr:nvSpPr>
        <xdr:cNvPr id="473" name="Text Box 1">
          <a:extLst>
            <a:ext uri="{FF2B5EF4-FFF2-40B4-BE49-F238E27FC236}">
              <a16:creationId xmlns:a16="http://schemas.microsoft.com/office/drawing/2014/main" id="{00000000-0008-0000-0500-0000D9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76200</xdr:colOff>
      <xdr:row>27</xdr:row>
      <xdr:rowOff>0</xdr:rowOff>
    </xdr:to>
    <xdr:sp macro="" textlink="">
      <xdr:nvSpPr>
        <xdr:cNvPr id="474" name="Text Box 1">
          <a:extLst>
            <a:ext uri="{FF2B5EF4-FFF2-40B4-BE49-F238E27FC236}">
              <a16:creationId xmlns:a16="http://schemas.microsoft.com/office/drawing/2014/main" id="{00000000-0008-0000-0500-0000DA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76200</xdr:colOff>
      <xdr:row>27</xdr:row>
      <xdr:rowOff>0</xdr:rowOff>
    </xdr:to>
    <xdr:sp macro="" textlink="">
      <xdr:nvSpPr>
        <xdr:cNvPr id="475" name="Text Box 2">
          <a:extLst>
            <a:ext uri="{FF2B5EF4-FFF2-40B4-BE49-F238E27FC236}">
              <a16:creationId xmlns:a16="http://schemas.microsoft.com/office/drawing/2014/main" id="{00000000-0008-0000-0500-0000DB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76200</xdr:colOff>
      <xdr:row>27</xdr:row>
      <xdr:rowOff>0</xdr:rowOff>
    </xdr:to>
    <xdr:sp macro="" textlink="">
      <xdr:nvSpPr>
        <xdr:cNvPr id="476" name="Text Box 1">
          <a:extLst>
            <a:ext uri="{FF2B5EF4-FFF2-40B4-BE49-F238E27FC236}">
              <a16:creationId xmlns:a16="http://schemas.microsoft.com/office/drawing/2014/main" id="{00000000-0008-0000-0500-0000DC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76200</xdr:colOff>
      <xdr:row>27</xdr:row>
      <xdr:rowOff>0</xdr:rowOff>
    </xdr:to>
    <xdr:sp macro="" textlink="">
      <xdr:nvSpPr>
        <xdr:cNvPr id="477" name="Text Box 1">
          <a:extLst>
            <a:ext uri="{FF2B5EF4-FFF2-40B4-BE49-F238E27FC236}">
              <a16:creationId xmlns:a16="http://schemas.microsoft.com/office/drawing/2014/main" id="{00000000-0008-0000-0500-0000DD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76200</xdr:colOff>
      <xdr:row>27</xdr:row>
      <xdr:rowOff>0</xdr:rowOff>
    </xdr:to>
    <xdr:sp macro="" textlink="">
      <xdr:nvSpPr>
        <xdr:cNvPr id="478" name="Text Box 2">
          <a:extLst>
            <a:ext uri="{FF2B5EF4-FFF2-40B4-BE49-F238E27FC236}">
              <a16:creationId xmlns:a16="http://schemas.microsoft.com/office/drawing/2014/main" id="{00000000-0008-0000-0500-0000DE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76200</xdr:colOff>
      <xdr:row>27</xdr:row>
      <xdr:rowOff>0</xdr:rowOff>
    </xdr:to>
    <xdr:sp macro="" textlink="">
      <xdr:nvSpPr>
        <xdr:cNvPr id="479" name="Text Box 1">
          <a:extLst>
            <a:ext uri="{FF2B5EF4-FFF2-40B4-BE49-F238E27FC236}">
              <a16:creationId xmlns:a16="http://schemas.microsoft.com/office/drawing/2014/main" id="{00000000-0008-0000-0500-0000DF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76200</xdr:colOff>
      <xdr:row>27</xdr:row>
      <xdr:rowOff>0</xdr:rowOff>
    </xdr:to>
    <xdr:sp macro="" textlink="">
      <xdr:nvSpPr>
        <xdr:cNvPr id="480" name="Text Box 1">
          <a:extLst>
            <a:ext uri="{FF2B5EF4-FFF2-40B4-BE49-F238E27FC236}">
              <a16:creationId xmlns:a16="http://schemas.microsoft.com/office/drawing/2014/main" id="{00000000-0008-0000-0500-0000E0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76200</xdr:colOff>
      <xdr:row>27</xdr:row>
      <xdr:rowOff>0</xdr:rowOff>
    </xdr:to>
    <xdr:sp macro="" textlink="">
      <xdr:nvSpPr>
        <xdr:cNvPr id="481" name="Text Box 1">
          <a:extLst>
            <a:ext uri="{FF2B5EF4-FFF2-40B4-BE49-F238E27FC236}">
              <a16:creationId xmlns:a16="http://schemas.microsoft.com/office/drawing/2014/main" id="{00000000-0008-0000-0500-0000E1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76200</xdr:colOff>
      <xdr:row>27</xdr:row>
      <xdr:rowOff>0</xdr:rowOff>
    </xdr:to>
    <xdr:sp macro="" textlink="">
      <xdr:nvSpPr>
        <xdr:cNvPr id="482" name="Text Box 2">
          <a:extLst>
            <a:ext uri="{FF2B5EF4-FFF2-40B4-BE49-F238E27FC236}">
              <a16:creationId xmlns:a16="http://schemas.microsoft.com/office/drawing/2014/main" id="{00000000-0008-0000-0500-0000E2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76200</xdr:colOff>
      <xdr:row>27</xdr:row>
      <xdr:rowOff>0</xdr:rowOff>
    </xdr:to>
    <xdr:sp macro="" textlink="">
      <xdr:nvSpPr>
        <xdr:cNvPr id="483" name="Text Box 1">
          <a:extLst>
            <a:ext uri="{FF2B5EF4-FFF2-40B4-BE49-F238E27FC236}">
              <a16:creationId xmlns:a16="http://schemas.microsoft.com/office/drawing/2014/main" id="{00000000-0008-0000-0500-0000E3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76200</xdr:colOff>
      <xdr:row>27</xdr:row>
      <xdr:rowOff>0</xdr:rowOff>
    </xdr:to>
    <xdr:sp macro="" textlink="">
      <xdr:nvSpPr>
        <xdr:cNvPr id="484" name="Text Box 1">
          <a:extLst>
            <a:ext uri="{FF2B5EF4-FFF2-40B4-BE49-F238E27FC236}">
              <a16:creationId xmlns:a16="http://schemas.microsoft.com/office/drawing/2014/main" id="{00000000-0008-0000-0500-0000E4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27</xdr:row>
      <xdr:rowOff>0</xdr:rowOff>
    </xdr:from>
    <xdr:to>
      <xdr:col>4</xdr:col>
      <xdr:colOff>76200</xdr:colOff>
      <xdr:row>28</xdr:row>
      <xdr:rowOff>0</xdr:rowOff>
    </xdr:to>
    <xdr:sp macro="" textlink="">
      <xdr:nvSpPr>
        <xdr:cNvPr id="485" name="Text Box 1">
          <a:extLst>
            <a:ext uri="{FF2B5EF4-FFF2-40B4-BE49-F238E27FC236}">
              <a16:creationId xmlns:a16="http://schemas.microsoft.com/office/drawing/2014/main" id="{00000000-0008-0000-0500-0000E5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27</xdr:row>
      <xdr:rowOff>0</xdr:rowOff>
    </xdr:from>
    <xdr:to>
      <xdr:col>4</xdr:col>
      <xdr:colOff>76200</xdr:colOff>
      <xdr:row>28</xdr:row>
      <xdr:rowOff>0</xdr:rowOff>
    </xdr:to>
    <xdr:sp macro="" textlink="">
      <xdr:nvSpPr>
        <xdr:cNvPr id="486" name="Text Box 2">
          <a:extLst>
            <a:ext uri="{FF2B5EF4-FFF2-40B4-BE49-F238E27FC236}">
              <a16:creationId xmlns:a16="http://schemas.microsoft.com/office/drawing/2014/main" id="{00000000-0008-0000-0500-0000E6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27</xdr:row>
      <xdr:rowOff>0</xdr:rowOff>
    </xdr:from>
    <xdr:to>
      <xdr:col>4</xdr:col>
      <xdr:colOff>76200</xdr:colOff>
      <xdr:row>28</xdr:row>
      <xdr:rowOff>0</xdr:rowOff>
    </xdr:to>
    <xdr:sp macro="" textlink="">
      <xdr:nvSpPr>
        <xdr:cNvPr id="487" name="Text Box 1">
          <a:extLst>
            <a:ext uri="{FF2B5EF4-FFF2-40B4-BE49-F238E27FC236}">
              <a16:creationId xmlns:a16="http://schemas.microsoft.com/office/drawing/2014/main" id="{00000000-0008-0000-0500-0000E7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27</xdr:row>
      <xdr:rowOff>0</xdr:rowOff>
    </xdr:from>
    <xdr:to>
      <xdr:col>4</xdr:col>
      <xdr:colOff>76200</xdr:colOff>
      <xdr:row>28</xdr:row>
      <xdr:rowOff>0</xdr:rowOff>
    </xdr:to>
    <xdr:sp macro="" textlink="">
      <xdr:nvSpPr>
        <xdr:cNvPr id="488" name="Text Box 1">
          <a:extLst>
            <a:ext uri="{FF2B5EF4-FFF2-40B4-BE49-F238E27FC236}">
              <a16:creationId xmlns:a16="http://schemas.microsoft.com/office/drawing/2014/main" id="{00000000-0008-0000-0500-0000E8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27</xdr:row>
      <xdr:rowOff>0</xdr:rowOff>
    </xdr:from>
    <xdr:to>
      <xdr:col>4</xdr:col>
      <xdr:colOff>76200</xdr:colOff>
      <xdr:row>28</xdr:row>
      <xdr:rowOff>0</xdr:rowOff>
    </xdr:to>
    <xdr:sp macro="" textlink="">
      <xdr:nvSpPr>
        <xdr:cNvPr id="489" name="Text Box 1">
          <a:extLst>
            <a:ext uri="{FF2B5EF4-FFF2-40B4-BE49-F238E27FC236}">
              <a16:creationId xmlns:a16="http://schemas.microsoft.com/office/drawing/2014/main" id="{00000000-0008-0000-0500-0000E9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27</xdr:row>
      <xdr:rowOff>0</xdr:rowOff>
    </xdr:from>
    <xdr:to>
      <xdr:col>4</xdr:col>
      <xdr:colOff>76200</xdr:colOff>
      <xdr:row>28</xdr:row>
      <xdr:rowOff>0</xdr:rowOff>
    </xdr:to>
    <xdr:sp macro="" textlink="">
      <xdr:nvSpPr>
        <xdr:cNvPr id="490" name="Text Box 2">
          <a:extLst>
            <a:ext uri="{FF2B5EF4-FFF2-40B4-BE49-F238E27FC236}">
              <a16:creationId xmlns:a16="http://schemas.microsoft.com/office/drawing/2014/main" id="{00000000-0008-0000-0500-0000EA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27</xdr:row>
      <xdr:rowOff>0</xdr:rowOff>
    </xdr:from>
    <xdr:to>
      <xdr:col>4</xdr:col>
      <xdr:colOff>76200</xdr:colOff>
      <xdr:row>28</xdr:row>
      <xdr:rowOff>0</xdr:rowOff>
    </xdr:to>
    <xdr:sp macro="" textlink="">
      <xdr:nvSpPr>
        <xdr:cNvPr id="491" name="Text Box 1">
          <a:extLst>
            <a:ext uri="{FF2B5EF4-FFF2-40B4-BE49-F238E27FC236}">
              <a16:creationId xmlns:a16="http://schemas.microsoft.com/office/drawing/2014/main" id="{00000000-0008-0000-0500-0000EB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27</xdr:row>
      <xdr:rowOff>0</xdr:rowOff>
    </xdr:from>
    <xdr:to>
      <xdr:col>4</xdr:col>
      <xdr:colOff>76200</xdr:colOff>
      <xdr:row>28</xdr:row>
      <xdr:rowOff>0</xdr:rowOff>
    </xdr:to>
    <xdr:sp macro="" textlink="">
      <xdr:nvSpPr>
        <xdr:cNvPr id="492" name="Text Box 1">
          <a:extLst>
            <a:ext uri="{FF2B5EF4-FFF2-40B4-BE49-F238E27FC236}">
              <a16:creationId xmlns:a16="http://schemas.microsoft.com/office/drawing/2014/main" id="{00000000-0008-0000-0500-0000EC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27</xdr:row>
      <xdr:rowOff>0</xdr:rowOff>
    </xdr:from>
    <xdr:to>
      <xdr:col>4</xdr:col>
      <xdr:colOff>76200</xdr:colOff>
      <xdr:row>28</xdr:row>
      <xdr:rowOff>0</xdr:rowOff>
    </xdr:to>
    <xdr:sp macro="" textlink="">
      <xdr:nvSpPr>
        <xdr:cNvPr id="493" name="Text Box 1">
          <a:extLst>
            <a:ext uri="{FF2B5EF4-FFF2-40B4-BE49-F238E27FC236}">
              <a16:creationId xmlns:a16="http://schemas.microsoft.com/office/drawing/2014/main" id="{00000000-0008-0000-0500-0000ED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27</xdr:row>
      <xdr:rowOff>0</xdr:rowOff>
    </xdr:from>
    <xdr:to>
      <xdr:col>4</xdr:col>
      <xdr:colOff>76200</xdr:colOff>
      <xdr:row>28</xdr:row>
      <xdr:rowOff>0</xdr:rowOff>
    </xdr:to>
    <xdr:sp macro="" textlink="">
      <xdr:nvSpPr>
        <xdr:cNvPr id="494" name="Text Box 2">
          <a:extLst>
            <a:ext uri="{FF2B5EF4-FFF2-40B4-BE49-F238E27FC236}">
              <a16:creationId xmlns:a16="http://schemas.microsoft.com/office/drawing/2014/main" id="{00000000-0008-0000-0500-0000EE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27</xdr:row>
      <xdr:rowOff>0</xdr:rowOff>
    </xdr:from>
    <xdr:to>
      <xdr:col>4</xdr:col>
      <xdr:colOff>76200</xdr:colOff>
      <xdr:row>28</xdr:row>
      <xdr:rowOff>0</xdr:rowOff>
    </xdr:to>
    <xdr:sp macro="" textlink="">
      <xdr:nvSpPr>
        <xdr:cNvPr id="495" name="Text Box 1">
          <a:extLst>
            <a:ext uri="{FF2B5EF4-FFF2-40B4-BE49-F238E27FC236}">
              <a16:creationId xmlns:a16="http://schemas.microsoft.com/office/drawing/2014/main" id="{00000000-0008-0000-0500-0000EF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27</xdr:row>
      <xdr:rowOff>0</xdr:rowOff>
    </xdr:from>
    <xdr:to>
      <xdr:col>4</xdr:col>
      <xdr:colOff>76200</xdr:colOff>
      <xdr:row>28</xdr:row>
      <xdr:rowOff>0</xdr:rowOff>
    </xdr:to>
    <xdr:sp macro="" textlink="">
      <xdr:nvSpPr>
        <xdr:cNvPr id="496" name="Text Box 1">
          <a:extLst>
            <a:ext uri="{FF2B5EF4-FFF2-40B4-BE49-F238E27FC236}">
              <a16:creationId xmlns:a16="http://schemas.microsoft.com/office/drawing/2014/main" id="{00000000-0008-0000-0500-0000F0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27</xdr:row>
      <xdr:rowOff>0</xdr:rowOff>
    </xdr:from>
    <xdr:to>
      <xdr:col>4</xdr:col>
      <xdr:colOff>76200</xdr:colOff>
      <xdr:row>28</xdr:row>
      <xdr:rowOff>0</xdr:rowOff>
    </xdr:to>
    <xdr:sp macro="" textlink="">
      <xdr:nvSpPr>
        <xdr:cNvPr id="497" name="Text Box 1">
          <a:extLst>
            <a:ext uri="{FF2B5EF4-FFF2-40B4-BE49-F238E27FC236}">
              <a16:creationId xmlns:a16="http://schemas.microsoft.com/office/drawing/2014/main" id="{00000000-0008-0000-0500-0000F1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27</xdr:row>
      <xdr:rowOff>0</xdr:rowOff>
    </xdr:from>
    <xdr:to>
      <xdr:col>4</xdr:col>
      <xdr:colOff>76200</xdr:colOff>
      <xdr:row>28</xdr:row>
      <xdr:rowOff>0</xdr:rowOff>
    </xdr:to>
    <xdr:sp macro="" textlink="">
      <xdr:nvSpPr>
        <xdr:cNvPr id="498" name="Text Box 2">
          <a:extLst>
            <a:ext uri="{FF2B5EF4-FFF2-40B4-BE49-F238E27FC236}">
              <a16:creationId xmlns:a16="http://schemas.microsoft.com/office/drawing/2014/main" id="{00000000-0008-0000-0500-0000F2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27</xdr:row>
      <xdr:rowOff>0</xdr:rowOff>
    </xdr:from>
    <xdr:to>
      <xdr:col>4</xdr:col>
      <xdr:colOff>76200</xdr:colOff>
      <xdr:row>28</xdr:row>
      <xdr:rowOff>0</xdr:rowOff>
    </xdr:to>
    <xdr:sp macro="" textlink="">
      <xdr:nvSpPr>
        <xdr:cNvPr id="499" name="Text Box 1">
          <a:extLst>
            <a:ext uri="{FF2B5EF4-FFF2-40B4-BE49-F238E27FC236}">
              <a16:creationId xmlns:a16="http://schemas.microsoft.com/office/drawing/2014/main" id="{00000000-0008-0000-0500-0000F3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27</xdr:row>
      <xdr:rowOff>0</xdr:rowOff>
    </xdr:from>
    <xdr:to>
      <xdr:col>4</xdr:col>
      <xdr:colOff>76200</xdr:colOff>
      <xdr:row>28</xdr:row>
      <xdr:rowOff>0</xdr:rowOff>
    </xdr:to>
    <xdr:sp macro="" textlink="">
      <xdr:nvSpPr>
        <xdr:cNvPr id="500" name="Text Box 1">
          <a:extLst>
            <a:ext uri="{FF2B5EF4-FFF2-40B4-BE49-F238E27FC236}">
              <a16:creationId xmlns:a16="http://schemas.microsoft.com/office/drawing/2014/main" id="{00000000-0008-0000-0500-0000F4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27</xdr:row>
      <xdr:rowOff>0</xdr:rowOff>
    </xdr:from>
    <xdr:to>
      <xdr:col>4</xdr:col>
      <xdr:colOff>76200</xdr:colOff>
      <xdr:row>28</xdr:row>
      <xdr:rowOff>0</xdr:rowOff>
    </xdr:to>
    <xdr:sp macro="" textlink="">
      <xdr:nvSpPr>
        <xdr:cNvPr id="501" name="Text Box 2">
          <a:extLst>
            <a:ext uri="{FF2B5EF4-FFF2-40B4-BE49-F238E27FC236}">
              <a16:creationId xmlns:a16="http://schemas.microsoft.com/office/drawing/2014/main" id="{00000000-0008-0000-0500-0000F5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27</xdr:row>
      <xdr:rowOff>0</xdr:rowOff>
    </xdr:from>
    <xdr:to>
      <xdr:col>4</xdr:col>
      <xdr:colOff>76200</xdr:colOff>
      <xdr:row>28</xdr:row>
      <xdr:rowOff>0</xdr:rowOff>
    </xdr:to>
    <xdr:sp macro="" textlink="">
      <xdr:nvSpPr>
        <xdr:cNvPr id="502" name="Text Box 1">
          <a:extLst>
            <a:ext uri="{FF2B5EF4-FFF2-40B4-BE49-F238E27FC236}">
              <a16:creationId xmlns:a16="http://schemas.microsoft.com/office/drawing/2014/main" id="{00000000-0008-0000-0500-0000F6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27</xdr:row>
      <xdr:rowOff>0</xdr:rowOff>
    </xdr:from>
    <xdr:to>
      <xdr:col>4</xdr:col>
      <xdr:colOff>76200</xdr:colOff>
      <xdr:row>28</xdr:row>
      <xdr:rowOff>0</xdr:rowOff>
    </xdr:to>
    <xdr:sp macro="" textlink="">
      <xdr:nvSpPr>
        <xdr:cNvPr id="503" name="Text Box 1">
          <a:extLst>
            <a:ext uri="{FF2B5EF4-FFF2-40B4-BE49-F238E27FC236}">
              <a16:creationId xmlns:a16="http://schemas.microsoft.com/office/drawing/2014/main" id="{00000000-0008-0000-0500-0000F7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27</xdr:row>
      <xdr:rowOff>0</xdr:rowOff>
    </xdr:from>
    <xdr:to>
      <xdr:col>4</xdr:col>
      <xdr:colOff>76200</xdr:colOff>
      <xdr:row>28</xdr:row>
      <xdr:rowOff>0</xdr:rowOff>
    </xdr:to>
    <xdr:sp macro="" textlink="">
      <xdr:nvSpPr>
        <xdr:cNvPr id="504" name="Text Box 1">
          <a:extLst>
            <a:ext uri="{FF2B5EF4-FFF2-40B4-BE49-F238E27FC236}">
              <a16:creationId xmlns:a16="http://schemas.microsoft.com/office/drawing/2014/main" id="{00000000-0008-0000-0500-0000F8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27</xdr:row>
      <xdr:rowOff>0</xdr:rowOff>
    </xdr:from>
    <xdr:to>
      <xdr:col>4</xdr:col>
      <xdr:colOff>76200</xdr:colOff>
      <xdr:row>28</xdr:row>
      <xdr:rowOff>0</xdr:rowOff>
    </xdr:to>
    <xdr:sp macro="" textlink="">
      <xdr:nvSpPr>
        <xdr:cNvPr id="505" name="Text Box 2">
          <a:extLst>
            <a:ext uri="{FF2B5EF4-FFF2-40B4-BE49-F238E27FC236}">
              <a16:creationId xmlns:a16="http://schemas.microsoft.com/office/drawing/2014/main" id="{00000000-0008-0000-0500-0000F9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27</xdr:row>
      <xdr:rowOff>0</xdr:rowOff>
    </xdr:from>
    <xdr:to>
      <xdr:col>4</xdr:col>
      <xdr:colOff>76200</xdr:colOff>
      <xdr:row>28</xdr:row>
      <xdr:rowOff>0</xdr:rowOff>
    </xdr:to>
    <xdr:sp macro="" textlink="">
      <xdr:nvSpPr>
        <xdr:cNvPr id="506" name="Text Box 1">
          <a:extLst>
            <a:ext uri="{FF2B5EF4-FFF2-40B4-BE49-F238E27FC236}">
              <a16:creationId xmlns:a16="http://schemas.microsoft.com/office/drawing/2014/main" id="{00000000-0008-0000-0500-0000FA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27</xdr:row>
      <xdr:rowOff>0</xdr:rowOff>
    </xdr:from>
    <xdr:to>
      <xdr:col>4</xdr:col>
      <xdr:colOff>76200</xdr:colOff>
      <xdr:row>28</xdr:row>
      <xdr:rowOff>0</xdr:rowOff>
    </xdr:to>
    <xdr:sp macro="" textlink="">
      <xdr:nvSpPr>
        <xdr:cNvPr id="507" name="Text Box 1">
          <a:extLst>
            <a:ext uri="{FF2B5EF4-FFF2-40B4-BE49-F238E27FC236}">
              <a16:creationId xmlns:a16="http://schemas.microsoft.com/office/drawing/2014/main" id="{00000000-0008-0000-0500-0000FB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28</xdr:row>
      <xdr:rowOff>0</xdr:rowOff>
    </xdr:from>
    <xdr:to>
      <xdr:col>4</xdr:col>
      <xdr:colOff>76200</xdr:colOff>
      <xdr:row>29</xdr:row>
      <xdr:rowOff>0</xdr:rowOff>
    </xdr:to>
    <xdr:sp macro="" textlink="">
      <xdr:nvSpPr>
        <xdr:cNvPr id="508" name="Text Box 1">
          <a:extLst>
            <a:ext uri="{FF2B5EF4-FFF2-40B4-BE49-F238E27FC236}">
              <a16:creationId xmlns:a16="http://schemas.microsoft.com/office/drawing/2014/main" id="{00000000-0008-0000-0500-0000FC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28</xdr:row>
      <xdr:rowOff>0</xdr:rowOff>
    </xdr:from>
    <xdr:to>
      <xdr:col>4</xdr:col>
      <xdr:colOff>76200</xdr:colOff>
      <xdr:row>29</xdr:row>
      <xdr:rowOff>0</xdr:rowOff>
    </xdr:to>
    <xdr:sp macro="" textlink="">
      <xdr:nvSpPr>
        <xdr:cNvPr id="509" name="Text Box 2">
          <a:extLst>
            <a:ext uri="{FF2B5EF4-FFF2-40B4-BE49-F238E27FC236}">
              <a16:creationId xmlns:a16="http://schemas.microsoft.com/office/drawing/2014/main" id="{00000000-0008-0000-0500-0000FD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28</xdr:row>
      <xdr:rowOff>0</xdr:rowOff>
    </xdr:from>
    <xdr:to>
      <xdr:col>4</xdr:col>
      <xdr:colOff>76200</xdr:colOff>
      <xdr:row>29</xdr:row>
      <xdr:rowOff>0</xdr:rowOff>
    </xdr:to>
    <xdr:sp macro="" textlink="">
      <xdr:nvSpPr>
        <xdr:cNvPr id="510" name="Text Box 1">
          <a:extLst>
            <a:ext uri="{FF2B5EF4-FFF2-40B4-BE49-F238E27FC236}">
              <a16:creationId xmlns:a16="http://schemas.microsoft.com/office/drawing/2014/main" id="{00000000-0008-0000-0500-0000FE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28</xdr:row>
      <xdr:rowOff>0</xdr:rowOff>
    </xdr:from>
    <xdr:to>
      <xdr:col>4</xdr:col>
      <xdr:colOff>76200</xdr:colOff>
      <xdr:row>29</xdr:row>
      <xdr:rowOff>0</xdr:rowOff>
    </xdr:to>
    <xdr:sp macro="" textlink="">
      <xdr:nvSpPr>
        <xdr:cNvPr id="511" name="Text Box 1">
          <a:extLst>
            <a:ext uri="{FF2B5EF4-FFF2-40B4-BE49-F238E27FC236}">
              <a16:creationId xmlns:a16="http://schemas.microsoft.com/office/drawing/2014/main" id="{00000000-0008-0000-0500-0000FF01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28</xdr:row>
      <xdr:rowOff>0</xdr:rowOff>
    </xdr:from>
    <xdr:to>
      <xdr:col>4</xdr:col>
      <xdr:colOff>76200</xdr:colOff>
      <xdr:row>29</xdr:row>
      <xdr:rowOff>0</xdr:rowOff>
    </xdr:to>
    <xdr:sp macro="" textlink="">
      <xdr:nvSpPr>
        <xdr:cNvPr id="512" name="Text Box 1">
          <a:extLst>
            <a:ext uri="{FF2B5EF4-FFF2-40B4-BE49-F238E27FC236}">
              <a16:creationId xmlns:a16="http://schemas.microsoft.com/office/drawing/2014/main" id="{00000000-0008-0000-0500-000000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28</xdr:row>
      <xdr:rowOff>0</xdr:rowOff>
    </xdr:from>
    <xdr:to>
      <xdr:col>4</xdr:col>
      <xdr:colOff>76200</xdr:colOff>
      <xdr:row>29</xdr:row>
      <xdr:rowOff>0</xdr:rowOff>
    </xdr:to>
    <xdr:sp macro="" textlink="">
      <xdr:nvSpPr>
        <xdr:cNvPr id="513" name="Text Box 2">
          <a:extLst>
            <a:ext uri="{FF2B5EF4-FFF2-40B4-BE49-F238E27FC236}">
              <a16:creationId xmlns:a16="http://schemas.microsoft.com/office/drawing/2014/main" id="{00000000-0008-0000-0500-000001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28</xdr:row>
      <xdr:rowOff>0</xdr:rowOff>
    </xdr:from>
    <xdr:to>
      <xdr:col>4</xdr:col>
      <xdr:colOff>76200</xdr:colOff>
      <xdr:row>29</xdr:row>
      <xdr:rowOff>0</xdr:rowOff>
    </xdr:to>
    <xdr:sp macro="" textlink="">
      <xdr:nvSpPr>
        <xdr:cNvPr id="514" name="Text Box 1">
          <a:extLst>
            <a:ext uri="{FF2B5EF4-FFF2-40B4-BE49-F238E27FC236}">
              <a16:creationId xmlns:a16="http://schemas.microsoft.com/office/drawing/2014/main" id="{00000000-0008-0000-0500-000002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28</xdr:row>
      <xdr:rowOff>0</xdr:rowOff>
    </xdr:from>
    <xdr:to>
      <xdr:col>4</xdr:col>
      <xdr:colOff>76200</xdr:colOff>
      <xdr:row>29</xdr:row>
      <xdr:rowOff>0</xdr:rowOff>
    </xdr:to>
    <xdr:sp macro="" textlink="">
      <xdr:nvSpPr>
        <xdr:cNvPr id="515" name="Text Box 1">
          <a:extLst>
            <a:ext uri="{FF2B5EF4-FFF2-40B4-BE49-F238E27FC236}">
              <a16:creationId xmlns:a16="http://schemas.microsoft.com/office/drawing/2014/main" id="{00000000-0008-0000-0500-000003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28</xdr:row>
      <xdr:rowOff>0</xdr:rowOff>
    </xdr:from>
    <xdr:to>
      <xdr:col>4</xdr:col>
      <xdr:colOff>76200</xdr:colOff>
      <xdr:row>29</xdr:row>
      <xdr:rowOff>0</xdr:rowOff>
    </xdr:to>
    <xdr:sp macro="" textlink="">
      <xdr:nvSpPr>
        <xdr:cNvPr id="516" name="Text Box 1">
          <a:extLst>
            <a:ext uri="{FF2B5EF4-FFF2-40B4-BE49-F238E27FC236}">
              <a16:creationId xmlns:a16="http://schemas.microsoft.com/office/drawing/2014/main" id="{00000000-0008-0000-0500-000004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28</xdr:row>
      <xdr:rowOff>0</xdr:rowOff>
    </xdr:from>
    <xdr:to>
      <xdr:col>4</xdr:col>
      <xdr:colOff>76200</xdr:colOff>
      <xdr:row>29</xdr:row>
      <xdr:rowOff>0</xdr:rowOff>
    </xdr:to>
    <xdr:sp macro="" textlink="">
      <xdr:nvSpPr>
        <xdr:cNvPr id="517" name="Text Box 2">
          <a:extLst>
            <a:ext uri="{FF2B5EF4-FFF2-40B4-BE49-F238E27FC236}">
              <a16:creationId xmlns:a16="http://schemas.microsoft.com/office/drawing/2014/main" id="{00000000-0008-0000-0500-000005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28</xdr:row>
      <xdr:rowOff>0</xdr:rowOff>
    </xdr:from>
    <xdr:to>
      <xdr:col>4</xdr:col>
      <xdr:colOff>76200</xdr:colOff>
      <xdr:row>29</xdr:row>
      <xdr:rowOff>0</xdr:rowOff>
    </xdr:to>
    <xdr:sp macro="" textlink="">
      <xdr:nvSpPr>
        <xdr:cNvPr id="518" name="Text Box 1">
          <a:extLst>
            <a:ext uri="{FF2B5EF4-FFF2-40B4-BE49-F238E27FC236}">
              <a16:creationId xmlns:a16="http://schemas.microsoft.com/office/drawing/2014/main" id="{00000000-0008-0000-0500-000006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28</xdr:row>
      <xdr:rowOff>0</xdr:rowOff>
    </xdr:from>
    <xdr:to>
      <xdr:col>4</xdr:col>
      <xdr:colOff>76200</xdr:colOff>
      <xdr:row>29</xdr:row>
      <xdr:rowOff>0</xdr:rowOff>
    </xdr:to>
    <xdr:sp macro="" textlink="">
      <xdr:nvSpPr>
        <xdr:cNvPr id="519" name="Text Box 1">
          <a:extLst>
            <a:ext uri="{FF2B5EF4-FFF2-40B4-BE49-F238E27FC236}">
              <a16:creationId xmlns:a16="http://schemas.microsoft.com/office/drawing/2014/main" id="{00000000-0008-0000-0500-000007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28</xdr:row>
      <xdr:rowOff>0</xdr:rowOff>
    </xdr:from>
    <xdr:to>
      <xdr:col>4</xdr:col>
      <xdr:colOff>76200</xdr:colOff>
      <xdr:row>29</xdr:row>
      <xdr:rowOff>0</xdr:rowOff>
    </xdr:to>
    <xdr:sp macro="" textlink="">
      <xdr:nvSpPr>
        <xdr:cNvPr id="520" name="Text Box 1">
          <a:extLst>
            <a:ext uri="{FF2B5EF4-FFF2-40B4-BE49-F238E27FC236}">
              <a16:creationId xmlns:a16="http://schemas.microsoft.com/office/drawing/2014/main" id="{00000000-0008-0000-0500-000008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28</xdr:row>
      <xdr:rowOff>0</xdr:rowOff>
    </xdr:from>
    <xdr:to>
      <xdr:col>4</xdr:col>
      <xdr:colOff>76200</xdr:colOff>
      <xdr:row>29</xdr:row>
      <xdr:rowOff>0</xdr:rowOff>
    </xdr:to>
    <xdr:sp macro="" textlink="">
      <xdr:nvSpPr>
        <xdr:cNvPr id="521" name="Text Box 2">
          <a:extLst>
            <a:ext uri="{FF2B5EF4-FFF2-40B4-BE49-F238E27FC236}">
              <a16:creationId xmlns:a16="http://schemas.microsoft.com/office/drawing/2014/main" id="{00000000-0008-0000-0500-000009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28</xdr:row>
      <xdr:rowOff>0</xdr:rowOff>
    </xdr:from>
    <xdr:to>
      <xdr:col>4</xdr:col>
      <xdr:colOff>76200</xdr:colOff>
      <xdr:row>29</xdr:row>
      <xdr:rowOff>0</xdr:rowOff>
    </xdr:to>
    <xdr:sp macro="" textlink="">
      <xdr:nvSpPr>
        <xdr:cNvPr id="522" name="Text Box 1">
          <a:extLst>
            <a:ext uri="{FF2B5EF4-FFF2-40B4-BE49-F238E27FC236}">
              <a16:creationId xmlns:a16="http://schemas.microsoft.com/office/drawing/2014/main" id="{00000000-0008-0000-0500-00000A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28</xdr:row>
      <xdr:rowOff>0</xdr:rowOff>
    </xdr:from>
    <xdr:to>
      <xdr:col>4</xdr:col>
      <xdr:colOff>76200</xdr:colOff>
      <xdr:row>29</xdr:row>
      <xdr:rowOff>0</xdr:rowOff>
    </xdr:to>
    <xdr:sp macro="" textlink="">
      <xdr:nvSpPr>
        <xdr:cNvPr id="523" name="Text Box 1">
          <a:extLst>
            <a:ext uri="{FF2B5EF4-FFF2-40B4-BE49-F238E27FC236}">
              <a16:creationId xmlns:a16="http://schemas.microsoft.com/office/drawing/2014/main" id="{00000000-0008-0000-0500-00000B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28</xdr:row>
      <xdr:rowOff>0</xdr:rowOff>
    </xdr:from>
    <xdr:to>
      <xdr:col>4</xdr:col>
      <xdr:colOff>76200</xdr:colOff>
      <xdr:row>29</xdr:row>
      <xdr:rowOff>0</xdr:rowOff>
    </xdr:to>
    <xdr:sp macro="" textlink="">
      <xdr:nvSpPr>
        <xdr:cNvPr id="524" name="Text Box 2">
          <a:extLst>
            <a:ext uri="{FF2B5EF4-FFF2-40B4-BE49-F238E27FC236}">
              <a16:creationId xmlns:a16="http://schemas.microsoft.com/office/drawing/2014/main" id="{00000000-0008-0000-0500-00000C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28</xdr:row>
      <xdr:rowOff>0</xdr:rowOff>
    </xdr:from>
    <xdr:to>
      <xdr:col>4</xdr:col>
      <xdr:colOff>76200</xdr:colOff>
      <xdr:row>29</xdr:row>
      <xdr:rowOff>0</xdr:rowOff>
    </xdr:to>
    <xdr:sp macro="" textlink="">
      <xdr:nvSpPr>
        <xdr:cNvPr id="525" name="Text Box 1">
          <a:extLst>
            <a:ext uri="{FF2B5EF4-FFF2-40B4-BE49-F238E27FC236}">
              <a16:creationId xmlns:a16="http://schemas.microsoft.com/office/drawing/2014/main" id="{00000000-0008-0000-0500-00000D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28</xdr:row>
      <xdr:rowOff>0</xdr:rowOff>
    </xdr:from>
    <xdr:to>
      <xdr:col>4</xdr:col>
      <xdr:colOff>76200</xdr:colOff>
      <xdr:row>29</xdr:row>
      <xdr:rowOff>0</xdr:rowOff>
    </xdr:to>
    <xdr:sp macro="" textlink="">
      <xdr:nvSpPr>
        <xdr:cNvPr id="526" name="Text Box 1">
          <a:extLst>
            <a:ext uri="{FF2B5EF4-FFF2-40B4-BE49-F238E27FC236}">
              <a16:creationId xmlns:a16="http://schemas.microsoft.com/office/drawing/2014/main" id="{00000000-0008-0000-0500-00000E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28</xdr:row>
      <xdr:rowOff>0</xdr:rowOff>
    </xdr:from>
    <xdr:to>
      <xdr:col>4</xdr:col>
      <xdr:colOff>76200</xdr:colOff>
      <xdr:row>29</xdr:row>
      <xdr:rowOff>0</xdr:rowOff>
    </xdr:to>
    <xdr:sp macro="" textlink="">
      <xdr:nvSpPr>
        <xdr:cNvPr id="527" name="Text Box 1">
          <a:extLst>
            <a:ext uri="{FF2B5EF4-FFF2-40B4-BE49-F238E27FC236}">
              <a16:creationId xmlns:a16="http://schemas.microsoft.com/office/drawing/2014/main" id="{00000000-0008-0000-0500-00000F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28</xdr:row>
      <xdr:rowOff>0</xdr:rowOff>
    </xdr:from>
    <xdr:to>
      <xdr:col>4</xdr:col>
      <xdr:colOff>76200</xdr:colOff>
      <xdr:row>29</xdr:row>
      <xdr:rowOff>0</xdr:rowOff>
    </xdr:to>
    <xdr:sp macro="" textlink="">
      <xdr:nvSpPr>
        <xdr:cNvPr id="528" name="Text Box 2">
          <a:extLst>
            <a:ext uri="{FF2B5EF4-FFF2-40B4-BE49-F238E27FC236}">
              <a16:creationId xmlns:a16="http://schemas.microsoft.com/office/drawing/2014/main" id="{00000000-0008-0000-0500-000010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28</xdr:row>
      <xdr:rowOff>0</xdr:rowOff>
    </xdr:from>
    <xdr:to>
      <xdr:col>4</xdr:col>
      <xdr:colOff>76200</xdr:colOff>
      <xdr:row>29</xdr:row>
      <xdr:rowOff>0</xdr:rowOff>
    </xdr:to>
    <xdr:sp macro="" textlink="">
      <xdr:nvSpPr>
        <xdr:cNvPr id="529" name="Text Box 1">
          <a:extLst>
            <a:ext uri="{FF2B5EF4-FFF2-40B4-BE49-F238E27FC236}">
              <a16:creationId xmlns:a16="http://schemas.microsoft.com/office/drawing/2014/main" id="{00000000-0008-0000-0500-000011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28</xdr:row>
      <xdr:rowOff>0</xdr:rowOff>
    </xdr:from>
    <xdr:to>
      <xdr:col>4</xdr:col>
      <xdr:colOff>76200</xdr:colOff>
      <xdr:row>29</xdr:row>
      <xdr:rowOff>0</xdr:rowOff>
    </xdr:to>
    <xdr:sp macro="" textlink="">
      <xdr:nvSpPr>
        <xdr:cNvPr id="530" name="Text Box 1">
          <a:extLst>
            <a:ext uri="{FF2B5EF4-FFF2-40B4-BE49-F238E27FC236}">
              <a16:creationId xmlns:a16="http://schemas.microsoft.com/office/drawing/2014/main" id="{00000000-0008-0000-0500-000012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29</xdr:row>
      <xdr:rowOff>0</xdr:rowOff>
    </xdr:from>
    <xdr:to>
      <xdr:col>4</xdr:col>
      <xdr:colOff>76200</xdr:colOff>
      <xdr:row>30</xdr:row>
      <xdr:rowOff>0</xdr:rowOff>
    </xdr:to>
    <xdr:sp macro="" textlink="">
      <xdr:nvSpPr>
        <xdr:cNvPr id="531" name="Text Box 1">
          <a:extLst>
            <a:ext uri="{FF2B5EF4-FFF2-40B4-BE49-F238E27FC236}">
              <a16:creationId xmlns:a16="http://schemas.microsoft.com/office/drawing/2014/main" id="{00000000-0008-0000-0500-000013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29</xdr:row>
      <xdr:rowOff>0</xdr:rowOff>
    </xdr:from>
    <xdr:to>
      <xdr:col>4</xdr:col>
      <xdr:colOff>76200</xdr:colOff>
      <xdr:row>30</xdr:row>
      <xdr:rowOff>0</xdr:rowOff>
    </xdr:to>
    <xdr:sp macro="" textlink="">
      <xdr:nvSpPr>
        <xdr:cNvPr id="532" name="Text Box 2">
          <a:extLst>
            <a:ext uri="{FF2B5EF4-FFF2-40B4-BE49-F238E27FC236}">
              <a16:creationId xmlns:a16="http://schemas.microsoft.com/office/drawing/2014/main" id="{00000000-0008-0000-0500-000014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29</xdr:row>
      <xdr:rowOff>0</xdr:rowOff>
    </xdr:from>
    <xdr:to>
      <xdr:col>4</xdr:col>
      <xdr:colOff>76200</xdr:colOff>
      <xdr:row>30</xdr:row>
      <xdr:rowOff>0</xdr:rowOff>
    </xdr:to>
    <xdr:sp macro="" textlink="">
      <xdr:nvSpPr>
        <xdr:cNvPr id="533" name="Text Box 1">
          <a:extLst>
            <a:ext uri="{FF2B5EF4-FFF2-40B4-BE49-F238E27FC236}">
              <a16:creationId xmlns:a16="http://schemas.microsoft.com/office/drawing/2014/main" id="{00000000-0008-0000-0500-000015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29</xdr:row>
      <xdr:rowOff>0</xdr:rowOff>
    </xdr:from>
    <xdr:to>
      <xdr:col>4</xdr:col>
      <xdr:colOff>76200</xdr:colOff>
      <xdr:row>30</xdr:row>
      <xdr:rowOff>0</xdr:rowOff>
    </xdr:to>
    <xdr:sp macro="" textlink="">
      <xdr:nvSpPr>
        <xdr:cNvPr id="534" name="Text Box 1">
          <a:extLst>
            <a:ext uri="{FF2B5EF4-FFF2-40B4-BE49-F238E27FC236}">
              <a16:creationId xmlns:a16="http://schemas.microsoft.com/office/drawing/2014/main" id="{00000000-0008-0000-0500-000016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29</xdr:row>
      <xdr:rowOff>0</xdr:rowOff>
    </xdr:from>
    <xdr:to>
      <xdr:col>4</xdr:col>
      <xdr:colOff>76200</xdr:colOff>
      <xdr:row>30</xdr:row>
      <xdr:rowOff>0</xdr:rowOff>
    </xdr:to>
    <xdr:sp macro="" textlink="">
      <xdr:nvSpPr>
        <xdr:cNvPr id="535" name="Text Box 1">
          <a:extLst>
            <a:ext uri="{FF2B5EF4-FFF2-40B4-BE49-F238E27FC236}">
              <a16:creationId xmlns:a16="http://schemas.microsoft.com/office/drawing/2014/main" id="{00000000-0008-0000-0500-000017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29</xdr:row>
      <xdr:rowOff>0</xdr:rowOff>
    </xdr:from>
    <xdr:to>
      <xdr:col>4</xdr:col>
      <xdr:colOff>76200</xdr:colOff>
      <xdr:row>30</xdr:row>
      <xdr:rowOff>0</xdr:rowOff>
    </xdr:to>
    <xdr:sp macro="" textlink="">
      <xdr:nvSpPr>
        <xdr:cNvPr id="536" name="Text Box 2">
          <a:extLst>
            <a:ext uri="{FF2B5EF4-FFF2-40B4-BE49-F238E27FC236}">
              <a16:creationId xmlns:a16="http://schemas.microsoft.com/office/drawing/2014/main" id="{00000000-0008-0000-0500-000018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29</xdr:row>
      <xdr:rowOff>0</xdr:rowOff>
    </xdr:from>
    <xdr:to>
      <xdr:col>4</xdr:col>
      <xdr:colOff>76200</xdr:colOff>
      <xdr:row>30</xdr:row>
      <xdr:rowOff>0</xdr:rowOff>
    </xdr:to>
    <xdr:sp macro="" textlink="">
      <xdr:nvSpPr>
        <xdr:cNvPr id="537" name="Text Box 1">
          <a:extLst>
            <a:ext uri="{FF2B5EF4-FFF2-40B4-BE49-F238E27FC236}">
              <a16:creationId xmlns:a16="http://schemas.microsoft.com/office/drawing/2014/main" id="{00000000-0008-0000-0500-000019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29</xdr:row>
      <xdr:rowOff>0</xdr:rowOff>
    </xdr:from>
    <xdr:to>
      <xdr:col>4</xdr:col>
      <xdr:colOff>76200</xdr:colOff>
      <xdr:row>30</xdr:row>
      <xdr:rowOff>0</xdr:rowOff>
    </xdr:to>
    <xdr:sp macro="" textlink="">
      <xdr:nvSpPr>
        <xdr:cNvPr id="538" name="Text Box 1">
          <a:extLst>
            <a:ext uri="{FF2B5EF4-FFF2-40B4-BE49-F238E27FC236}">
              <a16:creationId xmlns:a16="http://schemas.microsoft.com/office/drawing/2014/main" id="{00000000-0008-0000-0500-00001A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29</xdr:row>
      <xdr:rowOff>0</xdr:rowOff>
    </xdr:from>
    <xdr:to>
      <xdr:col>4</xdr:col>
      <xdr:colOff>76200</xdr:colOff>
      <xdr:row>30</xdr:row>
      <xdr:rowOff>0</xdr:rowOff>
    </xdr:to>
    <xdr:sp macro="" textlink="">
      <xdr:nvSpPr>
        <xdr:cNvPr id="539" name="Text Box 1">
          <a:extLst>
            <a:ext uri="{FF2B5EF4-FFF2-40B4-BE49-F238E27FC236}">
              <a16:creationId xmlns:a16="http://schemas.microsoft.com/office/drawing/2014/main" id="{00000000-0008-0000-0500-00001B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29</xdr:row>
      <xdr:rowOff>0</xdr:rowOff>
    </xdr:from>
    <xdr:to>
      <xdr:col>4</xdr:col>
      <xdr:colOff>76200</xdr:colOff>
      <xdr:row>30</xdr:row>
      <xdr:rowOff>0</xdr:rowOff>
    </xdr:to>
    <xdr:sp macro="" textlink="">
      <xdr:nvSpPr>
        <xdr:cNvPr id="540" name="Text Box 2">
          <a:extLst>
            <a:ext uri="{FF2B5EF4-FFF2-40B4-BE49-F238E27FC236}">
              <a16:creationId xmlns:a16="http://schemas.microsoft.com/office/drawing/2014/main" id="{00000000-0008-0000-0500-00001C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29</xdr:row>
      <xdr:rowOff>0</xdr:rowOff>
    </xdr:from>
    <xdr:to>
      <xdr:col>4</xdr:col>
      <xdr:colOff>76200</xdr:colOff>
      <xdr:row>30</xdr:row>
      <xdr:rowOff>0</xdr:rowOff>
    </xdr:to>
    <xdr:sp macro="" textlink="">
      <xdr:nvSpPr>
        <xdr:cNvPr id="541" name="Text Box 1">
          <a:extLst>
            <a:ext uri="{FF2B5EF4-FFF2-40B4-BE49-F238E27FC236}">
              <a16:creationId xmlns:a16="http://schemas.microsoft.com/office/drawing/2014/main" id="{00000000-0008-0000-0500-00001D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29</xdr:row>
      <xdr:rowOff>0</xdr:rowOff>
    </xdr:from>
    <xdr:to>
      <xdr:col>4</xdr:col>
      <xdr:colOff>76200</xdr:colOff>
      <xdr:row>30</xdr:row>
      <xdr:rowOff>0</xdr:rowOff>
    </xdr:to>
    <xdr:sp macro="" textlink="">
      <xdr:nvSpPr>
        <xdr:cNvPr id="542" name="Text Box 1">
          <a:extLst>
            <a:ext uri="{FF2B5EF4-FFF2-40B4-BE49-F238E27FC236}">
              <a16:creationId xmlns:a16="http://schemas.microsoft.com/office/drawing/2014/main" id="{00000000-0008-0000-0500-00001E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29</xdr:row>
      <xdr:rowOff>0</xdr:rowOff>
    </xdr:from>
    <xdr:to>
      <xdr:col>4</xdr:col>
      <xdr:colOff>76200</xdr:colOff>
      <xdr:row>30</xdr:row>
      <xdr:rowOff>0</xdr:rowOff>
    </xdr:to>
    <xdr:sp macro="" textlink="">
      <xdr:nvSpPr>
        <xdr:cNvPr id="543" name="Text Box 1">
          <a:extLst>
            <a:ext uri="{FF2B5EF4-FFF2-40B4-BE49-F238E27FC236}">
              <a16:creationId xmlns:a16="http://schemas.microsoft.com/office/drawing/2014/main" id="{00000000-0008-0000-0500-00001F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29</xdr:row>
      <xdr:rowOff>0</xdr:rowOff>
    </xdr:from>
    <xdr:to>
      <xdr:col>4</xdr:col>
      <xdr:colOff>76200</xdr:colOff>
      <xdr:row>30</xdr:row>
      <xdr:rowOff>0</xdr:rowOff>
    </xdr:to>
    <xdr:sp macro="" textlink="">
      <xdr:nvSpPr>
        <xdr:cNvPr id="544" name="Text Box 2">
          <a:extLst>
            <a:ext uri="{FF2B5EF4-FFF2-40B4-BE49-F238E27FC236}">
              <a16:creationId xmlns:a16="http://schemas.microsoft.com/office/drawing/2014/main" id="{00000000-0008-0000-0500-000020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29</xdr:row>
      <xdr:rowOff>0</xdr:rowOff>
    </xdr:from>
    <xdr:to>
      <xdr:col>4</xdr:col>
      <xdr:colOff>76200</xdr:colOff>
      <xdr:row>30</xdr:row>
      <xdr:rowOff>0</xdr:rowOff>
    </xdr:to>
    <xdr:sp macro="" textlink="">
      <xdr:nvSpPr>
        <xdr:cNvPr id="545" name="Text Box 1">
          <a:extLst>
            <a:ext uri="{FF2B5EF4-FFF2-40B4-BE49-F238E27FC236}">
              <a16:creationId xmlns:a16="http://schemas.microsoft.com/office/drawing/2014/main" id="{00000000-0008-0000-0500-000021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29</xdr:row>
      <xdr:rowOff>0</xdr:rowOff>
    </xdr:from>
    <xdr:to>
      <xdr:col>4</xdr:col>
      <xdr:colOff>76200</xdr:colOff>
      <xdr:row>30</xdr:row>
      <xdr:rowOff>0</xdr:rowOff>
    </xdr:to>
    <xdr:sp macro="" textlink="">
      <xdr:nvSpPr>
        <xdr:cNvPr id="546" name="Text Box 1">
          <a:extLst>
            <a:ext uri="{FF2B5EF4-FFF2-40B4-BE49-F238E27FC236}">
              <a16:creationId xmlns:a16="http://schemas.microsoft.com/office/drawing/2014/main" id="{00000000-0008-0000-0500-000022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29</xdr:row>
      <xdr:rowOff>0</xdr:rowOff>
    </xdr:from>
    <xdr:to>
      <xdr:col>4</xdr:col>
      <xdr:colOff>76200</xdr:colOff>
      <xdr:row>30</xdr:row>
      <xdr:rowOff>0</xdr:rowOff>
    </xdr:to>
    <xdr:sp macro="" textlink="">
      <xdr:nvSpPr>
        <xdr:cNvPr id="547" name="Text Box 2">
          <a:extLst>
            <a:ext uri="{FF2B5EF4-FFF2-40B4-BE49-F238E27FC236}">
              <a16:creationId xmlns:a16="http://schemas.microsoft.com/office/drawing/2014/main" id="{00000000-0008-0000-0500-000023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29</xdr:row>
      <xdr:rowOff>0</xdr:rowOff>
    </xdr:from>
    <xdr:to>
      <xdr:col>4</xdr:col>
      <xdr:colOff>76200</xdr:colOff>
      <xdr:row>30</xdr:row>
      <xdr:rowOff>0</xdr:rowOff>
    </xdr:to>
    <xdr:sp macro="" textlink="">
      <xdr:nvSpPr>
        <xdr:cNvPr id="548" name="Text Box 1">
          <a:extLst>
            <a:ext uri="{FF2B5EF4-FFF2-40B4-BE49-F238E27FC236}">
              <a16:creationId xmlns:a16="http://schemas.microsoft.com/office/drawing/2014/main" id="{00000000-0008-0000-0500-000024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29</xdr:row>
      <xdr:rowOff>0</xdr:rowOff>
    </xdr:from>
    <xdr:to>
      <xdr:col>4</xdr:col>
      <xdr:colOff>76200</xdr:colOff>
      <xdr:row>30</xdr:row>
      <xdr:rowOff>0</xdr:rowOff>
    </xdr:to>
    <xdr:sp macro="" textlink="">
      <xdr:nvSpPr>
        <xdr:cNvPr id="549" name="Text Box 1">
          <a:extLst>
            <a:ext uri="{FF2B5EF4-FFF2-40B4-BE49-F238E27FC236}">
              <a16:creationId xmlns:a16="http://schemas.microsoft.com/office/drawing/2014/main" id="{00000000-0008-0000-0500-000025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29</xdr:row>
      <xdr:rowOff>0</xdr:rowOff>
    </xdr:from>
    <xdr:to>
      <xdr:col>4</xdr:col>
      <xdr:colOff>76200</xdr:colOff>
      <xdr:row>30</xdr:row>
      <xdr:rowOff>0</xdr:rowOff>
    </xdr:to>
    <xdr:sp macro="" textlink="">
      <xdr:nvSpPr>
        <xdr:cNvPr id="550" name="Text Box 1">
          <a:extLst>
            <a:ext uri="{FF2B5EF4-FFF2-40B4-BE49-F238E27FC236}">
              <a16:creationId xmlns:a16="http://schemas.microsoft.com/office/drawing/2014/main" id="{00000000-0008-0000-0500-000026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29</xdr:row>
      <xdr:rowOff>0</xdr:rowOff>
    </xdr:from>
    <xdr:to>
      <xdr:col>4</xdr:col>
      <xdr:colOff>76200</xdr:colOff>
      <xdr:row>30</xdr:row>
      <xdr:rowOff>0</xdr:rowOff>
    </xdr:to>
    <xdr:sp macro="" textlink="">
      <xdr:nvSpPr>
        <xdr:cNvPr id="551" name="Text Box 2">
          <a:extLst>
            <a:ext uri="{FF2B5EF4-FFF2-40B4-BE49-F238E27FC236}">
              <a16:creationId xmlns:a16="http://schemas.microsoft.com/office/drawing/2014/main" id="{00000000-0008-0000-0500-000027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29</xdr:row>
      <xdr:rowOff>0</xdr:rowOff>
    </xdr:from>
    <xdr:to>
      <xdr:col>4</xdr:col>
      <xdr:colOff>76200</xdr:colOff>
      <xdr:row>30</xdr:row>
      <xdr:rowOff>0</xdr:rowOff>
    </xdr:to>
    <xdr:sp macro="" textlink="">
      <xdr:nvSpPr>
        <xdr:cNvPr id="552" name="Text Box 1">
          <a:extLst>
            <a:ext uri="{FF2B5EF4-FFF2-40B4-BE49-F238E27FC236}">
              <a16:creationId xmlns:a16="http://schemas.microsoft.com/office/drawing/2014/main" id="{00000000-0008-0000-0500-000028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29</xdr:row>
      <xdr:rowOff>0</xdr:rowOff>
    </xdr:from>
    <xdr:to>
      <xdr:col>4</xdr:col>
      <xdr:colOff>76200</xdr:colOff>
      <xdr:row>30</xdr:row>
      <xdr:rowOff>0</xdr:rowOff>
    </xdr:to>
    <xdr:sp macro="" textlink="">
      <xdr:nvSpPr>
        <xdr:cNvPr id="553" name="Text Box 1">
          <a:extLst>
            <a:ext uri="{FF2B5EF4-FFF2-40B4-BE49-F238E27FC236}">
              <a16:creationId xmlns:a16="http://schemas.microsoft.com/office/drawing/2014/main" id="{00000000-0008-0000-0500-000029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30</xdr:row>
      <xdr:rowOff>0</xdr:rowOff>
    </xdr:from>
    <xdr:to>
      <xdr:col>4</xdr:col>
      <xdr:colOff>76200</xdr:colOff>
      <xdr:row>31</xdr:row>
      <xdr:rowOff>0</xdr:rowOff>
    </xdr:to>
    <xdr:sp macro="" textlink="">
      <xdr:nvSpPr>
        <xdr:cNvPr id="554" name="Text Box 1">
          <a:extLst>
            <a:ext uri="{FF2B5EF4-FFF2-40B4-BE49-F238E27FC236}">
              <a16:creationId xmlns:a16="http://schemas.microsoft.com/office/drawing/2014/main" id="{00000000-0008-0000-0500-00002A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30</xdr:row>
      <xdr:rowOff>0</xdr:rowOff>
    </xdr:from>
    <xdr:to>
      <xdr:col>4</xdr:col>
      <xdr:colOff>76200</xdr:colOff>
      <xdr:row>31</xdr:row>
      <xdr:rowOff>0</xdr:rowOff>
    </xdr:to>
    <xdr:sp macro="" textlink="">
      <xdr:nvSpPr>
        <xdr:cNvPr id="555" name="Text Box 2">
          <a:extLst>
            <a:ext uri="{FF2B5EF4-FFF2-40B4-BE49-F238E27FC236}">
              <a16:creationId xmlns:a16="http://schemas.microsoft.com/office/drawing/2014/main" id="{00000000-0008-0000-0500-00002B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30</xdr:row>
      <xdr:rowOff>0</xdr:rowOff>
    </xdr:from>
    <xdr:to>
      <xdr:col>4</xdr:col>
      <xdr:colOff>76200</xdr:colOff>
      <xdr:row>31</xdr:row>
      <xdr:rowOff>0</xdr:rowOff>
    </xdr:to>
    <xdr:sp macro="" textlink="">
      <xdr:nvSpPr>
        <xdr:cNvPr id="556" name="Text Box 1">
          <a:extLst>
            <a:ext uri="{FF2B5EF4-FFF2-40B4-BE49-F238E27FC236}">
              <a16:creationId xmlns:a16="http://schemas.microsoft.com/office/drawing/2014/main" id="{00000000-0008-0000-0500-00002C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30</xdr:row>
      <xdr:rowOff>0</xdr:rowOff>
    </xdr:from>
    <xdr:to>
      <xdr:col>4</xdr:col>
      <xdr:colOff>76200</xdr:colOff>
      <xdr:row>31</xdr:row>
      <xdr:rowOff>0</xdr:rowOff>
    </xdr:to>
    <xdr:sp macro="" textlink="">
      <xdr:nvSpPr>
        <xdr:cNvPr id="557" name="Text Box 1">
          <a:extLst>
            <a:ext uri="{FF2B5EF4-FFF2-40B4-BE49-F238E27FC236}">
              <a16:creationId xmlns:a16="http://schemas.microsoft.com/office/drawing/2014/main" id="{00000000-0008-0000-0500-00002D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30</xdr:row>
      <xdr:rowOff>0</xdr:rowOff>
    </xdr:from>
    <xdr:to>
      <xdr:col>4</xdr:col>
      <xdr:colOff>76200</xdr:colOff>
      <xdr:row>31</xdr:row>
      <xdr:rowOff>0</xdr:rowOff>
    </xdr:to>
    <xdr:sp macro="" textlink="">
      <xdr:nvSpPr>
        <xdr:cNvPr id="558" name="Text Box 1">
          <a:extLst>
            <a:ext uri="{FF2B5EF4-FFF2-40B4-BE49-F238E27FC236}">
              <a16:creationId xmlns:a16="http://schemas.microsoft.com/office/drawing/2014/main" id="{00000000-0008-0000-0500-00002E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30</xdr:row>
      <xdr:rowOff>0</xdr:rowOff>
    </xdr:from>
    <xdr:to>
      <xdr:col>4</xdr:col>
      <xdr:colOff>76200</xdr:colOff>
      <xdr:row>31</xdr:row>
      <xdr:rowOff>0</xdr:rowOff>
    </xdr:to>
    <xdr:sp macro="" textlink="">
      <xdr:nvSpPr>
        <xdr:cNvPr id="559" name="Text Box 2">
          <a:extLst>
            <a:ext uri="{FF2B5EF4-FFF2-40B4-BE49-F238E27FC236}">
              <a16:creationId xmlns:a16="http://schemas.microsoft.com/office/drawing/2014/main" id="{00000000-0008-0000-0500-00002F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30</xdr:row>
      <xdr:rowOff>0</xdr:rowOff>
    </xdr:from>
    <xdr:to>
      <xdr:col>4</xdr:col>
      <xdr:colOff>76200</xdr:colOff>
      <xdr:row>31</xdr:row>
      <xdr:rowOff>0</xdr:rowOff>
    </xdr:to>
    <xdr:sp macro="" textlink="">
      <xdr:nvSpPr>
        <xdr:cNvPr id="560" name="Text Box 1">
          <a:extLst>
            <a:ext uri="{FF2B5EF4-FFF2-40B4-BE49-F238E27FC236}">
              <a16:creationId xmlns:a16="http://schemas.microsoft.com/office/drawing/2014/main" id="{00000000-0008-0000-0500-000030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30</xdr:row>
      <xdr:rowOff>0</xdr:rowOff>
    </xdr:from>
    <xdr:to>
      <xdr:col>4</xdr:col>
      <xdr:colOff>76200</xdr:colOff>
      <xdr:row>31</xdr:row>
      <xdr:rowOff>0</xdr:rowOff>
    </xdr:to>
    <xdr:sp macro="" textlink="">
      <xdr:nvSpPr>
        <xdr:cNvPr id="561" name="Text Box 1">
          <a:extLst>
            <a:ext uri="{FF2B5EF4-FFF2-40B4-BE49-F238E27FC236}">
              <a16:creationId xmlns:a16="http://schemas.microsoft.com/office/drawing/2014/main" id="{00000000-0008-0000-0500-000031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30</xdr:row>
      <xdr:rowOff>0</xdr:rowOff>
    </xdr:from>
    <xdr:to>
      <xdr:col>4</xdr:col>
      <xdr:colOff>76200</xdr:colOff>
      <xdr:row>31</xdr:row>
      <xdr:rowOff>0</xdr:rowOff>
    </xdr:to>
    <xdr:sp macro="" textlink="">
      <xdr:nvSpPr>
        <xdr:cNvPr id="562" name="Text Box 1">
          <a:extLst>
            <a:ext uri="{FF2B5EF4-FFF2-40B4-BE49-F238E27FC236}">
              <a16:creationId xmlns:a16="http://schemas.microsoft.com/office/drawing/2014/main" id="{00000000-0008-0000-0500-000032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30</xdr:row>
      <xdr:rowOff>0</xdr:rowOff>
    </xdr:from>
    <xdr:to>
      <xdr:col>4</xdr:col>
      <xdr:colOff>76200</xdr:colOff>
      <xdr:row>31</xdr:row>
      <xdr:rowOff>0</xdr:rowOff>
    </xdr:to>
    <xdr:sp macro="" textlink="">
      <xdr:nvSpPr>
        <xdr:cNvPr id="563" name="Text Box 2">
          <a:extLst>
            <a:ext uri="{FF2B5EF4-FFF2-40B4-BE49-F238E27FC236}">
              <a16:creationId xmlns:a16="http://schemas.microsoft.com/office/drawing/2014/main" id="{00000000-0008-0000-0500-000033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30</xdr:row>
      <xdr:rowOff>0</xdr:rowOff>
    </xdr:from>
    <xdr:to>
      <xdr:col>4</xdr:col>
      <xdr:colOff>76200</xdr:colOff>
      <xdr:row>31</xdr:row>
      <xdr:rowOff>0</xdr:rowOff>
    </xdr:to>
    <xdr:sp macro="" textlink="">
      <xdr:nvSpPr>
        <xdr:cNvPr id="564" name="Text Box 1">
          <a:extLst>
            <a:ext uri="{FF2B5EF4-FFF2-40B4-BE49-F238E27FC236}">
              <a16:creationId xmlns:a16="http://schemas.microsoft.com/office/drawing/2014/main" id="{00000000-0008-0000-0500-000034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30</xdr:row>
      <xdr:rowOff>0</xdr:rowOff>
    </xdr:from>
    <xdr:to>
      <xdr:col>4</xdr:col>
      <xdr:colOff>76200</xdr:colOff>
      <xdr:row>31</xdr:row>
      <xdr:rowOff>0</xdr:rowOff>
    </xdr:to>
    <xdr:sp macro="" textlink="">
      <xdr:nvSpPr>
        <xdr:cNvPr id="565" name="Text Box 1">
          <a:extLst>
            <a:ext uri="{FF2B5EF4-FFF2-40B4-BE49-F238E27FC236}">
              <a16:creationId xmlns:a16="http://schemas.microsoft.com/office/drawing/2014/main" id="{00000000-0008-0000-0500-000035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30</xdr:row>
      <xdr:rowOff>0</xdr:rowOff>
    </xdr:from>
    <xdr:to>
      <xdr:col>4</xdr:col>
      <xdr:colOff>76200</xdr:colOff>
      <xdr:row>31</xdr:row>
      <xdr:rowOff>0</xdr:rowOff>
    </xdr:to>
    <xdr:sp macro="" textlink="">
      <xdr:nvSpPr>
        <xdr:cNvPr id="566" name="Text Box 1">
          <a:extLst>
            <a:ext uri="{FF2B5EF4-FFF2-40B4-BE49-F238E27FC236}">
              <a16:creationId xmlns:a16="http://schemas.microsoft.com/office/drawing/2014/main" id="{00000000-0008-0000-0500-000036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30</xdr:row>
      <xdr:rowOff>0</xdr:rowOff>
    </xdr:from>
    <xdr:to>
      <xdr:col>4</xdr:col>
      <xdr:colOff>76200</xdr:colOff>
      <xdr:row>31</xdr:row>
      <xdr:rowOff>0</xdr:rowOff>
    </xdr:to>
    <xdr:sp macro="" textlink="">
      <xdr:nvSpPr>
        <xdr:cNvPr id="567" name="Text Box 2">
          <a:extLst>
            <a:ext uri="{FF2B5EF4-FFF2-40B4-BE49-F238E27FC236}">
              <a16:creationId xmlns:a16="http://schemas.microsoft.com/office/drawing/2014/main" id="{00000000-0008-0000-0500-000037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30</xdr:row>
      <xdr:rowOff>0</xdr:rowOff>
    </xdr:from>
    <xdr:to>
      <xdr:col>4</xdr:col>
      <xdr:colOff>76200</xdr:colOff>
      <xdr:row>31</xdr:row>
      <xdr:rowOff>0</xdr:rowOff>
    </xdr:to>
    <xdr:sp macro="" textlink="">
      <xdr:nvSpPr>
        <xdr:cNvPr id="568" name="Text Box 1">
          <a:extLst>
            <a:ext uri="{FF2B5EF4-FFF2-40B4-BE49-F238E27FC236}">
              <a16:creationId xmlns:a16="http://schemas.microsoft.com/office/drawing/2014/main" id="{00000000-0008-0000-0500-000038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30</xdr:row>
      <xdr:rowOff>0</xdr:rowOff>
    </xdr:from>
    <xdr:to>
      <xdr:col>4</xdr:col>
      <xdr:colOff>76200</xdr:colOff>
      <xdr:row>31</xdr:row>
      <xdr:rowOff>0</xdr:rowOff>
    </xdr:to>
    <xdr:sp macro="" textlink="">
      <xdr:nvSpPr>
        <xdr:cNvPr id="569" name="Text Box 1">
          <a:extLst>
            <a:ext uri="{FF2B5EF4-FFF2-40B4-BE49-F238E27FC236}">
              <a16:creationId xmlns:a16="http://schemas.microsoft.com/office/drawing/2014/main" id="{00000000-0008-0000-0500-000039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30</xdr:row>
      <xdr:rowOff>0</xdr:rowOff>
    </xdr:from>
    <xdr:to>
      <xdr:col>4</xdr:col>
      <xdr:colOff>76200</xdr:colOff>
      <xdr:row>31</xdr:row>
      <xdr:rowOff>0</xdr:rowOff>
    </xdr:to>
    <xdr:sp macro="" textlink="">
      <xdr:nvSpPr>
        <xdr:cNvPr id="570" name="Text Box 2">
          <a:extLst>
            <a:ext uri="{FF2B5EF4-FFF2-40B4-BE49-F238E27FC236}">
              <a16:creationId xmlns:a16="http://schemas.microsoft.com/office/drawing/2014/main" id="{00000000-0008-0000-0500-00003A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30</xdr:row>
      <xdr:rowOff>0</xdr:rowOff>
    </xdr:from>
    <xdr:to>
      <xdr:col>4</xdr:col>
      <xdr:colOff>76200</xdr:colOff>
      <xdr:row>31</xdr:row>
      <xdr:rowOff>0</xdr:rowOff>
    </xdr:to>
    <xdr:sp macro="" textlink="">
      <xdr:nvSpPr>
        <xdr:cNvPr id="571" name="Text Box 1">
          <a:extLst>
            <a:ext uri="{FF2B5EF4-FFF2-40B4-BE49-F238E27FC236}">
              <a16:creationId xmlns:a16="http://schemas.microsoft.com/office/drawing/2014/main" id="{00000000-0008-0000-0500-00003B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30</xdr:row>
      <xdr:rowOff>0</xdr:rowOff>
    </xdr:from>
    <xdr:to>
      <xdr:col>4</xdr:col>
      <xdr:colOff>76200</xdr:colOff>
      <xdr:row>31</xdr:row>
      <xdr:rowOff>0</xdr:rowOff>
    </xdr:to>
    <xdr:sp macro="" textlink="">
      <xdr:nvSpPr>
        <xdr:cNvPr id="572" name="Text Box 1">
          <a:extLst>
            <a:ext uri="{FF2B5EF4-FFF2-40B4-BE49-F238E27FC236}">
              <a16:creationId xmlns:a16="http://schemas.microsoft.com/office/drawing/2014/main" id="{00000000-0008-0000-0500-00003C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30</xdr:row>
      <xdr:rowOff>0</xdr:rowOff>
    </xdr:from>
    <xdr:to>
      <xdr:col>4</xdr:col>
      <xdr:colOff>76200</xdr:colOff>
      <xdr:row>31</xdr:row>
      <xdr:rowOff>0</xdr:rowOff>
    </xdr:to>
    <xdr:sp macro="" textlink="">
      <xdr:nvSpPr>
        <xdr:cNvPr id="573" name="Text Box 1">
          <a:extLst>
            <a:ext uri="{FF2B5EF4-FFF2-40B4-BE49-F238E27FC236}">
              <a16:creationId xmlns:a16="http://schemas.microsoft.com/office/drawing/2014/main" id="{00000000-0008-0000-0500-00003D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30</xdr:row>
      <xdr:rowOff>0</xdr:rowOff>
    </xdr:from>
    <xdr:to>
      <xdr:col>4</xdr:col>
      <xdr:colOff>76200</xdr:colOff>
      <xdr:row>31</xdr:row>
      <xdr:rowOff>0</xdr:rowOff>
    </xdr:to>
    <xdr:sp macro="" textlink="">
      <xdr:nvSpPr>
        <xdr:cNvPr id="574" name="Text Box 2">
          <a:extLst>
            <a:ext uri="{FF2B5EF4-FFF2-40B4-BE49-F238E27FC236}">
              <a16:creationId xmlns:a16="http://schemas.microsoft.com/office/drawing/2014/main" id="{00000000-0008-0000-0500-00003E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30</xdr:row>
      <xdr:rowOff>0</xdr:rowOff>
    </xdr:from>
    <xdr:to>
      <xdr:col>4</xdr:col>
      <xdr:colOff>76200</xdr:colOff>
      <xdr:row>31</xdr:row>
      <xdr:rowOff>0</xdr:rowOff>
    </xdr:to>
    <xdr:sp macro="" textlink="">
      <xdr:nvSpPr>
        <xdr:cNvPr id="575" name="Text Box 1">
          <a:extLst>
            <a:ext uri="{FF2B5EF4-FFF2-40B4-BE49-F238E27FC236}">
              <a16:creationId xmlns:a16="http://schemas.microsoft.com/office/drawing/2014/main" id="{00000000-0008-0000-0500-00003F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30</xdr:row>
      <xdr:rowOff>0</xdr:rowOff>
    </xdr:from>
    <xdr:to>
      <xdr:col>4</xdr:col>
      <xdr:colOff>76200</xdr:colOff>
      <xdr:row>31</xdr:row>
      <xdr:rowOff>0</xdr:rowOff>
    </xdr:to>
    <xdr:sp macro="" textlink="">
      <xdr:nvSpPr>
        <xdr:cNvPr id="576" name="Text Box 1">
          <a:extLst>
            <a:ext uri="{FF2B5EF4-FFF2-40B4-BE49-F238E27FC236}">
              <a16:creationId xmlns:a16="http://schemas.microsoft.com/office/drawing/2014/main" id="{00000000-0008-0000-0500-000040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31</xdr:row>
      <xdr:rowOff>0</xdr:rowOff>
    </xdr:from>
    <xdr:to>
      <xdr:col>4</xdr:col>
      <xdr:colOff>76200</xdr:colOff>
      <xdr:row>32</xdr:row>
      <xdr:rowOff>0</xdr:rowOff>
    </xdr:to>
    <xdr:sp macro="" textlink="">
      <xdr:nvSpPr>
        <xdr:cNvPr id="577" name="Text Box 1">
          <a:extLst>
            <a:ext uri="{FF2B5EF4-FFF2-40B4-BE49-F238E27FC236}">
              <a16:creationId xmlns:a16="http://schemas.microsoft.com/office/drawing/2014/main" id="{00000000-0008-0000-0500-000041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31</xdr:row>
      <xdr:rowOff>0</xdr:rowOff>
    </xdr:from>
    <xdr:to>
      <xdr:col>4</xdr:col>
      <xdr:colOff>76200</xdr:colOff>
      <xdr:row>32</xdr:row>
      <xdr:rowOff>0</xdr:rowOff>
    </xdr:to>
    <xdr:sp macro="" textlink="">
      <xdr:nvSpPr>
        <xdr:cNvPr id="578" name="Text Box 2">
          <a:extLst>
            <a:ext uri="{FF2B5EF4-FFF2-40B4-BE49-F238E27FC236}">
              <a16:creationId xmlns:a16="http://schemas.microsoft.com/office/drawing/2014/main" id="{00000000-0008-0000-0500-000042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31</xdr:row>
      <xdr:rowOff>0</xdr:rowOff>
    </xdr:from>
    <xdr:to>
      <xdr:col>4</xdr:col>
      <xdr:colOff>76200</xdr:colOff>
      <xdr:row>32</xdr:row>
      <xdr:rowOff>0</xdr:rowOff>
    </xdr:to>
    <xdr:sp macro="" textlink="">
      <xdr:nvSpPr>
        <xdr:cNvPr id="579" name="Text Box 1">
          <a:extLst>
            <a:ext uri="{FF2B5EF4-FFF2-40B4-BE49-F238E27FC236}">
              <a16:creationId xmlns:a16="http://schemas.microsoft.com/office/drawing/2014/main" id="{00000000-0008-0000-0500-000043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31</xdr:row>
      <xdr:rowOff>0</xdr:rowOff>
    </xdr:from>
    <xdr:to>
      <xdr:col>4</xdr:col>
      <xdr:colOff>76200</xdr:colOff>
      <xdr:row>32</xdr:row>
      <xdr:rowOff>0</xdr:rowOff>
    </xdr:to>
    <xdr:sp macro="" textlink="">
      <xdr:nvSpPr>
        <xdr:cNvPr id="580" name="Text Box 1">
          <a:extLst>
            <a:ext uri="{FF2B5EF4-FFF2-40B4-BE49-F238E27FC236}">
              <a16:creationId xmlns:a16="http://schemas.microsoft.com/office/drawing/2014/main" id="{00000000-0008-0000-0500-000044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31</xdr:row>
      <xdr:rowOff>0</xdr:rowOff>
    </xdr:from>
    <xdr:to>
      <xdr:col>4</xdr:col>
      <xdr:colOff>76200</xdr:colOff>
      <xdr:row>32</xdr:row>
      <xdr:rowOff>0</xdr:rowOff>
    </xdr:to>
    <xdr:sp macro="" textlink="">
      <xdr:nvSpPr>
        <xdr:cNvPr id="581" name="Text Box 1">
          <a:extLst>
            <a:ext uri="{FF2B5EF4-FFF2-40B4-BE49-F238E27FC236}">
              <a16:creationId xmlns:a16="http://schemas.microsoft.com/office/drawing/2014/main" id="{00000000-0008-0000-0500-000045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31</xdr:row>
      <xdr:rowOff>0</xdr:rowOff>
    </xdr:from>
    <xdr:to>
      <xdr:col>4</xdr:col>
      <xdr:colOff>76200</xdr:colOff>
      <xdr:row>32</xdr:row>
      <xdr:rowOff>0</xdr:rowOff>
    </xdr:to>
    <xdr:sp macro="" textlink="">
      <xdr:nvSpPr>
        <xdr:cNvPr id="582" name="Text Box 2">
          <a:extLst>
            <a:ext uri="{FF2B5EF4-FFF2-40B4-BE49-F238E27FC236}">
              <a16:creationId xmlns:a16="http://schemas.microsoft.com/office/drawing/2014/main" id="{00000000-0008-0000-0500-000046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31</xdr:row>
      <xdr:rowOff>0</xdr:rowOff>
    </xdr:from>
    <xdr:to>
      <xdr:col>4</xdr:col>
      <xdr:colOff>76200</xdr:colOff>
      <xdr:row>32</xdr:row>
      <xdr:rowOff>0</xdr:rowOff>
    </xdr:to>
    <xdr:sp macro="" textlink="">
      <xdr:nvSpPr>
        <xdr:cNvPr id="583" name="Text Box 1">
          <a:extLst>
            <a:ext uri="{FF2B5EF4-FFF2-40B4-BE49-F238E27FC236}">
              <a16:creationId xmlns:a16="http://schemas.microsoft.com/office/drawing/2014/main" id="{00000000-0008-0000-0500-000047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31</xdr:row>
      <xdr:rowOff>0</xdr:rowOff>
    </xdr:from>
    <xdr:to>
      <xdr:col>4</xdr:col>
      <xdr:colOff>76200</xdr:colOff>
      <xdr:row>32</xdr:row>
      <xdr:rowOff>0</xdr:rowOff>
    </xdr:to>
    <xdr:sp macro="" textlink="">
      <xdr:nvSpPr>
        <xdr:cNvPr id="584" name="Text Box 1">
          <a:extLst>
            <a:ext uri="{FF2B5EF4-FFF2-40B4-BE49-F238E27FC236}">
              <a16:creationId xmlns:a16="http://schemas.microsoft.com/office/drawing/2014/main" id="{00000000-0008-0000-0500-000048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31</xdr:row>
      <xdr:rowOff>0</xdr:rowOff>
    </xdr:from>
    <xdr:to>
      <xdr:col>4</xdr:col>
      <xdr:colOff>76200</xdr:colOff>
      <xdr:row>32</xdr:row>
      <xdr:rowOff>0</xdr:rowOff>
    </xdr:to>
    <xdr:sp macro="" textlink="">
      <xdr:nvSpPr>
        <xdr:cNvPr id="585" name="Text Box 1">
          <a:extLst>
            <a:ext uri="{FF2B5EF4-FFF2-40B4-BE49-F238E27FC236}">
              <a16:creationId xmlns:a16="http://schemas.microsoft.com/office/drawing/2014/main" id="{00000000-0008-0000-0500-000049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31</xdr:row>
      <xdr:rowOff>0</xdr:rowOff>
    </xdr:from>
    <xdr:to>
      <xdr:col>4</xdr:col>
      <xdr:colOff>76200</xdr:colOff>
      <xdr:row>32</xdr:row>
      <xdr:rowOff>0</xdr:rowOff>
    </xdr:to>
    <xdr:sp macro="" textlink="">
      <xdr:nvSpPr>
        <xdr:cNvPr id="586" name="Text Box 2">
          <a:extLst>
            <a:ext uri="{FF2B5EF4-FFF2-40B4-BE49-F238E27FC236}">
              <a16:creationId xmlns:a16="http://schemas.microsoft.com/office/drawing/2014/main" id="{00000000-0008-0000-0500-00004A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31</xdr:row>
      <xdr:rowOff>0</xdr:rowOff>
    </xdr:from>
    <xdr:to>
      <xdr:col>4</xdr:col>
      <xdr:colOff>76200</xdr:colOff>
      <xdr:row>32</xdr:row>
      <xdr:rowOff>0</xdr:rowOff>
    </xdr:to>
    <xdr:sp macro="" textlink="">
      <xdr:nvSpPr>
        <xdr:cNvPr id="587" name="Text Box 1">
          <a:extLst>
            <a:ext uri="{FF2B5EF4-FFF2-40B4-BE49-F238E27FC236}">
              <a16:creationId xmlns:a16="http://schemas.microsoft.com/office/drawing/2014/main" id="{00000000-0008-0000-0500-00004B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31</xdr:row>
      <xdr:rowOff>0</xdr:rowOff>
    </xdr:from>
    <xdr:to>
      <xdr:col>4</xdr:col>
      <xdr:colOff>76200</xdr:colOff>
      <xdr:row>32</xdr:row>
      <xdr:rowOff>0</xdr:rowOff>
    </xdr:to>
    <xdr:sp macro="" textlink="">
      <xdr:nvSpPr>
        <xdr:cNvPr id="588" name="Text Box 1">
          <a:extLst>
            <a:ext uri="{FF2B5EF4-FFF2-40B4-BE49-F238E27FC236}">
              <a16:creationId xmlns:a16="http://schemas.microsoft.com/office/drawing/2014/main" id="{00000000-0008-0000-0500-00004C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31</xdr:row>
      <xdr:rowOff>0</xdr:rowOff>
    </xdr:from>
    <xdr:to>
      <xdr:col>4</xdr:col>
      <xdr:colOff>76200</xdr:colOff>
      <xdr:row>32</xdr:row>
      <xdr:rowOff>0</xdr:rowOff>
    </xdr:to>
    <xdr:sp macro="" textlink="">
      <xdr:nvSpPr>
        <xdr:cNvPr id="589" name="Text Box 1">
          <a:extLst>
            <a:ext uri="{FF2B5EF4-FFF2-40B4-BE49-F238E27FC236}">
              <a16:creationId xmlns:a16="http://schemas.microsoft.com/office/drawing/2014/main" id="{00000000-0008-0000-0500-00004D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31</xdr:row>
      <xdr:rowOff>0</xdr:rowOff>
    </xdr:from>
    <xdr:to>
      <xdr:col>4</xdr:col>
      <xdr:colOff>76200</xdr:colOff>
      <xdr:row>32</xdr:row>
      <xdr:rowOff>0</xdr:rowOff>
    </xdr:to>
    <xdr:sp macro="" textlink="">
      <xdr:nvSpPr>
        <xdr:cNvPr id="590" name="Text Box 2">
          <a:extLst>
            <a:ext uri="{FF2B5EF4-FFF2-40B4-BE49-F238E27FC236}">
              <a16:creationId xmlns:a16="http://schemas.microsoft.com/office/drawing/2014/main" id="{00000000-0008-0000-0500-00004E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31</xdr:row>
      <xdr:rowOff>0</xdr:rowOff>
    </xdr:from>
    <xdr:to>
      <xdr:col>4</xdr:col>
      <xdr:colOff>76200</xdr:colOff>
      <xdr:row>32</xdr:row>
      <xdr:rowOff>0</xdr:rowOff>
    </xdr:to>
    <xdr:sp macro="" textlink="">
      <xdr:nvSpPr>
        <xdr:cNvPr id="591" name="Text Box 1">
          <a:extLst>
            <a:ext uri="{FF2B5EF4-FFF2-40B4-BE49-F238E27FC236}">
              <a16:creationId xmlns:a16="http://schemas.microsoft.com/office/drawing/2014/main" id="{00000000-0008-0000-0500-00004F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31</xdr:row>
      <xdr:rowOff>0</xdr:rowOff>
    </xdr:from>
    <xdr:to>
      <xdr:col>4</xdr:col>
      <xdr:colOff>76200</xdr:colOff>
      <xdr:row>32</xdr:row>
      <xdr:rowOff>0</xdr:rowOff>
    </xdr:to>
    <xdr:sp macro="" textlink="">
      <xdr:nvSpPr>
        <xdr:cNvPr id="592" name="Text Box 1">
          <a:extLst>
            <a:ext uri="{FF2B5EF4-FFF2-40B4-BE49-F238E27FC236}">
              <a16:creationId xmlns:a16="http://schemas.microsoft.com/office/drawing/2014/main" id="{00000000-0008-0000-0500-000050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31</xdr:row>
      <xdr:rowOff>0</xdr:rowOff>
    </xdr:from>
    <xdr:to>
      <xdr:col>4</xdr:col>
      <xdr:colOff>76200</xdr:colOff>
      <xdr:row>32</xdr:row>
      <xdr:rowOff>0</xdr:rowOff>
    </xdr:to>
    <xdr:sp macro="" textlink="">
      <xdr:nvSpPr>
        <xdr:cNvPr id="593" name="Text Box 2">
          <a:extLst>
            <a:ext uri="{FF2B5EF4-FFF2-40B4-BE49-F238E27FC236}">
              <a16:creationId xmlns:a16="http://schemas.microsoft.com/office/drawing/2014/main" id="{00000000-0008-0000-0500-000051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31</xdr:row>
      <xdr:rowOff>0</xdr:rowOff>
    </xdr:from>
    <xdr:to>
      <xdr:col>4</xdr:col>
      <xdr:colOff>76200</xdr:colOff>
      <xdr:row>32</xdr:row>
      <xdr:rowOff>0</xdr:rowOff>
    </xdr:to>
    <xdr:sp macro="" textlink="">
      <xdr:nvSpPr>
        <xdr:cNvPr id="594" name="Text Box 1">
          <a:extLst>
            <a:ext uri="{FF2B5EF4-FFF2-40B4-BE49-F238E27FC236}">
              <a16:creationId xmlns:a16="http://schemas.microsoft.com/office/drawing/2014/main" id="{00000000-0008-0000-0500-000052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31</xdr:row>
      <xdr:rowOff>0</xdr:rowOff>
    </xdr:from>
    <xdr:to>
      <xdr:col>4</xdr:col>
      <xdr:colOff>76200</xdr:colOff>
      <xdr:row>32</xdr:row>
      <xdr:rowOff>0</xdr:rowOff>
    </xdr:to>
    <xdr:sp macro="" textlink="">
      <xdr:nvSpPr>
        <xdr:cNvPr id="595" name="Text Box 1">
          <a:extLst>
            <a:ext uri="{FF2B5EF4-FFF2-40B4-BE49-F238E27FC236}">
              <a16:creationId xmlns:a16="http://schemas.microsoft.com/office/drawing/2014/main" id="{00000000-0008-0000-0500-000053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31</xdr:row>
      <xdr:rowOff>0</xdr:rowOff>
    </xdr:from>
    <xdr:to>
      <xdr:col>4</xdr:col>
      <xdr:colOff>76200</xdr:colOff>
      <xdr:row>32</xdr:row>
      <xdr:rowOff>0</xdr:rowOff>
    </xdr:to>
    <xdr:sp macro="" textlink="">
      <xdr:nvSpPr>
        <xdr:cNvPr id="596" name="Text Box 1">
          <a:extLst>
            <a:ext uri="{FF2B5EF4-FFF2-40B4-BE49-F238E27FC236}">
              <a16:creationId xmlns:a16="http://schemas.microsoft.com/office/drawing/2014/main" id="{00000000-0008-0000-0500-000054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31</xdr:row>
      <xdr:rowOff>0</xdr:rowOff>
    </xdr:from>
    <xdr:to>
      <xdr:col>4</xdr:col>
      <xdr:colOff>76200</xdr:colOff>
      <xdr:row>32</xdr:row>
      <xdr:rowOff>0</xdr:rowOff>
    </xdr:to>
    <xdr:sp macro="" textlink="">
      <xdr:nvSpPr>
        <xdr:cNvPr id="597" name="Text Box 2">
          <a:extLst>
            <a:ext uri="{FF2B5EF4-FFF2-40B4-BE49-F238E27FC236}">
              <a16:creationId xmlns:a16="http://schemas.microsoft.com/office/drawing/2014/main" id="{00000000-0008-0000-0500-000055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31</xdr:row>
      <xdr:rowOff>0</xdr:rowOff>
    </xdr:from>
    <xdr:to>
      <xdr:col>4</xdr:col>
      <xdr:colOff>76200</xdr:colOff>
      <xdr:row>32</xdr:row>
      <xdr:rowOff>0</xdr:rowOff>
    </xdr:to>
    <xdr:sp macro="" textlink="">
      <xdr:nvSpPr>
        <xdr:cNvPr id="598" name="Text Box 1">
          <a:extLst>
            <a:ext uri="{FF2B5EF4-FFF2-40B4-BE49-F238E27FC236}">
              <a16:creationId xmlns:a16="http://schemas.microsoft.com/office/drawing/2014/main" id="{00000000-0008-0000-0500-000056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31</xdr:row>
      <xdr:rowOff>0</xdr:rowOff>
    </xdr:from>
    <xdr:to>
      <xdr:col>4</xdr:col>
      <xdr:colOff>76200</xdr:colOff>
      <xdr:row>32</xdr:row>
      <xdr:rowOff>0</xdr:rowOff>
    </xdr:to>
    <xdr:sp macro="" textlink="">
      <xdr:nvSpPr>
        <xdr:cNvPr id="599" name="Text Box 1">
          <a:extLst>
            <a:ext uri="{FF2B5EF4-FFF2-40B4-BE49-F238E27FC236}">
              <a16:creationId xmlns:a16="http://schemas.microsoft.com/office/drawing/2014/main" id="{00000000-0008-0000-0500-000057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32</xdr:row>
      <xdr:rowOff>0</xdr:rowOff>
    </xdr:from>
    <xdr:to>
      <xdr:col>4</xdr:col>
      <xdr:colOff>76200</xdr:colOff>
      <xdr:row>33</xdr:row>
      <xdr:rowOff>0</xdr:rowOff>
    </xdr:to>
    <xdr:sp macro="" textlink="">
      <xdr:nvSpPr>
        <xdr:cNvPr id="600" name="Text Box 1">
          <a:extLst>
            <a:ext uri="{FF2B5EF4-FFF2-40B4-BE49-F238E27FC236}">
              <a16:creationId xmlns:a16="http://schemas.microsoft.com/office/drawing/2014/main" id="{00000000-0008-0000-0500-000058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32</xdr:row>
      <xdr:rowOff>0</xdr:rowOff>
    </xdr:from>
    <xdr:to>
      <xdr:col>4</xdr:col>
      <xdr:colOff>76200</xdr:colOff>
      <xdr:row>33</xdr:row>
      <xdr:rowOff>0</xdr:rowOff>
    </xdr:to>
    <xdr:sp macro="" textlink="">
      <xdr:nvSpPr>
        <xdr:cNvPr id="601" name="Text Box 2">
          <a:extLst>
            <a:ext uri="{FF2B5EF4-FFF2-40B4-BE49-F238E27FC236}">
              <a16:creationId xmlns:a16="http://schemas.microsoft.com/office/drawing/2014/main" id="{00000000-0008-0000-0500-000059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32</xdr:row>
      <xdr:rowOff>0</xdr:rowOff>
    </xdr:from>
    <xdr:to>
      <xdr:col>4</xdr:col>
      <xdr:colOff>76200</xdr:colOff>
      <xdr:row>33</xdr:row>
      <xdr:rowOff>0</xdr:rowOff>
    </xdr:to>
    <xdr:sp macro="" textlink="">
      <xdr:nvSpPr>
        <xdr:cNvPr id="602" name="Text Box 1">
          <a:extLst>
            <a:ext uri="{FF2B5EF4-FFF2-40B4-BE49-F238E27FC236}">
              <a16:creationId xmlns:a16="http://schemas.microsoft.com/office/drawing/2014/main" id="{00000000-0008-0000-0500-00005A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32</xdr:row>
      <xdr:rowOff>0</xdr:rowOff>
    </xdr:from>
    <xdr:to>
      <xdr:col>4</xdr:col>
      <xdr:colOff>76200</xdr:colOff>
      <xdr:row>33</xdr:row>
      <xdr:rowOff>0</xdr:rowOff>
    </xdr:to>
    <xdr:sp macro="" textlink="">
      <xdr:nvSpPr>
        <xdr:cNvPr id="603" name="Text Box 1">
          <a:extLst>
            <a:ext uri="{FF2B5EF4-FFF2-40B4-BE49-F238E27FC236}">
              <a16:creationId xmlns:a16="http://schemas.microsoft.com/office/drawing/2014/main" id="{00000000-0008-0000-0500-00005B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32</xdr:row>
      <xdr:rowOff>0</xdr:rowOff>
    </xdr:from>
    <xdr:to>
      <xdr:col>4</xdr:col>
      <xdr:colOff>76200</xdr:colOff>
      <xdr:row>33</xdr:row>
      <xdr:rowOff>0</xdr:rowOff>
    </xdr:to>
    <xdr:sp macro="" textlink="">
      <xdr:nvSpPr>
        <xdr:cNvPr id="604" name="Text Box 1">
          <a:extLst>
            <a:ext uri="{FF2B5EF4-FFF2-40B4-BE49-F238E27FC236}">
              <a16:creationId xmlns:a16="http://schemas.microsoft.com/office/drawing/2014/main" id="{00000000-0008-0000-0500-00005C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32</xdr:row>
      <xdr:rowOff>0</xdr:rowOff>
    </xdr:from>
    <xdr:to>
      <xdr:col>4</xdr:col>
      <xdr:colOff>76200</xdr:colOff>
      <xdr:row>33</xdr:row>
      <xdr:rowOff>0</xdr:rowOff>
    </xdr:to>
    <xdr:sp macro="" textlink="">
      <xdr:nvSpPr>
        <xdr:cNvPr id="605" name="Text Box 2">
          <a:extLst>
            <a:ext uri="{FF2B5EF4-FFF2-40B4-BE49-F238E27FC236}">
              <a16:creationId xmlns:a16="http://schemas.microsoft.com/office/drawing/2014/main" id="{00000000-0008-0000-0500-00005D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32</xdr:row>
      <xdr:rowOff>0</xdr:rowOff>
    </xdr:from>
    <xdr:to>
      <xdr:col>4</xdr:col>
      <xdr:colOff>76200</xdr:colOff>
      <xdr:row>33</xdr:row>
      <xdr:rowOff>0</xdr:rowOff>
    </xdr:to>
    <xdr:sp macro="" textlink="">
      <xdr:nvSpPr>
        <xdr:cNvPr id="606" name="Text Box 1">
          <a:extLst>
            <a:ext uri="{FF2B5EF4-FFF2-40B4-BE49-F238E27FC236}">
              <a16:creationId xmlns:a16="http://schemas.microsoft.com/office/drawing/2014/main" id="{00000000-0008-0000-0500-00005E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32</xdr:row>
      <xdr:rowOff>0</xdr:rowOff>
    </xdr:from>
    <xdr:to>
      <xdr:col>4</xdr:col>
      <xdr:colOff>76200</xdr:colOff>
      <xdr:row>33</xdr:row>
      <xdr:rowOff>0</xdr:rowOff>
    </xdr:to>
    <xdr:sp macro="" textlink="">
      <xdr:nvSpPr>
        <xdr:cNvPr id="607" name="Text Box 1">
          <a:extLst>
            <a:ext uri="{FF2B5EF4-FFF2-40B4-BE49-F238E27FC236}">
              <a16:creationId xmlns:a16="http://schemas.microsoft.com/office/drawing/2014/main" id="{00000000-0008-0000-0500-00005F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32</xdr:row>
      <xdr:rowOff>0</xdr:rowOff>
    </xdr:from>
    <xdr:to>
      <xdr:col>4</xdr:col>
      <xdr:colOff>76200</xdr:colOff>
      <xdr:row>33</xdr:row>
      <xdr:rowOff>0</xdr:rowOff>
    </xdr:to>
    <xdr:sp macro="" textlink="">
      <xdr:nvSpPr>
        <xdr:cNvPr id="608" name="Text Box 1">
          <a:extLst>
            <a:ext uri="{FF2B5EF4-FFF2-40B4-BE49-F238E27FC236}">
              <a16:creationId xmlns:a16="http://schemas.microsoft.com/office/drawing/2014/main" id="{00000000-0008-0000-0500-000060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32</xdr:row>
      <xdr:rowOff>0</xdr:rowOff>
    </xdr:from>
    <xdr:to>
      <xdr:col>4</xdr:col>
      <xdr:colOff>76200</xdr:colOff>
      <xdr:row>33</xdr:row>
      <xdr:rowOff>0</xdr:rowOff>
    </xdr:to>
    <xdr:sp macro="" textlink="">
      <xdr:nvSpPr>
        <xdr:cNvPr id="609" name="Text Box 2">
          <a:extLst>
            <a:ext uri="{FF2B5EF4-FFF2-40B4-BE49-F238E27FC236}">
              <a16:creationId xmlns:a16="http://schemas.microsoft.com/office/drawing/2014/main" id="{00000000-0008-0000-0500-000061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32</xdr:row>
      <xdr:rowOff>0</xdr:rowOff>
    </xdr:from>
    <xdr:to>
      <xdr:col>4</xdr:col>
      <xdr:colOff>76200</xdr:colOff>
      <xdr:row>33</xdr:row>
      <xdr:rowOff>0</xdr:rowOff>
    </xdr:to>
    <xdr:sp macro="" textlink="">
      <xdr:nvSpPr>
        <xdr:cNvPr id="610" name="Text Box 1">
          <a:extLst>
            <a:ext uri="{FF2B5EF4-FFF2-40B4-BE49-F238E27FC236}">
              <a16:creationId xmlns:a16="http://schemas.microsoft.com/office/drawing/2014/main" id="{00000000-0008-0000-0500-000062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32</xdr:row>
      <xdr:rowOff>0</xdr:rowOff>
    </xdr:from>
    <xdr:to>
      <xdr:col>4</xdr:col>
      <xdr:colOff>76200</xdr:colOff>
      <xdr:row>33</xdr:row>
      <xdr:rowOff>0</xdr:rowOff>
    </xdr:to>
    <xdr:sp macro="" textlink="">
      <xdr:nvSpPr>
        <xdr:cNvPr id="611" name="Text Box 1">
          <a:extLst>
            <a:ext uri="{FF2B5EF4-FFF2-40B4-BE49-F238E27FC236}">
              <a16:creationId xmlns:a16="http://schemas.microsoft.com/office/drawing/2014/main" id="{00000000-0008-0000-0500-000063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32</xdr:row>
      <xdr:rowOff>0</xdr:rowOff>
    </xdr:from>
    <xdr:to>
      <xdr:col>4</xdr:col>
      <xdr:colOff>76200</xdr:colOff>
      <xdr:row>33</xdr:row>
      <xdr:rowOff>0</xdr:rowOff>
    </xdr:to>
    <xdr:sp macro="" textlink="">
      <xdr:nvSpPr>
        <xdr:cNvPr id="612" name="Text Box 1">
          <a:extLst>
            <a:ext uri="{FF2B5EF4-FFF2-40B4-BE49-F238E27FC236}">
              <a16:creationId xmlns:a16="http://schemas.microsoft.com/office/drawing/2014/main" id="{00000000-0008-0000-0500-000064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32</xdr:row>
      <xdr:rowOff>0</xdr:rowOff>
    </xdr:from>
    <xdr:to>
      <xdr:col>4</xdr:col>
      <xdr:colOff>76200</xdr:colOff>
      <xdr:row>33</xdr:row>
      <xdr:rowOff>0</xdr:rowOff>
    </xdr:to>
    <xdr:sp macro="" textlink="">
      <xdr:nvSpPr>
        <xdr:cNvPr id="613" name="Text Box 2">
          <a:extLst>
            <a:ext uri="{FF2B5EF4-FFF2-40B4-BE49-F238E27FC236}">
              <a16:creationId xmlns:a16="http://schemas.microsoft.com/office/drawing/2014/main" id="{00000000-0008-0000-0500-000065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32</xdr:row>
      <xdr:rowOff>0</xdr:rowOff>
    </xdr:from>
    <xdr:to>
      <xdr:col>4</xdr:col>
      <xdr:colOff>76200</xdr:colOff>
      <xdr:row>33</xdr:row>
      <xdr:rowOff>0</xdr:rowOff>
    </xdr:to>
    <xdr:sp macro="" textlink="">
      <xdr:nvSpPr>
        <xdr:cNvPr id="614" name="Text Box 1">
          <a:extLst>
            <a:ext uri="{FF2B5EF4-FFF2-40B4-BE49-F238E27FC236}">
              <a16:creationId xmlns:a16="http://schemas.microsoft.com/office/drawing/2014/main" id="{00000000-0008-0000-0500-000066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32</xdr:row>
      <xdr:rowOff>0</xdr:rowOff>
    </xdr:from>
    <xdr:to>
      <xdr:col>4</xdr:col>
      <xdr:colOff>76200</xdr:colOff>
      <xdr:row>33</xdr:row>
      <xdr:rowOff>0</xdr:rowOff>
    </xdr:to>
    <xdr:sp macro="" textlink="">
      <xdr:nvSpPr>
        <xdr:cNvPr id="615" name="Text Box 1">
          <a:extLst>
            <a:ext uri="{FF2B5EF4-FFF2-40B4-BE49-F238E27FC236}">
              <a16:creationId xmlns:a16="http://schemas.microsoft.com/office/drawing/2014/main" id="{00000000-0008-0000-0500-000067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32</xdr:row>
      <xdr:rowOff>0</xdr:rowOff>
    </xdr:from>
    <xdr:to>
      <xdr:col>4</xdr:col>
      <xdr:colOff>76200</xdr:colOff>
      <xdr:row>33</xdr:row>
      <xdr:rowOff>0</xdr:rowOff>
    </xdr:to>
    <xdr:sp macro="" textlink="">
      <xdr:nvSpPr>
        <xdr:cNvPr id="616" name="Text Box 2">
          <a:extLst>
            <a:ext uri="{FF2B5EF4-FFF2-40B4-BE49-F238E27FC236}">
              <a16:creationId xmlns:a16="http://schemas.microsoft.com/office/drawing/2014/main" id="{00000000-0008-0000-0500-000068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32</xdr:row>
      <xdr:rowOff>0</xdr:rowOff>
    </xdr:from>
    <xdr:to>
      <xdr:col>4</xdr:col>
      <xdr:colOff>76200</xdr:colOff>
      <xdr:row>33</xdr:row>
      <xdr:rowOff>0</xdr:rowOff>
    </xdr:to>
    <xdr:sp macro="" textlink="">
      <xdr:nvSpPr>
        <xdr:cNvPr id="617" name="Text Box 1">
          <a:extLst>
            <a:ext uri="{FF2B5EF4-FFF2-40B4-BE49-F238E27FC236}">
              <a16:creationId xmlns:a16="http://schemas.microsoft.com/office/drawing/2014/main" id="{00000000-0008-0000-0500-000069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32</xdr:row>
      <xdr:rowOff>0</xdr:rowOff>
    </xdr:from>
    <xdr:to>
      <xdr:col>4</xdr:col>
      <xdr:colOff>76200</xdr:colOff>
      <xdr:row>33</xdr:row>
      <xdr:rowOff>0</xdr:rowOff>
    </xdr:to>
    <xdr:sp macro="" textlink="">
      <xdr:nvSpPr>
        <xdr:cNvPr id="618" name="Text Box 1">
          <a:extLst>
            <a:ext uri="{FF2B5EF4-FFF2-40B4-BE49-F238E27FC236}">
              <a16:creationId xmlns:a16="http://schemas.microsoft.com/office/drawing/2014/main" id="{00000000-0008-0000-0500-00006A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32</xdr:row>
      <xdr:rowOff>0</xdr:rowOff>
    </xdr:from>
    <xdr:to>
      <xdr:col>4</xdr:col>
      <xdr:colOff>76200</xdr:colOff>
      <xdr:row>33</xdr:row>
      <xdr:rowOff>0</xdr:rowOff>
    </xdr:to>
    <xdr:sp macro="" textlink="">
      <xdr:nvSpPr>
        <xdr:cNvPr id="619" name="Text Box 1">
          <a:extLst>
            <a:ext uri="{FF2B5EF4-FFF2-40B4-BE49-F238E27FC236}">
              <a16:creationId xmlns:a16="http://schemas.microsoft.com/office/drawing/2014/main" id="{00000000-0008-0000-0500-00006B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32</xdr:row>
      <xdr:rowOff>0</xdr:rowOff>
    </xdr:from>
    <xdr:to>
      <xdr:col>4</xdr:col>
      <xdr:colOff>76200</xdr:colOff>
      <xdr:row>33</xdr:row>
      <xdr:rowOff>0</xdr:rowOff>
    </xdr:to>
    <xdr:sp macro="" textlink="">
      <xdr:nvSpPr>
        <xdr:cNvPr id="620" name="Text Box 2">
          <a:extLst>
            <a:ext uri="{FF2B5EF4-FFF2-40B4-BE49-F238E27FC236}">
              <a16:creationId xmlns:a16="http://schemas.microsoft.com/office/drawing/2014/main" id="{00000000-0008-0000-0500-00006C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32</xdr:row>
      <xdr:rowOff>0</xdr:rowOff>
    </xdr:from>
    <xdr:to>
      <xdr:col>4</xdr:col>
      <xdr:colOff>76200</xdr:colOff>
      <xdr:row>33</xdr:row>
      <xdr:rowOff>0</xdr:rowOff>
    </xdr:to>
    <xdr:sp macro="" textlink="">
      <xdr:nvSpPr>
        <xdr:cNvPr id="621" name="Text Box 1">
          <a:extLst>
            <a:ext uri="{FF2B5EF4-FFF2-40B4-BE49-F238E27FC236}">
              <a16:creationId xmlns:a16="http://schemas.microsoft.com/office/drawing/2014/main" id="{00000000-0008-0000-0500-00006D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32</xdr:row>
      <xdr:rowOff>0</xdr:rowOff>
    </xdr:from>
    <xdr:to>
      <xdr:col>4</xdr:col>
      <xdr:colOff>76200</xdr:colOff>
      <xdr:row>33</xdr:row>
      <xdr:rowOff>0</xdr:rowOff>
    </xdr:to>
    <xdr:sp macro="" textlink="">
      <xdr:nvSpPr>
        <xdr:cNvPr id="622" name="Text Box 1">
          <a:extLst>
            <a:ext uri="{FF2B5EF4-FFF2-40B4-BE49-F238E27FC236}">
              <a16:creationId xmlns:a16="http://schemas.microsoft.com/office/drawing/2014/main" id="{00000000-0008-0000-0500-00006E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33</xdr:row>
      <xdr:rowOff>0</xdr:rowOff>
    </xdr:from>
    <xdr:to>
      <xdr:col>4</xdr:col>
      <xdr:colOff>76200</xdr:colOff>
      <xdr:row>34</xdr:row>
      <xdr:rowOff>0</xdr:rowOff>
    </xdr:to>
    <xdr:sp macro="" textlink="">
      <xdr:nvSpPr>
        <xdr:cNvPr id="623" name="Text Box 1">
          <a:extLst>
            <a:ext uri="{FF2B5EF4-FFF2-40B4-BE49-F238E27FC236}">
              <a16:creationId xmlns:a16="http://schemas.microsoft.com/office/drawing/2014/main" id="{00000000-0008-0000-0500-00006F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33</xdr:row>
      <xdr:rowOff>0</xdr:rowOff>
    </xdr:from>
    <xdr:to>
      <xdr:col>4</xdr:col>
      <xdr:colOff>76200</xdr:colOff>
      <xdr:row>34</xdr:row>
      <xdr:rowOff>0</xdr:rowOff>
    </xdr:to>
    <xdr:sp macro="" textlink="">
      <xdr:nvSpPr>
        <xdr:cNvPr id="624" name="Text Box 2">
          <a:extLst>
            <a:ext uri="{FF2B5EF4-FFF2-40B4-BE49-F238E27FC236}">
              <a16:creationId xmlns:a16="http://schemas.microsoft.com/office/drawing/2014/main" id="{00000000-0008-0000-0500-000070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33</xdr:row>
      <xdr:rowOff>0</xdr:rowOff>
    </xdr:from>
    <xdr:to>
      <xdr:col>4</xdr:col>
      <xdr:colOff>76200</xdr:colOff>
      <xdr:row>34</xdr:row>
      <xdr:rowOff>0</xdr:rowOff>
    </xdr:to>
    <xdr:sp macro="" textlink="">
      <xdr:nvSpPr>
        <xdr:cNvPr id="625" name="Text Box 1">
          <a:extLst>
            <a:ext uri="{FF2B5EF4-FFF2-40B4-BE49-F238E27FC236}">
              <a16:creationId xmlns:a16="http://schemas.microsoft.com/office/drawing/2014/main" id="{00000000-0008-0000-0500-000071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33</xdr:row>
      <xdr:rowOff>0</xdr:rowOff>
    </xdr:from>
    <xdr:to>
      <xdr:col>4</xdr:col>
      <xdr:colOff>76200</xdr:colOff>
      <xdr:row>34</xdr:row>
      <xdr:rowOff>0</xdr:rowOff>
    </xdr:to>
    <xdr:sp macro="" textlink="">
      <xdr:nvSpPr>
        <xdr:cNvPr id="626" name="Text Box 1">
          <a:extLst>
            <a:ext uri="{FF2B5EF4-FFF2-40B4-BE49-F238E27FC236}">
              <a16:creationId xmlns:a16="http://schemas.microsoft.com/office/drawing/2014/main" id="{00000000-0008-0000-0500-000072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33</xdr:row>
      <xdr:rowOff>0</xdr:rowOff>
    </xdr:from>
    <xdr:to>
      <xdr:col>4</xdr:col>
      <xdr:colOff>76200</xdr:colOff>
      <xdr:row>34</xdr:row>
      <xdr:rowOff>0</xdr:rowOff>
    </xdr:to>
    <xdr:sp macro="" textlink="">
      <xdr:nvSpPr>
        <xdr:cNvPr id="627" name="Text Box 1">
          <a:extLst>
            <a:ext uri="{FF2B5EF4-FFF2-40B4-BE49-F238E27FC236}">
              <a16:creationId xmlns:a16="http://schemas.microsoft.com/office/drawing/2014/main" id="{00000000-0008-0000-0500-000073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33</xdr:row>
      <xdr:rowOff>0</xdr:rowOff>
    </xdr:from>
    <xdr:to>
      <xdr:col>4</xdr:col>
      <xdr:colOff>76200</xdr:colOff>
      <xdr:row>34</xdr:row>
      <xdr:rowOff>0</xdr:rowOff>
    </xdr:to>
    <xdr:sp macro="" textlink="">
      <xdr:nvSpPr>
        <xdr:cNvPr id="628" name="Text Box 2">
          <a:extLst>
            <a:ext uri="{FF2B5EF4-FFF2-40B4-BE49-F238E27FC236}">
              <a16:creationId xmlns:a16="http://schemas.microsoft.com/office/drawing/2014/main" id="{00000000-0008-0000-0500-000074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33</xdr:row>
      <xdr:rowOff>0</xdr:rowOff>
    </xdr:from>
    <xdr:to>
      <xdr:col>4</xdr:col>
      <xdr:colOff>76200</xdr:colOff>
      <xdr:row>34</xdr:row>
      <xdr:rowOff>0</xdr:rowOff>
    </xdr:to>
    <xdr:sp macro="" textlink="">
      <xdr:nvSpPr>
        <xdr:cNvPr id="629" name="Text Box 1">
          <a:extLst>
            <a:ext uri="{FF2B5EF4-FFF2-40B4-BE49-F238E27FC236}">
              <a16:creationId xmlns:a16="http://schemas.microsoft.com/office/drawing/2014/main" id="{00000000-0008-0000-0500-000075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33</xdr:row>
      <xdr:rowOff>0</xdr:rowOff>
    </xdr:from>
    <xdr:to>
      <xdr:col>4</xdr:col>
      <xdr:colOff>76200</xdr:colOff>
      <xdr:row>34</xdr:row>
      <xdr:rowOff>0</xdr:rowOff>
    </xdr:to>
    <xdr:sp macro="" textlink="">
      <xdr:nvSpPr>
        <xdr:cNvPr id="630" name="Text Box 1">
          <a:extLst>
            <a:ext uri="{FF2B5EF4-FFF2-40B4-BE49-F238E27FC236}">
              <a16:creationId xmlns:a16="http://schemas.microsoft.com/office/drawing/2014/main" id="{00000000-0008-0000-0500-000076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33</xdr:row>
      <xdr:rowOff>0</xdr:rowOff>
    </xdr:from>
    <xdr:to>
      <xdr:col>4</xdr:col>
      <xdr:colOff>76200</xdr:colOff>
      <xdr:row>34</xdr:row>
      <xdr:rowOff>0</xdr:rowOff>
    </xdr:to>
    <xdr:sp macro="" textlink="">
      <xdr:nvSpPr>
        <xdr:cNvPr id="631" name="Text Box 1">
          <a:extLst>
            <a:ext uri="{FF2B5EF4-FFF2-40B4-BE49-F238E27FC236}">
              <a16:creationId xmlns:a16="http://schemas.microsoft.com/office/drawing/2014/main" id="{00000000-0008-0000-0500-000077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33</xdr:row>
      <xdr:rowOff>0</xdr:rowOff>
    </xdr:from>
    <xdr:to>
      <xdr:col>4</xdr:col>
      <xdr:colOff>76200</xdr:colOff>
      <xdr:row>34</xdr:row>
      <xdr:rowOff>0</xdr:rowOff>
    </xdr:to>
    <xdr:sp macro="" textlink="">
      <xdr:nvSpPr>
        <xdr:cNvPr id="632" name="Text Box 2">
          <a:extLst>
            <a:ext uri="{FF2B5EF4-FFF2-40B4-BE49-F238E27FC236}">
              <a16:creationId xmlns:a16="http://schemas.microsoft.com/office/drawing/2014/main" id="{00000000-0008-0000-0500-000078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33</xdr:row>
      <xdr:rowOff>0</xdr:rowOff>
    </xdr:from>
    <xdr:to>
      <xdr:col>4</xdr:col>
      <xdr:colOff>76200</xdr:colOff>
      <xdr:row>34</xdr:row>
      <xdr:rowOff>0</xdr:rowOff>
    </xdr:to>
    <xdr:sp macro="" textlink="">
      <xdr:nvSpPr>
        <xdr:cNvPr id="633" name="Text Box 1">
          <a:extLst>
            <a:ext uri="{FF2B5EF4-FFF2-40B4-BE49-F238E27FC236}">
              <a16:creationId xmlns:a16="http://schemas.microsoft.com/office/drawing/2014/main" id="{00000000-0008-0000-0500-000079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33</xdr:row>
      <xdr:rowOff>0</xdr:rowOff>
    </xdr:from>
    <xdr:to>
      <xdr:col>4</xdr:col>
      <xdr:colOff>76200</xdr:colOff>
      <xdr:row>34</xdr:row>
      <xdr:rowOff>0</xdr:rowOff>
    </xdr:to>
    <xdr:sp macro="" textlink="">
      <xdr:nvSpPr>
        <xdr:cNvPr id="634" name="Text Box 1">
          <a:extLst>
            <a:ext uri="{FF2B5EF4-FFF2-40B4-BE49-F238E27FC236}">
              <a16:creationId xmlns:a16="http://schemas.microsoft.com/office/drawing/2014/main" id="{00000000-0008-0000-0500-00007A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33</xdr:row>
      <xdr:rowOff>0</xdr:rowOff>
    </xdr:from>
    <xdr:to>
      <xdr:col>4</xdr:col>
      <xdr:colOff>76200</xdr:colOff>
      <xdr:row>34</xdr:row>
      <xdr:rowOff>0</xdr:rowOff>
    </xdr:to>
    <xdr:sp macro="" textlink="">
      <xdr:nvSpPr>
        <xdr:cNvPr id="635" name="Text Box 1">
          <a:extLst>
            <a:ext uri="{FF2B5EF4-FFF2-40B4-BE49-F238E27FC236}">
              <a16:creationId xmlns:a16="http://schemas.microsoft.com/office/drawing/2014/main" id="{00000000-0008-0000-0500-00007B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33</xdr:row>
      <xdr:rowOff>0</xdr:rowOff>
    </xdr:from>
    <xdr:to>
      <xdr:col>4</xdr:col>
      <xdr:colOff>76200</xdr:colOff>
      <xdr:row>34</xdr:row>
      <xdr:rowOff>0</xdr:rowOff>
    </xdr:to>
    <xdr:sp macro="" textlink="">
      <xdr:nvSpPr>
        <xdr:cNvPr id="636" name="Text Box 2">
          <a:extLst>
            <a:ext uri="{FF2B5EF4-FFF2-40B4-BE49-F238E27FC236}">
              <a16:creationId xmlns:a16="http://schemas.microsoft.com/office/drawing/2014/main" id="{00000000-0008-0000-0500-00007C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33</xdr:row>
      <xdr:rowOff>0</xdr:rowOff>
    </xdr:from>
    <xdr:to>
      <xdr:col>4</xdr:col>
      <xdr:colOff>76200</xdr:colOff>
      <xdr:row>34</xdr:row>
      <xdr:rowOff>0</xdr:rowOff>
    </xdr:to>
    <xdr:sp macro="" textlink="">
      <xdr:nvSpPr>
        <xdr:cNvPr id="637" name="Text Box 1">
          <a:extLst>
            <a:ext uri="{FF2B5EF4-FFF2-40B4-BE49-F238E27FC236}">
              <a16:creationId xmlns:a16="http://schemas.microsoft.com/office/drawing/2014/main" id="{00000000-0008-0000-0500-00007D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33</xdr:row>
      <xdr:rowOff>0</xdr:rowOff>
    </xdr:from>
    <xdr:to>
      <xdr:col>4</xdr:col>
      <xdr:colOff>76200</xdr:colOff>
      <xdr:row>34</xdr:row>
      <xdr:rowOff>0</xdr:rowOff>
    </xdr:to>
    <xdr:sp macro="" textlink="">
      <xdr:nvSpPr>
        <xdr:cNvPr id="638" name="Text Box 1">
          <a:extLst>
            <a:ext uri="{FF2B5EF4-FFF2-40B4-BE49-F238E27FC236}">
              <a16:creationId xmlns:a16="http://schemas.microsoft.com/office/drawing/2014/main" id="{00000000-0008-0000-0500-00007E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33</xdr:row>
      <xdr:rowOff>0</xdr:rowOff>
    </xdr:from>
    <xdr:to>
      <xdr:col>4</xdr:col>
      <xdr:colOff>76200</xdr:colOff>
      <xdr:row>34</xdr:row>
      <xdr:rowOff>0</xdr:rowOff>
    </xdr:to>
    <xdr:sp macro="" textlink="">
      <xdr:nvSpPr>
        <xdr:cNvPr id="639" name="Text Box 2">
          <a:extLst>
            <a:ext uri="{FF2B5EF4-FFF2-40B4-BE49-F238E27FC236}">
              <a16:creationId xmlns:a16="http://schemas.microsoft.com/office/drawing/2014/main" id="{00000000-0008-0000-0500-00007F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33</xdr:row>
      <xdr:rowOff>0</xdr:rowOff>
    </xdr:from>
    <xdr:to>
      <xdr:col>4</xdr:col>
      <xdr:colOff>76200</xdr:colOff>
      <xdr:row>34</xdr:row>
      <xdr:rowOff>0</xdr:rowOff>
    </xdr:to>
    <xdr:sp macro="" textlink="">
      <xdr:nvSpPr>
        <xdr:cNvPr id="640" name="Text Box 1">
          <a:extLst>
            <a:ext uri="{FF2B5EF4-FFF2-40B4-BE49-F238E27FC236}">
              <a16:creationId xmlns:a16="http://schemas.microsoft.com/office/drawing/2014/main" id="{00000000-0008-0000-0500-000080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33</xdr:row>
      <xdr:rowOff>0</xdr:rowOff>
    </xdr:from>
    <xdr:to>
      <xdr:col>4</xdr:col>
      <xdr:colOff>76200</xdr:colOff>
      <xdr:row>34</xdr:row>
      <xdr:rowOff>0</xdr:rowOff>
    </xdr:to>
    <xdr:sp macro="" textlink="">
      <xdr:nvSpPr>
        <xdr:cNvPr id="641" name="Text Box 1">
          <a:extLst>
            <a:ext uri="{FF2B5EF4-FFF2-40B4-BE49-F238E27FC236}">
              <a16:creationId xmlns:a16="http://schemas.microsoft.com/office/drawing/2014/main" id="{00000000-0008-0000-0500-000081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33</xdr:row>
      <xdr:rowOff>0</xdr:rowOff>
    </xdr:from>
    <xdr:to>
      <xdr:col>4</xdr:col>
      <xdr:colOff>76200</xdr:colOff>
      <xdr:row>34</xdr:row>
      <xdr:rowOff>0</xdr:rowOff>
    </xdr:to>
    <xdr:sp macro="" textlink="">
      <xdr:nvSpPr>
        <xdr:cNvPr id="642" name="Text Box 1">
          <a:extLst>
            <a:ext uri="{FF2B5EF4-FFF2-40B4-BE49-F238E27FC236}">
              <a16:creationId xmlns:a16="http://schemas.microsoft.com/office/drawing/2014/main" id="{00000000-0008-0000-0500-000082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33</xdr:row>
      <xdr:rowOff>0</xdr:rowOff>
    </xdr:from>
    <xdr:to>
      <xdr:col>4</xdr:col>
      <xdr:colOff>76200</xdr:colOff>
      <xdr:row>34</xdr:row>
      <xdr:rowOff>0</xdr:rowOff>
    </xdr:to>
    <xdr:sp macro="" textlink="">
      <xdr:nvSpPr>
        <xdr:cNvPr id="643" name="Text Box 2">
          <a:extLst>
            <a:ext uri="{FF2B5EF4-FFF2-40B4-BE49-F238E27FC236}">
              <a16:creationId xmlns:a16="http://schemas.microsoft.com/office/drawing/2014/main" id="{00000000-0008-0000-0500-000083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33</xdr:row>
      <xdr:rowOff>0</xdr:rowOff>
    </xdr:from>
    <xdr:to>
      <xdr:col>4</xdr:col>
      <xdr:colOff>76200</xdr:colOff>
      <xdr:row>34</xdr:row>
      <xdr:rowOff>0</xdr:rowOff>
    </xdr:to>
    <xdr:sp macro="" textlink="">
      <xdr:nvSpPr>
        <xdr:cNvPr id="644" name="Text Box 1">
          <a:extLst>
            <a:ext uri="{FF2B5EF4-FFF2-40B4-BE49-F238E27FC236}">
              <a16:creationId xmlns:a16="http://schemas.microsoft.com/office/drawing/2014/main" id="{00000000-0008-0000-0500-000084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33</xdr:row>
      <xdr:rowOff>0</xdr:rowOff>
    </xdr:from>
    <xdr:to>
      <xdr:col>4</xdr:col>
      <xdr:colOff>76200</xdr:colOff>
      <xdr:row>34</xdr:row>
      <xdr:rowOff>0</xdr:rowOff>
    </xdr:to>
    <xdr:sp macro="" textlink="">
      <xdr:nvSpPr>
        <xdr:cNvPr id="645" name="Text Box 1">
          <a:extLst>
            <a:ext uri="{FF2B5EF4-FFF2-40B4-BE49-F238E27FC236}">
              <a16:creationId xmlns:a16="http://schemas.microsoft.com/office/drawing/2014/main" id="{00000000-0008-0000-0500-000085020000}"/>
            </a:ext>
          </a:extLst>
        </xdr:cNvPr>
        <xdr:cNvSpPr txBox="1">
          <a:spLocks noChangeArrowheads="1"/>
        </xdr:cNvSpPr>
      </xdr:nvSpPr>
      <xdr:spPr bwMode="auto">
        <a:xfrm>
          <a:off x="5867400" y="1400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6</xdr:row>
      <xdr:rowOff>0</xdr:rowOff>
    </xdr:from>
    <xdr:to>
      <xdr:col>4</xdr:col>
      <xdr:colOff>76200</xdr:colOff>
      <xdr:row>7</xdr:row>
      <xdr:rowOff>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673493F0-D946-4DA5-B315-F9AC33F706CB}"/>
            </a:ext>
          </a:extLst>
        </xdr:cNvPr>
        <xdr:cNvSpPr txBox="1">
          <a:spLocks noChangeArrowheads="1"/>
        </xdr:cNvSpPr>
      </xdr:nvSpPr>
      <xdr:spPr bwMode="auto">
        <a:xfrm>
          <a:off x="6715125" y="1200150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76200</xdr:colOff>
      <xdr:row>7</xdr:row>
      <xdr:rowOff>0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4CDD0265-A72C-4952-86E2-FFBF2118E3DE}"/>
            </a:ext>
          </a:extLst>
        </xdr:cNvPr>
        <xdr:cNvSpPr txBox="1">
          <a:spLocks noChangeArrowheads="1"/>
        </xdr:cNvSpPr>
      </xdr:nvSpPr>
      <xdr:spPr bwMode="auto">
        <a:xfrm>
          <a:off x="6715125" y="1200150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76200</xdr:colOff>
      <xdr:row>7</xdr:row>
      <xdr:rowOff>0</xdr:rowOff>
    </xdr:to>
    <xdr:sp macro="" textlink="">
      <xdr:nvSpPr>
        <xdr:cNvPr id="4" name="Text Box 1">
          <a:extLst>
            <a:ext uri="{FF2B5EF4-FFF2-40B4-BE49-F238E27FC236}">
              <a16:creationId xmlns:a16="http://schemas.microsoft.com/office/drawing/2014/main" id="{22EF8101-A500-4C2C-8EFF-8B3BEE50264F}"/>
            </a:ext>
          </a:extLst>
        </xdr:cNvPr>
        <xdr:cNvSpPr txBox="1">
          <a:spLocks noChangeArrowheads="1"/>
        </xdr:cNvSpPr>
      </xdr:nvSpPr>
      <xdr:spPr bwMode="auto">
        <a:xfrm>
          <a:off x="6715125" y="1200150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76200</xdr:colOff>
      <xdr:row>7</xdr:row>
      <xdr:rowOff>0</xdr:rowOff>
    </xdr:to>
    <xdr:sp macro="" textlink="">
      <xdr:nvSpPr>
        <xdr:cNvPr id="5" name="Text Box 1">
          <a:extLst>
            <a:ext uri="{FF2B5EF4-FFF2-40B4-BE49-F238E27FC236}">
              <a16:creationId xmlns:a16="http://schemas.microsoft.com/office/drawing/2014/main" id="{E1693976-8E66-45CB-A2FC-AE447E0A986E}"/>
            </a:ext>
          </a:extLst>
        </xdr:cNvPr>
        <xdr:cNvSpPr txBox="1">
          <a:spLocks noChangeArrowheads="1"/>
        </xdr:cNvSpPr>
      </xdr:nvSpPr>
      <xdr:spPr bwMode="auto">
        <a:xfrm>
          <a:off x="6715125" y="1200150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76200</xdr:colOff>
      <xdr:row>7</xdr:row>
      <xdr:rowOff>0</xdr:rowOff>
    </xdr:to>
    <xdr:sp macro="" textlink="">
      <xdr:nvSpPr>
        <xdr:cNvPr id="6" name="Text Box 1">
          <a:extLst>
            <a:ext uri="{FF2B5EF4-FFF2-40B4-BE49-F238E27FC236}">
              <a16:creationId xmlns:a16="http://schemas.microsoft.com/office/drawing/2014/main" id="{9F05333E-28BD-4CCA-8E1F-6D9159BAE6C8}"/>
            </a:ext>
          </a:extLst>
        </xdr:cNvPr>
        <xdr:cNvSpPr txBox="1">
          <a:spLocks noChangeArrowheads="1"/>
        </xdr:cNvSpPr>
      </xdr:nvSpPr>
      <xdr:spPr bwMode="auto">
        <a:xfrm>
          <a:off x="6715125" y="1200150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76200</xdr:colOff>
      <xdr:row>7</xdr:row>
      <xdr:rowOff>0</xdr:rowOff>
    </xdr:to>
    <xdr:sp macro="" textlink="">
      <xdr:nvSpPr>
        <xdr:cNvPr id="7" name="Text Box 2">
          <a:extLst>
            <a:ext uri="{FF2B5EF4-FFF2-40B4-BE49-F238E27FC236}">
              <a16:creationId xmlns:a16="http://schemas.microsoft.com/office/drawing/2014/main" id="{9D4C71AE-E075-4706-8C1E-9D068FF0D72A}"/>
            </a:ext>
          </a:extLst>
        </xdr:cNvPr>
        <xdr:cNvSpPr txBox="1">
          <a:spLocks noChangeArrowheads="1"/>
        </xdr:cNvSpPr>
      </xdr:nvSpPr>
      <xdr:spPr bwMode="auto">
        <a:xfrm>
          <a:off x="6715125" y="1200150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76200</xdr:colOff>
      <xdr:row>7</xdr:row>
      <xdr:rowOff>0</xdr:rowOff>
    </xdr:to>
    <xdr:sp macro="" textlink="">
      <xdr:nvSpPr>
        <xdr:cNvPr id="8" name="Text Box 1">
          <a:extLst>
            <a:ext uri="{FF2B5EF4-FFF2-40B4-BE49-F238E27FC236}">
              <a16:creationId xmlns:a16="http://schemas.microsoft.com/office/drawing/2014/main" id="{DEFC8101-EB9C-4F28-AD04-220F3404690C}"/>
            </a:ext>
          </a:extLst>
        </xdr:cNvPr>
        <xdr:cNvSpPr txBox="1">
          <a:spLocks noChangeArrowheads="1"/>
        </xdr:cNvSpPr>
      </xdr:nvSpPr>
      <xdr:spPr bwMode="auto">
        <a:xfrm>
          <a:off x="6715125" y="1200150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76200</xdr:colOff>
      <xdr:row>7</xdr:row>
      <xdr:rowOff>0</xdr:rowOff>
    </xdr:to>
    <xdr:sp macro="" textlink="">
      <xdr:nvSpPr>
        <xdr:cNvPr id="9" name="Text Box 1">
          <a:extLst>
            <a:ext uri="{FF2B5EF4-FFF2-40B4-BE49-F238E27FC236}">
              <a16:creationId xmlns:a16="http://schemas.microsoft.com/office/drawing/2014/main" id="{A654F87E-AAD0-4700-BF06-B03078CF7477}"/>
            </a:ext>
          </a:extLst>
        </xdr:cNvPr>
        <xdr:cNvSpPr txBox="1">
          <a:spLocks noChangeArrowheads="1"/>
        </xdr:cNvSpPr>
      </xdr:nvSpPr>
      <xdr:spPr bwMode="auto">
        <a:xfrm>
          <a:off x="6715125" y="1200150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76200</xdr:colOff>
      <xdr:row>7</xdr:row>
      <xdr:rowOff>0</xdr:rowOff>
    </xdr:to>
    <xdr:sp macro="" textlink="">
      <xdr:nvSpPr>
        <xdr:cNvPr id="10" name="Text Box 1">
          <a:extLst>
            <a:ext uri="{FF2B5EF4-FFF2-40B4-BE49-F238E27FC236}">
              <a16:creationId xmlns:a16="http://schemas.microsoft.com/office/drawing/2014/main" id="{86806DF4-9B8E-4E67-B12D-7CABDE0D34A5}"/>
            </a:ext>
          </a:extLst>
        </xdr:cNvPr>
        <xdr:cNvSpPr txBox="1">
          <a:spLocks noChangeArrowheads="1"/>
        </xdr:cNvSpPr>
      </xdr:nvSpPr>
      <xdr:spPr bwMode="auto">
        <a:xfrm>
          <a:off x="6715125" y="1200150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76200</xdr:colOff>
      <xdr:row>7</xdr:row>
      <xdr:rowOff>0</xdr:rowOff>
    </xdr:to>
    <xdr:sp macro="" textlink="">
      <xdr:nvSpPr>
        <xdr:cNvPr id="11" name="Text Box 2">
          <a:extLst>
            <a:ext uri="{FF2B5EF4-FFF2-40B4-BE49-F238E27FC236}">
              <a16:creationId xmlns:a16="http://schemas.microsoft.com/office/drawing/2014/main" id="{85A6E743-CD32-48A3-900B-1BE954B66A62}"/>
            </a:ext>
          </a:extLst>
        </xdr:cNvPr>
        <xdr:cNvSpPr txBox="1">
          <a:spLocks noChangeArrowheads="1"/>
        </xdr:cNvSpPr>
      </xdr:nvSpPr>
      <xdr:spPr bwMode="auto">
        <a:xfrm>
          <a:off x="6715125" y="1200150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76200</xdr:colOff>
      <xdr:row>7</xdr:row>
      <xdr:rowOff>0</xdr:rowOff>
    </xdr:to>
    <xdr:sp macro="" textlink="">
      <xdr:nvSpPr>
        <xdr:cNvPr id="12" name="Text Box 1">
          <a:extLst>
            <a:ext uri="{FF2B5EF4-FFF2-40B4-BE49-F238E27FC236}">
              <a16:creationId xmlns:a16="http://schemas.microsoft.com/office/drawing/2014/main" id="{B6E8D3CC-D4F9-402D-B2FC-47D9AC59561B}"/>
            </a:ext>
          </a:extLst>
        </xdr:cNvPr>
        <xdr:cNvSpPr txBox="1">
          <a:spLocks noChangeArrowheads="1"/>
        </xdr:cNvSpPr>
      </xdr:nvSpPr>
      <xdr:spPr bwMode="auto">
        <a:xfrm>
          <a:off x="6715125" y="1200150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76200</xdr:colOff>
      <xdr:row>7</xdr:row>
      <xdr:rowOff>0</xdr:rowOff>
    </xdr:to>
    <xdr:sp macro="" textlink="">
      <xdr:nvSpPr>
        <xdr:cNvPr id="13" name="Text Box 1">
          <a:extLst>
            <a:ext uri="{FF2B5EF4-FFF2-40B4-BE49-F238E27FC236}">
              <a16:creationId xmlns:a16="http://schemas.microsoft.com/office/drawing/2014/main" id="{C7429DEC-2425-48E9-8FDE-4FA944EBA5B5}"/>
            </a:ext>
          </a:extLst>
        </xdr:cNvPr>
        <xdr:cNvSpPr txBox="1">
          <a:spLocks noChangeArrowheads="1"/>
        </xdr:cNvSpPr>
      </xdr:nvSpPr>
      <xdr:spPr bwMode="auto">
        <a:xfrm>
          <a:off x="6715125" y="1200150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76200</xdr:colOff>
      <xdr:row>7</xdr:row>
      <xdr:rowOff>0</xdr:rowOff>
    </xdr:to>
    <xdr:sp macro="" textlink="">
      <xdr:nvSpPr>
        <xdr:cNvPr id="14" name="Text Box 1">
          <a:extLst>
            <a:ext uri="{FF2B5EF4-FFF2-40B4-BE49-F238E27FC236}">
              <a16:creationId xmlns:a16="http://schemas.microsoft.com/office/drawing/2014/main" id="{222450C7-18E0-480C-B0C5-4DF7513FD3FB}"/>
            </a:ext>
          </a:extLst>
        </xdr:cNvPr>
        <xdr:cNvSpPr txBox="1">
          <a:spLocks noChangeArrowheads="1"/>
        </xdr:cNvSpPr>
      </xdr:nvSpPr>
      <xdr:spPr bwMode="auto">
        <a:xfrm>
          <a:off x="6715125" y="1200150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76200</xdr:colOff>
      <xdr:row>7</xdr:row>
      <xdr:rowOff>0</xdr:rowOff>
    </xdr:to>
    <xdr:sp macro="" textlink="">
      <xdr:nvSpPr>
        <xdr:cNvPr id="15" name="Text Box 2">
          <a:extLst>
            <a:ext uri="{FF2B5EF4-FFF2-40B4-BE49-F238E27FC236}">
              <a16:creationId xmlns:a16="http://schemas.microsoft.com/office/drawing/2014/main" id="{1ED415C7-6DD9-4E32-BA02-B8275F7C279F}"/>
            </a:ext>
          </a:extLst>
        </xdr:cNvPr>
        <xdr:cNvSpPr txBox="1">
          <a:spLocks noChangeArrowheads="1"/>
        </xdr:cNvSpPr>
      </xdr:nvSpPr>
      <xdr:spPr bwMode="auto">
        <a:xfrm>
          <a:off x="6715125" y="1200150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76200</xdr:colOff>
      <xdr:row>7</xdr:row>
      <xdr:rowOff>0</xdr:rowOff>
    </xdr:to>
    <xdr:sp macro="" textlink="">
      <xdr:nvSpPr>
        <xdr:cNvPr id="16" name="Text Box 1">
          <a:extLst>
            <a:ext uri="{FF2B5EF4-FFF2-40B4-BE49-F238E27FC236}">
              <a16:creationId xmlns:a16="http://schemas.microsoft.com/office/drawing/2014/main" id="{CB5A5062-5A96-47A5-B47D-0525C02D470F}"/>
            </a:ext>
          </a:extLst>
        </xdr:cNvPr>
        <xdr:cNvSpPr txBox="1">
          <a:spLocks noChangeArrowheads="1"/>
        </xdr:cNvSpPr>
      </xdr:nvSpPr>
      <xdr:spPr bwMode="auto">
        <a:xfrm>
          <a:off x="6715125" y="1200150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76200</xdr:colOff>
      <xdr:row>7</xdr:row>
      <xdr:rowOff>0</xdr:rowOff>
    </xdr:to>
    <xdr:sp macro="" textlink="">
      <xdr:nvSpPr>
        <xdr:cNvPr id="17" name="Text Box 1">
          <a:extLst>
            <a:ext uri="{FF2B5EF4-FFF2-40B4-BE49-F238E27FC236}">
              <a16:creationId xmlns:a16="http://schemas.microsoft.com/office/drawing/2014/main" id="{7F4D4E78-D6EF-4769-962E-F3EFDF6FC5CB}"/>
            </a:ext>
          </a:extLst>
        </xdr:cNvPr>
        <xdr:cNvSpPr txBox="1">
          <a:spLocks noChangeArrowheads="1"/>
        </xdr:cNvSpPr>
      </xdr:nvSpPr>
      <xdr:spPr bwMode="auto">
        <a:xfrm>
          <a:off x="6715125" y="1200150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76200</xdr:colOff>
      <xdr:row>7</xdr:row>
      <xdr:rowOff>0</xdr:rowOff>
    </xdr:to>
    <xdr:sp macro="" textlink="">
      <xdr:nvSpPr>
        <xdr:cNvPr id="18" name="Text Box 2">
          <a:extLst>
            <a:ext uri="{FF2B5EF4-FFF2-40B4-BE49-F238E27FC236}">
              <a16:creationId xmlns:a16="http://schemas.microsoft.com/office/drawing/2014/main" id="{69EF82E5-B970-4162-8353-F551DFE2AF35}"/>
            </a:ext>
          </a:extLst>
        </xdr:cNvPr>
        <xdr:cNvSpPr txBox="1">
          <a:spLocks noChangeArrowheads="1"/>
        </xdr:cNvSpPr>
      </xdr:nvSpPr>
      <xdr:spPr bwMode="auto">
        <a:xfrm>
          <a:off x="6715125" y="1200150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76200</xdr:colOff>
      <xdr:row>7</xdr:row>
      <xdr:rowOff>0</xdr:rowOff>
    </xdr:to>
    <xdr:sp macro="" textlink="">
      <xdr:nvSpPr>
        <xdr:cNvPr id="19" name="Text Box 1">
          <a:extLst>
            <a:ext uri="{FF2B5EF4-FFF2-40B4-BE49-F238E27FC236}">
              <a16:creationId xmlns:a16="http://schemas.microsoft.com/office/drawing/2014/main" id="{657D74BE-6C06-43BA-93E3-F29CA764571E}"/>
            </a:ext>
          </a:extLst>
        </xdr:cNvPr>
        <xdr:cNvSpPr txBox="1">
          <a:spLocks noChangeArrowheads="1"/>
        </xdr:cNvSpPr>
      </xdr:nvSpPr>
      <xdr:spPr bwMode="auto">
        <a:xfrm>
          <a:off x="6715125" y="1200150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76200</xdr:colOff>
      <xdr:row>7</xdr:row>
      <xdr:rowOff>0</xdr:rowOff>
    </xdr:to>
    <xdr:sp macro="" textlink="">
      <xdr:nvSpPr>
        <xdr:cNvPr id="20" name="Text Box 1">
          <a:extLst>
            <a:ext uri="{FF2B5EF4-FFF2-40B4-BE49-F238E27FC236}">
              <a16:creationId xmlns:a16="http://schemas.microsoft.com/office/drawing/2014/main" id="{799908F2-0C50-45FF-9AC6-94FEDDCEE788}"/>
            </a:ext>
          </a:extLst>
        </xdr:cNvPr>
        <xdr:cNvSpPr txBox="1">
          <a:spLocks noChangeArrowheads="1"/>
        </xdr:cNvSpPr>
      </xdr:nvSpPr>
      <xdr:spPr bwMode="auto">
        <a:xfrm>
          <a:off x="6715125" y="1200150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76200</xdr:colOff>
      <xdr:row>7</xdr:row>
      <xdr:rowOff>0</xdr:rowOff>
    </xdr:to>
    <xdr:sp macro="" textlink="">
      <xdr:nvSpPr>
        <xdr:cNvPr id="21" name="Text Box 1">
          <a:extLst>
            <a:ext uri="{FF2B5EF4-FFF2-40B4-BE49-F238E27FC236}">
              <a16:creationId xmlns:a16="http://schemas.microsoft.com/office/drawing/2014/main" id="{696C541C-669D-4635-ACF4-A9B138558718}"/>
            </a:ext>
          </a:extLst>
        </xdr:cNvPr>
        <xdr:cNvSpPr txBox="1">
          <a:spLocks noChangeArrowheads="1"/>
        </xdr:cNvSpPr>
      </xdr:nvSpPr>
      <xdr:spPr bwMode="auto">
        <a:xfrm>
          <a:off x="6715125" y="1200150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76200</xdr:colOff>
      <xdr:row>7</xdr:row>
      <xdr:rowOff>0</xdr:rowOff>
    </xdr:to>
    <xdr:sp macro="" textlink="">
      <xdr:nvSpPr>
        <xdr:cNvPr id="22" name="Text Box 2">
          <a:extLst>
            <a:ext uri="{FF2B5EF4-FFF2-40B4-BE49-F238E27FC236}">
              <a16:creationId xmlns:a16="http://schemas.microsoft.com/office/drawing/2014/main" id="{3A52E139-ABF9-477F-B20C-27EC6C0FF54E}"/>
            </a:ext>
          </a:extLst>
        </xdr:cNvPr>
        <xdr:cNvSpPr txBox="1">
          <a:spLocks noChangeArrowheads="1"/>
        </xdr:cNvSpPr>
      </xdr:nvSpPr>
      <xdr:spPr bwMode="auto">
        <a:xfrm>
          <a:off x="6715125" y="1200150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76200</xdr:colOff>
      <xdr:row>7</xdr:row>
      <xdr:rowOff>0</xdr:rowOff>
    </xdr:to>
    <xdr:sp macro="" textlink="">
      <xdr:nvSpPr>
        <xdr:cNvPr id="23" name="Text Box 1">
          <a:extLst>
            <a:ext uri="{FF2B5EF4-FFF2-40B4-BE49-F238E27FC236}">
              <a16:creationId xmlns:a16="http://schemas.microsoft.com/office/drawing/2014/main" id="{F5D1FC88-901B-4D96-B504-B2308B1985A4}"/>
            </a:ext>
          </a:extLst>
        </xdr:cNvPr>
        <xdr:cNvSpPr txBox="1">
          <a:spLocks noChangeArrowheads="1"/>
        </xdr:cNvSpPr>
      </xdr:nvSpPr>
      <xdr:spPr bwMode="auto">
        <a:xfrm>
          <a:off x="6715125" y="1200150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76200</xdr:colOff>
      <xdr:row>7</xdr:row>
      <xdr:rowOff>0</xdr:rowOff>
    </xdr:to>
    <xdr:sp macro="" textlink="">
      <xdr:nvSpPr>
        <xdr:cNvPr id="24" name="Text Box 1">
          <a:extLst>
            <a:ext uri="{FF2B5EF4-FFF2-40B4-BE49-F238E27FC236}">
              <a16:creationId xmlns:a16="http://schemas.microsoft.com/office/drawing/2014/main" id="{0BA301EF-AE0B-4F27-A075-21BA087DDC88}"/>
            </a:ext>
          </a:extLst>
        </xdr:cNvPr>
        <xdr:cNvSpPr txBox="1">
          <a:spLocks noChangeArrowheads="1"/>
        </xdr:cNvSpPr>
      </xdr:nvSpPr>
      <xdr:spPr bwMode="auto">
        <a:xfrm>
          <a:off x="6715125" y="1200150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6</xdr:row>
      <xdr:rowOff>0</xdr:rowOff>
    </xdr:from>
    <xdr:to>
      <xdr:col>4</xdr:col>
      <xdr:colOff>76200</xdr:colOff>
      <xdr:row>7</xdr:row>
      <xdr:rowOff>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A3628DC0-6F5F-4AD8-BF4F-DA8C8F12E7D7}"/>
            </a:ext>
          </a:extLst>
        </xdr:cNvPr>
        <xdr:cNvSpPr txBox="1">
          <a:spLocks noChangeArrowheads="1"/>
        </xdr:cNvSpPr>
      </xdr:nvSpPr>
      <xdr:spPr bwMode="auto">
        <a:xfrm>
          <a:off x="6715125" y="1200150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76200</xdr:colOff>
      <xdr:row>7</xdr:row>
      <xdr:rowOff>0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6DF13264-9CD1-497E-96CB-24C6B0F34B6E}"/>
            </a:ext>
          </a:extLst>
        </xdr:cNvPr>
        <xdr:cNvSpPr txBox="1">
          <a:spLocks noChangeArrowheads="1"/>
        </xdr:cNvSpPr>
      </xdr:nvSpPr>
      <xdr:spPr bwMode="auto">
        <a:xfrm>
          <a:off x="6715125" y="1200150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76200</xdr:colOff>
      <xdr:row>7</xdr:row>
      <xdr:rowOff>0</xdr:rowOff>
    </xdr:to>
    <xdr:sp macro="" textlink="">
      <xdr:nvSpPr>
        <xdr:cNvPr id="4" name="Text Box 1">
          <a:extLst>
            <a:ext uri="{FF2B5EF4-FFF2-40B4-BE49-F238E27FC236}">
              <a16:creationId xmlns:a16="http://schemas.microsoft.com/office/drawing/2014/main" id="{32F17408-05D3-4BD7-A47D-009DA88E74BA}"/>
            </a:ext>
          </a:extLst>
        </xdr:cNvPr>
        <xdr:cNvSpPr txBox="1">
          <a:spLocks noChangeArrowheads="1"/>
        </xdr:cNvSpPr>
      </xdr:nvSpPr>
      <xdr:spPr bwMode="auto">
        <a:xfrm>
          <a:off x="6715125" y="1200150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76200</xdr:colOff>
      <xdr:row>7</xdr:row>
      <xdr:rowOff>0</xdr:rowOff>
    </xdr:to>
    <xdr:sp macro="" textlink="">
      <xdr:nvSpPr>
        <xdr:cNvPr id="5" name="Text Box 1">
          <a:extLst>
            <a:ext uri="{FF2B5EF4-FFF2-40B4-BE49-F238E27FC236}">
              <a16:creationId xmlns:a16="http://schemas.microsoft.com/office/drawing/2014/main" id="{8F7F26F1-BBE1-4097-981B-B08846D2BEE5}"/>
            </a:ext>
          </a:extLst>
        </xdr:cNvPr>
        <xdr:cNvSpPr txBox="1">
          <a:spLocks noChangeArrowheads="1"/>
        </xdr:cNvSpPr>
      </xdr:nvSpPr>
      <xdr:spPr bwMode="auto">
        <a:xfrm>
          <a:off x="6715125" y="1200150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76200</xdr:colOff>
      <xdr:row>7</xdr:row>
      <xdr:rowOff>0</xdr:rowOff>
    </xdr:to>
    <xdr:sp macro="" textlink="">
      <xdr:nvSpPr>
        <xdr:cNvPr id="6" name="Text Box 1">
          <a:extLst>
            <a:ext uri="{FF2B5EF4-FFF2-40B4-BE49-F238E27FC236}">
              <a16:creationId xmlns:a16="http://schemas.microsoft.com/office/drawing/2014/main" id="{C12E507F-2677-4684-B3B4-1C53875D25AE}"/>
            </a:ext>
          </a:extLst>
        </xdr:cNvPr>
        <xdr:cNvSpPr txBox="1">
          <a:spLocks noChangeArrowheads="1"/>
        </xdr:cNvSpPr>
      </xdr:nvSpPr>
      <xdr:spPr bwMode="auto">
        <a:xfrm>
          <a:off x="6715125" y="1200150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76200</xdr:colOff>
      <xdr:row>7</xdr:row>
      <xdr:rowOff>0</xdr:rowOff>
    </xdr:to>
    <xdr:sp macro="" textlink="">
      <xdr:nvSpPr>
        <xdr:cNvPr id="7" name="Text Box 2">
          <a:extLst>
            <a:ext uri="{FF2B5EF4-FFF2-40B4-BE49-F238E27FC236}">
              <a16:creationId xmlns:a16="http://schemas.microsoft.com/office/drawing/2014/main" id="{77A9A237-9781-4907-8A93-628B6D2E1588}"/>
            </a:ext>
          </a:extLst>
        </xdr:cNvPr>
        <xdr:cNvSpPr txBox="1">
          <a:spLocks noChangeArrowheads="1"/>
        </xdr:cNvSpPr>
      </xdr:nvSpPr>
      <xdr:spPr bwMode="auto">
        <a:xfrm>
          <a:off x="6715125" y="1200150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76200</xdr:colOff>
      <xdr:row>7</xdr:row>
      <xdr:rowOff>0</xdr:rowOff>
    </xdr:to>
    <xdr:sp macro="" textlink="">
      <xdr:nvSpPr>
        <xdr:cNvPr id="8" name="Text Box 1">
          <a:extLst>
            <a:ext uri="{FF2B5EF4-FFF2-40B4-BE49-F238E27FC236}">
              <a16:creationId xmlns:a16="http://schemas.microsoft.com/office/drawing/2014/main" id="{129FEEF2-8678-4A8C-AE01-BA9286A7F27D}"/>
            </a:ext>
          </a:extLst>
        </xdr:cNvPr>
        <xdr:cNvSpPr txBox="1">
          <a:spLocks noChangeArrowheads="1"/>
        </xdr:cNvSpPr>
      </xdr:nvSpPr>
      <xdr:spPr bwMode="auto">
        <a:xfrm>
          <a:off x="6715125" y="1200150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76200</xdr:colOff>
      <xdr:row>7</xdr:row>
      <xdr:rowOff>0</xdr:rowOff>
    </xdr:to>
    <xdr:sp macro="" textlink="">
      <xdr:nvSpPr>
        <xdr:cNvPr id="9" name="Text Box 1">
          <a:extLst>
            <a:ext uri="{FF2B5EF4-FFF2-40B4-BE49-F238E27FC236}">
              <a16:creationId xmlns:a16="http://schemas.microsoft.com/office/drawing/2014/main" id="{32EEBE54-EE63-450B-8001-ED7D1B5FBDCC}"/>
            </a:ext>
          </a:extLst>
        </xdr:cNvPr>
        <xdr:cNvSpPr txBox="1">
          <a:spLocks noChangeArrowheads="1"/>
        </xdr:cNvSpPr>
      </xdr:nvSpPr>
      <xdr:spPr bwMode="auto">
        <a:xfrm>
          <a:off x="6715125" y="1200150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76200</xdr:colOff>
      <xdr:row>7</xdr:row>
      <xdr:rowOff>0</xdr:rowOff>
    </xdr:to>
    <xdr:sp macro="" textlink="">
      <xdr:nvSpPr>
        <xdr:cNvPr id="10" name="Text Box 1">
          <a:extLst>
            <a:ext uri="{FF2B5EF4-FFF2-40B4-BE49-F238E27FC236}">
              <a16:creationId xmlns:a16="http://schemas.microsoft.com/office/drawing/2014/main" id="{4A26BCC0-2D89-4F6F-81A6-CDFCF7EF35A0}"/>
            </a:ext>
          </a:extLst>
        </xdr:cNvPr>
        <xdr:cNvSpPr txBox="1">
          <a:spLocks noChangeArrowheads="1"/>
        </xdr:cNvSpPr>
      </xdr:nvSpPr>
      <xdr:spPr bwMode="auto">
        <a:xfrm>
          <a:off x="6715125" y="1200150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76200</xdr:colOff>
      <xdr:row>7</xdr:row>
      <xdr:rowOff>0</xdr:rowOff>
    </xdr:to>
    <xdr:sp macro="" textlink="">
      <xdr:nvSpPr>
        <xdr:cNvPr id="11" name="Text Box 2">
          <a:extLst>
            <a:ext uri="{FF2B5EF4-FFF2-40B4-BE49-F238E27FC236}">
              <a16:creationId xmlns:a16="http://schemas.microsoft.com/office/drawing/2014/main" id="{B1330E36-6834-44F7-9ECF-C53951D40125}"/>
            </a:ext>
          </a:extLst>
        </xdr:cNvPr>
        <xdr:cNvSpPr txBox="1">
          <a:spLocks noChangeArrowheads="1"/>
        </xdr:cNvSpPr>
      </xdr:nvSpPr>
      <xdr:spPr bwMode="auto">
        <a:xfrm>
          <a:off x="6715125" y="1200150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76200</xdr:colOff>
      <xdr:row>7</xdr:row>
      <xdr:rowOff>0</xdr:rowOff>
    </xdr:to>
    <xdr:sp macro="" textlink="">
      <xdr:nvSpPr>
        <xdr:cNvPr id="12" name="Text Box 1">
          <a:extLst>
            <a:ext uri="{FF2B5EF4-FFF2-40B4-BE49-F238E27FC236}">
              <a16:creationId xmlns:a16="http://schemas.microsoft.com/office/drawing/2014/main" id="{230E8DB5-BDFD-4229-9C18-D72CADDAC583}"/>
            </a:ext>
          </a:extLst>
        </xdr:cNvPr>
        <xdr:cNvSpPr txBox="1">
          <a:spLocks noChangeArrowheads="1"/>
        </xdr:cNvSpPr>
      </xdr:nvSpPr>
      <xdr:spPr bwMode="auto">
        <a:xfrm>
          <a:off x="6715125" y="1200150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76200</xdr:colOff>
      <xdr:row>7</xdr:row>
      <xdr:rowOff>0</xdr:rowOff>
    </xdr:to>
    <xdr:sp macro="" textlink="">
      <xdr:nvSpPr>
        <xdr:cNvPr id="13" name="Text Box 1">
          <a:extLst>
            <a:ext uri="{FF2B5EF4-FFF2-40B4-BE49-F238E27FC236}">
              <a16:creationId xmlns:a16="http://schemas.microsoft.com/office/drawing/2014/main" id="{8EA75603-85B1-425E-8C53-DC38ACC18F72}"/>
            </a:ext>
          </a:extLst>
        </xdr:cNvPr>
        <xdr:cNvSpPr txBox="1">
          <a:spLocks noChangeArrowheads="1"/>
        </xdr:cNvSpPr>
      </xdr:nvSpPr>
      <xdr:spPr bwMode="auto">
        <a:xfrm>
          <a:off x="6715125" y="1200150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76200</xdr:colOff>
      <xdr:row>7</xdr:row>
      <xdr:rowOff>0</xdr:rowOff>
    </xdr:to>
    <xdr:sp macro="" textlink="">
      <xdr:nvSpPr>
        <xdr:cNvPr id="14" name="Text Box 1">
          <a:extLst>
            <a:ext uri="{FF2B5EF4-FFF2-40B4-BE49-F238E27FC236}">
              <a16:creationId xmlns:a16="http://schemas.microsoft.com/office/drawing/2014/main" id="{1B6DBDFA-2B30-4C43-95AC-5B04E5C7C8E4}"/>
            </a:ext>
          </a:extLst>
        </xdr:cNvPr>
        <xdr:cNvSpPr txBox="1">
          <a:spLocks noChangeArrowheads="1"/>
        </xdr:cNvSpPr>
      </xdr:nvSpPr>
      <xdr:spPr bwMode="auto">
        <a:xfrm>
          <a:off x="6715125" y="1200150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76200</xdr:colOff>
      <xdr:row>7</xdr:row>
      <xdr:rowOff>0</xdr:rowOff>
    </xdr:to>
    <xdr:sp macro="" textlink="">
      <xdr:nvSpPr>
        <xdr:cNvPr id="15" name="Text Box 2">
          <a:extLst>
            <a:ext uri="{FF2B5EF4-FFF2-40B4-BE49-F238E27FC236}">
              <a16:creationId xmlns:a16="http://schemas.microsoft.com/office/drawing/2014/main" id="{FE77FBA6-2D0A-45F3-B02C-9D3D044E24FF}"/>
            </a:ext>
          </a:extLst>
        </xdr:cNvPr>
        <xdr:cNvSpPr txBox="1">
          <a:spLocks noChangeArrowheads="1"/>
        </xdr:cNvSpPr>
      </xdr:nvSpPr>
      <xdr:spPr bwMode="auto">
        <a:xfrm>
          <a:off x="6715125" y="1200150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76200</xdr:colOff>
      <xdr:row>7</xdr:row>
      <xdr:rowOff>0</xdr:rowOff>
    </xdr:to>
    <xdr:sp macro="" textlink="">
      <xdr:nvSpPr>
        <xdr:cNvPr id="16" name="Text Box 1">
          <a:extLst>
            <a:ext uri="{FF2B5EF4-FFF2-40B4-BE49-F238E27FC236}">
              <a16:creationId xmlns:a16="http://schemas.microsoft.com/office/drawing/2014/main" id="{9C87FB9B-26FA-416A-9FD2-406BEB718A4A}"/>
            </a:ext>
          </a:extLst>
        </xdr:cNvPr>
        <xdr:cNvSpPr txBox="1">
          <a:spLocks noChangeArrowheads="1"/>
        </xdr:cNvSpPr>
      </xdr:nvSpPr>
      <xdr:spPr bwMode="auto">
        <a:xfrm>
          <a:off x="6715125" y="1200150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76200</xdr:colOff>
      <xdr:row>7</xdr:row>
      <xdr:rowOff>0</xdr:rowOff>
    </xdr:to>
    <xdr:sp macro="" textlink="">
      <xdr:nvSpPr>
        <xdr:cNvPr id="17" name="Text Box 1">
          <a:extLst>
            <a:ext uri="{FF2B5EF4-FFF2-40B4-BE49-F238E27FC236}">
              <a16:creationId xmlns:a16="http://schemas.microsoft.com/office/drawing/2014/main" id="{0E45BB71-67EB-47C5-B0A2-F8C089BB2723}"/>
            </a:ext>
          </a:extLst>
        </xdr:cNvPr>
        <xdr:cNvSpPr txBox="1">
          <a:spLocks noChangeArrowheads="1"/>
        </xdr:cNvSpPr>
      </xdr:nvSpPr>
      <xdr:spPr bwMode="auto">
        <a:xfrm>
          <a:off x="6715125" y="1200150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76200</xdr:colOff>
      <xdr:row>7</xdr:row>
      <xdr:rowOff>0</xdr:rowOff>
    </xdr:to>
    <xdr:sp macro="" textlink="">
      <xdr:nvSpPr>
        <xdr:cNvPr id="18" name="Text Box 2">
          <a:extLst>
            <a:ext uri="{FF2B5EF4-FFF2-40B4-BE49-F238E27FC236}">
              <a16:creationId xmlns:a16="http://schemas.microsoft.com/office/drawing/2014/main" id="{521B7195-90EC-4872-95C3-A789A4F7EBDB}"/>
            </a:ext>
          </a:extLst>
        </xdr:cNvPr>
        <xdr:cNvSpPr txBox="1">
          <a:spLocks noChangeArrowheads="1"/>
        </xdr:cNvSpPr>
      </xdr:nvSpPr>
      <xdr:spPr bwMode="auto">
        <a:xfrm>
          <a:off x="6715125" y="1200150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76200</xdr:colOff>
      <xdr:row>7</xdr:row>
      <xdr:rowOff>0</xdr:rowOff>
    </xdr:to>
    <xdr:sp macro="" textlink="">
      <xdr:nvSpPr>
        <xdr:cNvPr id="19" name="Text Box 1">
          <a:extLst>
            <a:ext uri="{FF2B5EF4-FFF2-40B4-BE49-F238E27FC236}">
              <a16:creationId xmlns:a16="http://schemas.microsoft.com/office/drawing/2014/main" id="{439D01A9-319A-452E-84D6-0E231494766A}"/>
            </a:ext>
          </a:extLst>
        </xdr:cNvPr>
        <xdr:cNvSpPr txBox="1">
          <a:spLocks noChangeArrowheads="1"/>
        </xdr:cNvSpPr>
      </xdr:nvSpPr>
      <xdr:spPr bwMode="auto">
        <a:xfrm>
          <a:off x="6715125" y="1200150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76200</xdr:colOff>
      <xdr:row>7</xdr:row>
      <xdr:rowOff>0</xdr:rowOff>
    </xdr:to>
    <xdr:sp macro="" textlink="">
      <xdr:nvSpPr>
        <xdr:cNvPr id="20" name="Text Box 1">
          <a:extLst>
            <a:ext uri="{FF2B5EF4-FFF2-40B4-BE49-F238E27FC236}">
              <a16:creationId xmlns:a16="http://schemas.microsoft.com/office/drawing/2014/main" id="{FEE77FFE-9664-4A6B-A0CE-48DE78BF4498}"/>
            </a:ext>
          </a:extLst>
        </xdr:cNvPr>
        <xdr:cNvSpPr txBox="1">
          <a:spLocks noChangeArrowheads="1"/>
        </xdr:cNvSpPr>
      </xdr:nvSpPr>
      <xdr:spPr bwMode="auto">
        <a:xfrm>
          <a:off x="6715125" y="1200150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76200</xdr:colOff>
      <xdr:row>7</xdr:row>
      <xdr:rowOff>0</xdr:rowOff>
    </xdr:to>
    <xdr:sp macro="" textlink="">
      <xdr:nvSpPr>
        <xdr:cNvPr id="21" name="Text Box 1">
          <a:extLst>
            <a:ext uri="{FF2B5EF4-FFF2-40B4-BE49-F238E27FC236}">
              <a16:creationId xmlns:a16="http://schemas.microsoft.com/office/drawing/2014/main" id="{F52DC6F7-4358-4E9B-87A2-FC82ACF9C075}"/>
            </a:ext>
          </a:extLst>
        </xdr:cNvPr>
        <xdr:cNvSpPr txBox="1">
          <a:spLocks noChangeArrowheads="1"/>
        </xdr:cNvSpPr>
      </xdr:nvSpPr>
      <xdr:spPr bwMode="auto">
        <a:xfrm>
          <a:off x="6715125" y="1200150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76200</xdr:colOff>
      <xdr:row>7</xdr:row>
      <xdr:rowOff>0</xdr:rowOff>
    </xdr:to>
    <xdr:sp macro="" textlink="">
      <xdr:nvSpPr>
        <xdr:cNvPr id="22" name="Text Box 2">
          <a:extLst>
            <a:ext uri="{FF2B5EF4-FFF2-40B4-BE49-F238E27FC236}">
              <a16:creationId xmlns:a16="http://schemas.microsoft.com/office/drawing/2014/main" id="{48CF1C23-BF0E-4E3E-86CD-649C0AA8B38B}"/>
            </a:ext>
          </a:extLst>
        </xdr:cNvPr>
        <xdr:cNvSpPr txBox="1">
          <a:spLocks noChangeArrowheads="1"/>
        </xdr:cNvSpPr>
      </xdr:nvSpPr>
      <xdr:spPr bwMode="auto">
        <a:xfrm>
          <a:off x="6715125" y="1200150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76200</xdr:colOff>
      <xdr:row>7</xdr:row>
      <xdr:rowOff>0</xdr:rowOff>
    </xdr:to>
    <xdr:sp macro="" textlink="">
      <xdr:nvSpPr>
        <xdr:cNvPr id="23" name="Text Box 1">
          <a:extLst>
            <a:ext uri="{FF2B5EF4-FFF2-40B4-BE49-F238E27FC236}">
              <a16:creationId xmlns:a16="http://schemas.microsoft.com/office/drawing/2014/main" id="{45458988-BA2F-4A0A-9D64-431FF8956A16}"/>
            </a:ext>
          </a:extLst>
        </xdr:cNvPr>
        <xdr:cNvSpPr txBox="1">
          <a:spLocks noChangeArrowheads="1"/>
        </xdr:cNvSpPr>
      </xdr:nvSpPr>
      <xdr:spPr bwMode="auto">
        <a:xfrm>
          <a:off x="6715125" y="1200150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76200</xdr:colOff>
      <xdr:row>7</xdr:row>
      <xdr:rowOff>0</xdr:rowOff>
    </xdr:to>
    <xdr:sp macro="" textlink="">
      <xdr:nvSpPr>
        <xdr:cNvPr id="24" name="Text Box 1">
          <a:extLst>
            <a:ext uri="{FF2B5EF4-FFF2-40B4-BE49-F238E27FC236}">
              <a16:creationId xmlns:a16="http://schemas.microsoft.com/office/drawing/2014/main" id="{B0013DA0-74C0-4646-B9AE-95A007BEB7E6}"/>
            </a:ext>
          </a:extLst>
        </xdr:cNvPr>
        <xdr:cNvSpPr txBox="1">
          <a:spLocks noChangeArrowheads="1"/>
        </xdr:cNvSpPr>
      </xdr:nvSpPr>
      <xdr:spPr bwMode="auto">
        <a:xfrm>
          <a:off x="6715125" y="1200150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S169"/>
  <sheetViews>
    <sheetView tabSelected="1" view="pageBreakPreview" topLeftCell="A133" zoomScaleSheetLayoutView="100" workbookViewId="0">
      <selection activeCell="H154" sqref="H154"/>
    </sheetView>
  </sheetViews>
  <sheetFormatPr defaultRowHeight="15.75" customHeight="1" x14ac:dyDescent="0.25"/>
  <cols>
    <col min="1" max="1" width="9.140625" style="2"/>
    <col min="2" max="2" width="56.7109375" style="2" customWidth="1"/>
    <col min="3" max="3" width="19.7109375" style="2" customWidth="1"/>
    <col min="4" max="4" width="9.140625" style="18"/>
    <col min="5" max="5" width="17.42578125" style="2" bestFit="1" customWidth="1"/>
    <col min="6" max="16384" width="9.140625" style="2"/>
  </cols>
  <sheetData>
    <row r="1" spans="1:253" s="1" customFormat="1" ht="15.75" customHeight="1" x14ac:dyDescent="0.25">
      <c r="B1" s="83" t="s">
        <v>1976</v>
      </c>
      <c r="C1" s="83"/>
    </row>
    <row r="2" spans="1:253" s="1" customFormat="1" ht="15.75" customHeight="1" x14ac:dyDescent="0.25">
      <c r="B2" s="83" t="s">
        <v>2398</v>
      </c>
      <c r="C2" s="83"/>
      <c r="D2" s="16"/>
    </row>
    <row r="3" spans="1:253" s="1" customFormat="1" ht="15.75" customHeight="1" thickBot="1" x14ac:dyDescent="0.3">
      <c r="D3" s="16"/>
    </row>
    <row r="4" spans="1:253" s="1" customFormat="1" ht="15.75" customHeight="1" thickTop="1" x14ac:dyDescent="0.25">
      <c r="B4" s="81" t="s">
        <v>1971</v>
      </c>
      <c r="C4" s="76" t="s">
        <v>1977</v>
      </c>
      <c r="D4" s="16"/>
    </row>
    <row r="5" spans="1:253" s="1" customFormat="1" ht="15.75" customHeight="1" thickBot="1" x14ac:dyDescent="0.3">
      <c r="B5" s="82" t="s">
        <v>0</v>
      </c>
      <c r="C5" s="77" t="s">
        <v>1</v>
      </c>
      <c r="D5" s="16"/>
    </row>
    <row r="6" spans="1:253" s="1" customFormat="1" ht="15.75" customHeight="1" thickTop="1" x14ac:dyDescent="0.25">
      <c r="C6" s="74"/>
      <c r="D6" s="16"/>
    </row>
    <row r="7" spans="1:253" s="3" customFormat="1" ht="15.75" customHeight="1" x14ac:dyDescent="0.25">
      <c r="A7" s="1"/>
      <c r="B7" s="29" t="s">
        <v>2413</v>
      </c>
      <c r="C7" s="42">
        <f>C9+C59+C115+C117+C119+C148+C121</f>
        <v>8081988</v>
      </c>
      <c r="D7" s="51"/>
      <c r="E7" s="52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</row>
    <row r="8" spans="1:253" s="3" customFormat="1" ht="15.75" customHeight="1" x14ac:dyDescent="0.25">
      <c r="A8" s="1"/>
      <c r="B8" s="30"/>
      <c r="C8" s="43"/>
      <c r="D8" s="51"/>
      <c r="E8" s="52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</row>
    <row r="9" spans="1:253" s="3" customFormat="1" ht="15.75" customHeight="1" x14ac:dyDescent="0.25">
      <c r="A9" s="1"/>
      <c r="B9" s="35" t="s">
        <v>250</v>
      </c>
      <c r="C9" s="44">
        <f>+C10+C11+C12+C13+C14+C15+C16+C17+C18+C19+C20+C21+C22+C23+C24+C25+C26+C27+C28+C29+C30+C31+C32+C33+C34+C35+C36+C37+C38+C39+C40+C41+C42+C43+C44+C45+C46+C47+C48+C49+C50+C51+C52+C53+C54+C55+C56+C57</f>
        <v>1394329</v>
      </c>
      <c r="D9" s="51"/>
      <c r="E9" s="52"/>
      <c r="F9" s="1"/>
    </row>
    <row r="10" spans="1:253" s="3" customFormat="1" ht="15.75" customHeight="1" x14ac:dyDescent="0.25">
      <c r="A10" s="1"/>
      <c r="B10" s="36" t="s">
        <v>251</v>
      </c>
      <c r="C10" s="45">
        <f>bohol!$D$9</f>
        <v>11246</v>
      </c>
      <c r="D10" s="51"/>
      <c r="E10" s="52"/>
      <c r="F10" s="17"/>
    </row>
    <row r="11" spans="1:253" s="6" customFormat="1" ht="15.75" customHeight="1" x14ac:dyDescent="0.25">
      <c r="A11" s="1"/>
      <c r="B11" s="36" t="s">
        <v>1950</v>
      </c>
      <c r="C11" s="46">
        <f>bohol!$D$22</f>
        <v>24374</v>
      </c>
      <c r="D11" s="51"/>
      <c r="E11" s="52"/>
      <c r="F11" s="17"/>
    </row>
    <row r="12" spans="1:253" s="6" customFormat="1" ht="15.75" customHeight="1" x14ac:dyDescent="0.25">
      <c r="A12" s="1"/>
      <c r="B12" s="36" t="s">
        <v>274</v>
      </c>
      <c r="C12" s="46">
        <f>bohol!$D$39</f>
        <v>17778</v>
      </c>
      <c r="D12" s="51"/>
      <c r="E12" s="52"/>
      <c r="F12" s="1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7"/>
      <c r="BP12" s="7"/>
      <c r="BQ12" s="7"/>
      <c r="BR12" s="7"/>
      <c r="BS12" s="7"/>
      <c r="BT12" s="7"/>
      <c r="BU12" s="7"/>
      <c r="BV12" s="7"/>
      <c r="BW12" s="7"/>
      <c r="BX12" s="7"/>
      <c r="BY12" s="7"/>
      <c r="BZ12" s="7"/>
      <c r="CA12" s="7"/>
      <c r="CB12" s="7"/>
      <c r="CC12" s="7"/>
      <c r="CD12" s="7"/>
      <c r="CE12" s="7"/>
      <c r="CF12" s="7"/>
      <c r="CG12" s="7"/>
      <c r="CH12" s="7"/>
      <c r="CI12" s="7"/>
      <c r="CJ12" s="7"/>
      <c r="CK12" s="7"/>
      <c r="CL12" s="7"/>
      <c r="CM12" s="7"/>
      <c r="CN12" s="7"/>
      <c r="CO12" s="7"/>
      <c r="CP12" s="7"/>
      <c r="CQ12" s="7"/>
      <c r="CR12" s="7"/>
      <c r="CS12" s="7"/>
      <c r="CT12" s="7"/>
      <c r="CU12" s="7"/>
      <c r="CV12" s="7"/>
      <c r="CW12" s="7"/>
      <c r="CX12" s="7"/>
      <c r="CY12" s="7"/>
      <c r="CZ12" s="7"/>
      <c r="DA12" s="7"/>
      <c r="DB12" s="7"/>
      <c r="DC12" s="7"/>
      <c r="DD12" s="7"/>
      <c r="DE12" s="7"/>
      <c r="DF12" s="7"/>
      <c r="DG12" s="7"/>
      <c r="DH12" s="7"/>
      <c r="DI12" s="7"/>
      <c r="DJ12" s="7"/>
      <c r="DK12" s="7"/>
      <c r="DL12" s="7"/>
      <c r="DM12" s="7"/>
      <c r="DN12" s="7"/>
      <c r="DO12" s="7"/>
      <c r="DP12" s="7"/>
      <c r="DQ12" s="7"/>
      <c r="DR12" s="7"/>
      <c r="DS12" s="7"/>
      <c r="DT12" s="7"/>
      <c r="DU12" s="7"/>
      <c r="DV12" s="7"/>
      <c r="DW12" s="7"/>
      <c r="DX12" s="7"/>
      <c r="DY12" s="7"/>
      <c r="DZ12" s="7"/>
      <c r="EA12" s="7"/>
      <c r="EB12" s="7"/>
      <c r="EC12" s="7"/>
      <c r="ED12" s="7"/>
      <c r="EE12" s="7"/>
      <c r="EF12" s="7"/>
      <c r="EG12" s="7"/>
      <c r="EH12" s="7"/>
      <c r="EI12" s="7"/>
      <c r="EJ12" s="7"/>
      <c r="EK12" s="7"/>
      <c r="EL12" s="7"/>
      <c r="EM12" s="7"/>
      <c r="EN12" s="7"/>
      <c r="EO12" s="7"/>
      <c r="EP12" s="7"/>
      <c r="EQ12" s="7"/>
      <c r="ER12" s="7"/>
      <c r="ES12" s="7"/>
      <c r="ET12" s="7"/>
      <c r="EU12" s="7"/>
      <c r="EV12" s="7"/>
      <c r="EW12" s="7"/>
      <c r="EX12" s="7"/>
      <c r="EY12" s="7"/>
      <c r="EZ12" s="7"/>
      <c r="FA12" s="7"/>
      <c r="FB12" s="7"/>
      <c r="FC12" s="7"/>
      <c r="FD12" s="7"/>
      <c r="FE12" s="7"/>
      <c r="FF12" s="7"/>
      <c r="FG12" s="7"/>
      <c r="FH12" s="7"/>
      <c r="FI12" s="7"/>
      <c r="FJ12" s="7"/>
      <c r="FK12" s="7"/>
      <c r="FL12" s="7"/>
      <c r="FM12" s="7"/>
      <c r="FN12" s="7"/>
      <c r="FO12" s="7"/>
      <c r="FP12" s="7"/>
      <c r="FQ12" s="7"/>
      <c r="FR12" s="7"/>
      <c r="FS12" s="7"/>
      <c r="FT12" s="7"/>
      <c r="FU12" s="7"/>
      <c r="FV12" s="7"/>
      <c r="FW12" s="7"/>
      <c r="FX12" s="7"/>
      <c r="FY12" s="7"/>
      <c r="FZ12" s="7"/>
      <c r="GA12" s="7"/>
      <c r="GB12" s="7"/>
      <c r="GC12" s="7"/>
      <c r="GD12" s="7"/>
      <c r="GE12" s="7"/>
      <c r="GF12" s="7"/>
      <c r="GG12" s="7"/>
      <c r="GH12" s="7"/>
      <c r="GI12" s="7"/>
      <c r="GJ12" s="7"/>
      <c r="GK12" s="7"/>
      <c r="GL12" s="7"/>
      <c r="GM12" s="7"/>
      <c r="GN12" s="7"/>
      <c r="GO12" s="7"/>
      <c r="GP12" s="7"/>
      <c r="GQ12" s="7"/>
      <c r="GR12" s="7"/>
      <c r="GS12" s="7"/>
      <c r="GT12" s="7"/>
      <c r="GU12" s="7"/>
      <c r="GV12" s="7"/>
      <c r="GW12" s="7"/>
      <c r="GX12" s="7"/>
      <c r="GY12" s="7"/>
      <c r="GZ12" s="7"/>
      <c r="HA12" s="7"/>
      <c r="HB12" s="7"/>
      <c r="HC12" s="7"/>
      <c r="HD12" s="7"/>
      <c r="HE12" s="7"/>
      <c r="HF12" s="7"/>
      <c r="HG12" s="7"/>
      <c r="HH12" s="7"/>
      <c r="HI12" s="7"/>
      <c r="HJ12" s="7"/>
      <c r="HK12" s="7"/>
      <c r="HL12" s="7"/>
      <c r="HM12" s="7"/>
      <c r="HN12" s="7"/>
      <c r="HO12" s="7"/>
      <c r="HP12" s="7"/>
      <c r="HQ12" s="7"/>
      <c r="HR12" s="7"/>
      <c r="HS12" s="7"/>
      <c r="HT12" s="7"/>
      <c r="HU12" s="7"/>
      <c r="HV12" s="7"/>
      <c r="HW12" s="7"/>
      <c r="HX12" s="7"/>
      <c r="HY12" s="7"/>
      <c r="HZ12" s="7"/>
      <c r="IA12" s="7"/>
      <c r="IB12" s="7"/>
      <c r="IC12" s="7"/>
      <c r="ID12" s="7"/>
      <c r="IE12" s="7"/>
      <c r="IF12" s="7"/>
      <c r="IG12" s="7"/>
      <c r="IH12" s="7"/>
      <c r="II12" s="7"/>
      <c r="IJ12" s="7"/>
      <c r="IK12" s="7"/>
      <c r="IL12" s="7"/>
      <c r="IM12" s="7"/>
      <c r="IN12" s="7"/>
      <c r="IO12" s="7"/>
      <c r="IP12" s="7"/>
      <c r="IQ12" s="7"/>
      <c r="IR12" s="7"/>
      <c r="IS12" s="7"/>
    </row>
    <row r="13" spans="1:253" s="6" customFormat="1" ht="15.75" customHeight="1" x14ac:dyDescent="0.25">
      <c r="A13" s="1"/>
      <c r="B13" s="36" t="s">
        <v>284</v>
      </c>
      <c r="C13" s="46">
        <f>bohol!$D$57</f>
        <v>14990</v>
      </c>
      <c r="D13" s="51"/>
      <c r="E13" s="52"/>
      <c r="F13" s="17"/>
    </row>
    <row r="14" spans="1:253" s="6" customFormat="1" ht="15.75" customHeight="1" x14ac:dyDescent="0.25">
      <c r="A14" s="1"/>
      <c r="B14" s="37" t="s">
        <v>303</v>
      </c>
      <c r="C14" s="46">
        <f>bohol!$D$79</f>
        <v>22461</v>
      </c>
      <c r="D14" s="51"/>
      <c r="E14" s="52"/>
      <c r="F14" s="17"/>
    </row>
    <row r="15" spans="1:253" s="6" customFormat="1" ht="15.75" customHeight="1" x14ac:dyDescent="0.25">
      <c r="A15" s="1"/>
      <c r="B15" s="36" t="s">
        <v>1951</v>
      </c>
      <c r="C15" s="46">
        <f>bohol!$D$98</f>
        <v>18694</v>
      </c>
      <c r="D15" s="51"/>
      <c r="E15" s="52"/>
      <c r="F15" s="17"/>
    </row>
    <row r="16" spans="1:253" s="6" customFormat="1" ht="15.75" customHeight="1" x14ac:dyDescent="0.25">
      <c r="A16" s="1"/>
      <c r="B16" s="36" t="s">
        <v>340</v>
      </c>
      <c r="C16" s="46">
        <f>bohol!$D$131</f>
        <v>13845</v>
      </c>
      <c r="D16" s="51"/>
      <c r="E16" s="52"/>
      <c r="F16" s="17"/>
    </row>
    <row r="17" spans="1:253" s="6" customFormat="1" ht="15.75" customHeight="1" x14ac:dyDescent="0.25">
      <c r="A17" s="1"/>
      <c r="B17" s="36" t="s">
        <v>1952</v>
      </c>
      <c r="C17" s="46">
        <f>bohol!$D$148</f>
        <v>18512</v>
      </c>
      <c r="D17" s="51"/>
      <c r="E17" s="52"/>
      <c r="F17" s="17"/>
    </row>
    <row r="18" spans="1:253" s="6" customFormat="1" ht="15.75" customHeight="1" x14ac:dyDescent="0.25">
      <c r="A18" s="1"/>
      <c r="B18" s="36" t="s">
        <v>1953</v>
      </c>
      <c r="C18" s="46">
        <f>bohol!$D$169</f>
        <v>29711</v>
      </c>
      <c r="D18" s="51"/>
      <c r="E18" s="52"/>
      <c r="F18" s="17"/>
    </row>
    <row r="19" spans="1:253" s="6" customFormat="1" ht="15.75" customHeight="1" x14ac:dyDescent="0.25">
      <c r="A19" s="1"/>
      <c r="B19" s="36" t="s">
        <v>392</v>
      </c>
      <c r="C19" s="46">
        <f>bohol!$D$206</f>
        <v>33079</v>
      </c>
      <c r="D19" s="51"/>
      <c r="E19" s="52"/>
      <c r="F19" s="17"/>
    </row>
    <row r="20" spans="1:253" s="6" customFormat="1" ht="15.75" customHeight="1" x14ac:dyDescent="0.25">
      <c r="A20" s="1"/>
      <c r="B20" s="36" t="s">
        <v>420</v>
      </c>
      <c r="C20" s="45">
        <f>bohol!$D$241</f>
        <v>30119</v>
      </c>
      <c r="D20" s="51"/>
      <c r="E20" s="52"/>
      <c r="F20" s="17"/>
    </row>
    <row r="21" spans="1:253" s="6" customFormat="1" ht="15.75" customHeight="1" x14ac:dyDescent="0.25">
      <c r="A21" s="1"/>
      <c r="B21" s="36" t="s">
        <v>436</v>
      </c>
      <c r="C21" s="46">
        <f>bohol!$D$264</f>
        <v>49191</v>
      </c>
      <c r="D21" s="51"/>
      <c r="E21" s="52"/>
      <c r="F21" s="17"/>
    </row>
    <row r="22" spans="1:253" s="6" customFormat="1" ht="15.75" customHeight="1" x14ac:dyDescent="0.25">
      <c r="A22" s="1"/>
      <c r="B22" s="36" t="s">
        <v>1954</v>
      </c>
      <c r="C22" s="46">
        <f>bohol!$D$295</f>
        <v>23805</v>
      </c>
      <c r="D22" s="51"/>
      <c r="E22" s="52"/>
      <c r="F22" s="17"/>
    </row>
    <row r="23" spans="1:253" s="6" customFormat="1" ht="15.75" customHeight="1" x14ac:dyDescent="0.25">
      <c r="A23" s="1"/>
      <c r="B23" s="36" t="s">
        <v>1955</v>
      </c>
      <c r="C23" s="46">
        <f>bohol!$D$319</f>
        <v>21158</v>
      </c>
      <c r="D23" s="51"/>
      <c r="E23" s="52"/>
      <c r="F23" s="17"/>
    </row>
    <row r="24" spans="1:253" s="6" customFormat="1" ht="15.75" customHeight="1" x14ac:dyDescent="0.25">
      <c r="A24" s="1"/>
      <c r="B24" s="36" t="s">
        <v>491</v>
      </c>
      <c r="C24" s="46">
        <f>bohol!$D$345</f>
        <v>9479</v>
      </c>
      <c r="D24" s="51"/>
      <c r="E24" s="52"/>
      <c r="F24" s="17"/>
    </row>
    <row r="25" spans="1:253" s="6" customFormat="1" ht="15.75" customHeight="1" x14ac:dyDescent="0.25">
      <c r="A25" s="1"/>
      <c r="B25" s="36" t="s">
        <v>498</v>
      </c>
      <c r="C25" s="46">
        <f>bohol!$D$355</f>
        <v>18344</v>
      </c>
      <c r="D25" s="51"/>
      <c r="E25" s="52"/>
      <c r="F25" s="17"/>
    </row>
    <row r="26" spans="1:253" s="7" customFormat="1" ht="15.75" customHeight="1" x14ac:dyDescent="0.25">
      <c r="A26" s="1"/>
      <c r="B26" s="36" t="s">
        <v>1956</v>
      </c>
      <c r="C26" s="46">
        <f>bohol!$D$371</f>
        <v>19874</v>
      </c>
      <c r="D26" s="51"/>
      <c r="E26" s="52"/>
      <c r="F26" s="17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  <c r="DI26" s="6"/>
      <c r="DJ26" s="6"/>
      <c r="DK26" s="6"/>
      <c r="DL26" s="6"/>
      <c r="DM26" s="6"/>
      <c r="DN26" s="6"/>
      <c r="DO26" s="6"/>
      <c r="DP26" s="6"/>
      <c r="DQ26" s="6"/>
      <c r="DR26" s="6"/>
      <c r="DS26" s="6"/>
      <c r="DT26" s="6"/>
      <c r="DU26" s="6"/>
      <c r="DV26" s="6"/>
      <c r="DW26" s="6"/>
      <c r="DX26" s="6"/>
      <c r="DY26" s="6"/>
      <c r="DZ26" s="6"/>
      <c r="EA26" s="6"/>
      <c r="EB26" s="6"/>
      <c r="EC26" s="6"/>
      <c r="ED26" s="6"/>
      <c r="EE26" s="6"/>
      <c r="EF26" s="6"/>
      <c r="EG26" s="6"/>
      <c r="EH26" s="6"/>
      <c r="EI26" s="6"/>
      <c r="EJ26" s="6"/>
      <c r="EK26" s="6"/>
      <c r="EL26" s="6"/>
      <c r="EM26" s="6"/>
      <c r="EN26" s="6"/>
      <c r="EO26" s="6"/>
      <c r="EP26" s="6"/>
      <c r="EQ26" s="6"/>
      <c r="ER26" s="6"/>
      <c r="ES26" s="6"/>
      <c r="ET26" s="6"/>
      <c r="EU26" s="6"/>
      <c r="EV26" s="6"/>
      <c r="EW26" s="6"/>
      <c r="EX26" s="6"/>
      <c r="EY26" s="6"/>
      <c r="EZ26" s="6"/>
      <c r="FA26" s="6"/>
      <c r="FB26" s="6"/>
      <c r="FC26" s="6"/>
      <c r="FD26" s="6"/>
      <c r="FE26" s="6"/>
      <c r="FF26" s="6"/>
      <c r="FG26" s="6"/>
      <c r="FH26" s="6"/>
      <c r="FI26" s="6"/>
      <c r="FJ26" s="6"/>
      <c r="FK26" s="6"/>
      <c r="FL26" s="6"/>
      <c r="FM26" s="6"/>
      <c r="FN26" s="6"/>
      <c r="FO26" s="6"/>
      <c r="FP26" s="6"/>
      <c r="FQ26" s="6"/>
      <c r="FR26" s="6"/>
      <c r="FS26" s="6"/>
      <c r="FT26" s="6"/>
      <c r="FU26" s="6"/>
      <c r="FV26" s="6"/>
      <c r="FW26" s="6"/>
      <c r="FX26" s="6"/>
      <c r="FY26" s="6"/>
      <c r="FZ26" s="6"/>
      <c r="GA26" s="6"/>
      <c r="GB26" s="6"/>
      <c r="GC26" s="6"/>
      <c r="GD26" s="6"/>
      <c r="GE26" s="6"/>
      <c r="GF26" s="6"/>
      <c r="GG26" s="6"/>
      <c r="GH26" s="6"/>
      <c r="GI26" s="6"/>
      <c r="GJ26" s="6"/>
      <c r="GK26" s="6"/>
      <c r="GL26" s="6"/>
      <c r="GM26" s="6"/>
      <c r="GN26" s="6"/>
      <c r="GO26" s="6"/>
      <c r="GP26" s="6"/>
      <c r="GQ26" s="6"/>
      <c r="GR26" s="6"/>
      <c r="GS26" s="6"/>
      <c r="GT26" s="6"/>
      <c r="GU26" s="6"/>
      <c r="GV26" s="6"/>
      <c r="GW26" s="6"/>
      <c r="GX26" s="6"/>
      <c r="GY26" s="6"/>
      <c r="GZ26" s="6"/>
      <c r="HA26" s="6"/>
      <c r="HB26" s="6"/>
      <c r="HC26" s="6"/>
      <c r="HD26" s="6"/>
      <c r="HE26" s="6"/>
      <c r="HF26" s="6"/>
      <c r="HG26" s="6"/>
      <c r="HH26" s="6"/>
      <c r="HI26" s="6"/>
      <c r="HJ26" s="6"/>
      <c r="HK26" s="6"/>
      <c r="HL26" s="6"/>
      <c r="HM26" s="6"/>
      <c r="HN26" s="6"/>
      <c r="HO26" s="6"/>
      <c r="HP26" s="6"/>
      <c r="HQ26" s="6"/>
      <c r="HR26" s="6"/>
      <c r="HS26" s="6"/>
      <c r="HT26" s="6"/>
      <c r="HU26" s="6"/>
      <c r="HV26" s="6"/>
      <c r="HW26" s="6"/>
      <c r="HX26" s="6"/>
      <c r="HY26" s="6"/>
      <c r="HZ26" s="6"/>
      <c r="IA26" s="6"/>
      <c r="IB26" s="6"/>
      <c r="IC26" s="6"/>
      <c r="ID26" s="6"/>
      <c r="IE26" s="6"/>
      <c r="IF26" s="6"/>
      <c r="IG26" s="6"/>
      <c r="IH26" s="6"/>
      <c r="II26" s="6"/>
      <c r="IJ26" s="6"/>
      <c r="IK26" s="6"/>
      <c r="IL26" s="6"/>
      <c r="IM26" s="6"/>
      <c r="IN26" s="6"/>
      <c r="IO26" s="6"/>
      <c r="IP26" s="6"/>
      <c r="IQ26" s="6"/>
      <c r="IR26" s="6"/>
      <c r="IS26" s="6"/>
    </row>
    <row r="27" spans="1:253" s="3" customFormat="1" ht="15.75" customHeight="1" x14ac:dyDescent="0.25">
      <c r="A27" s="1"/>
      <c r="B27" s="36" t="s">
        <v>516</v>
      </c>
      <c r="C27" s="46">
        <f>bohol!$D$388</f>
        <v>20245</v>
      </c>
      <c r="D27" s="51"/>
      <c r="E27" s="52"/>
      <c r="F27" s="17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  <c r="DI27" s="6"/>
      <c r="DJ27" s="6"/>
      <c r="DK27" s="6"/>
      <c r="DL27" s="6"/>
      <c r="DM27" s="6"/>
      <c r="DN27" s="6"/>
      <c r="DO27" s="6"/>
      <c r="DP27" s="6"/>
      <c r="DQ27" s="6"/>
      <c r="DR27" s="6"/>
      <c r="DS27" s="6"/>
      <c r="DT27" s="6"/>
      <c r="DU27" s="6"/>
      <c r="DV27" s="6"/>
      <c r="DW27" s="6"/>
      <c r="DX27" s="6"/>
      <c r="DY27" s="6"/>
      <c r="DZ27" s="6"/>
      <c r="EA27" s="6"/>
      <c r="EB27" s="6"/>
      <c r="EC27" s="6"/>
      <c r="ED27" s="6"/>
      <c r="EE27" s="6"/>
      <c r="EF27" s="6"/>
      <c r="EG27" s="6"/>
      <c r="EH27" s="6"/>
      <c r="EI27" s="6"/>
      <c r="EJ27" s="6"/>
      <c r="EK27" s="6"/>
      <c r="EL27" s="6"/>
      <c r="EM27" s="6"/>
      <c r="EN27" s="6"/>
      <c r="EO27" s="6"/>
      <c r="EP27" s="6"/>
      <c r="EQ27" s="6"/>
      <c r="ER27" s="6"/>
      <c r="ES27" s="6"/>
      <c r="ET27" s="6"/>
      <c r="EU27" s="6"/>
      <c r="EV27" s="6"/>
      <c r="EW27" s="6"/>
      <c r="EX27" s="6"/>
      <c r="EY27" s="6"/>
      <c r="EZ27" s="6"/>
      <c r="FA27" s="6"/>
      <c r="FB27" s="6"/>
      <c r="FC27" s="6"/>
      <c r="FD27" s="6"/>
      <c r="FE27" s="6"/>
      <c r="FF27" s="6"/>
      <c r="FG27" s="6"/>
      <c r="FH27" s="6"/>
      <c r="FI27" s="6"/>
      <c r="FJ27" s="6"/>
      <c r="FK27" s="6"/>
      <c r="FL27" s="6"/>
      <c r="FM27" s="6"/>
      <c r="FN27" s="6"/>
      <c r="FO27" s="6"/>
      <c r="FP27" s="6"/>
      <c r="FQ27" s="6"/>
      <c r="FR27" s="6"/>
      <c r="FS27" s="6"/>
      <c r="FT27" s="6"/>
      <c r="FU27" s="6"/>
      <c r="FV27" s="6"/>
      <c r="FW27" s="6"/>
      <c r="FX27" s="6"/>
      <c r="FY27" s="6"/>
      <c r="FZ27" s="6"/>
      <c r="GA27" s="6"/>
      <c r="GB27" s="6"/>
      <c r="GC27" s="6"/>
      <c r="GD27" s="6"/>
      <c r="GE27" s="6"/>
      <c r="GF27" s="6"/>
      <c r="GG27" s="6"/>
      <c r="GH27" s="6"/>
      <c r="GI27" s="6"/>
      <c r="GJ27" s="6"/>
      <c r="GK27" s="6"/>
      <c r="GL27" s="6"/>
      <c r="GM27" s="6"/>
      <c r="GN27" s="6"/>
      <c r="GO27" s="6"/>
      <c r="GP27" s="6"/>
      <c r="GQ27" s="6"/>
      <c r="GR27" s="6"/>
      <c r="GS27" s="6"/>
      <c r="GT27" s="6"/>
      <c r="GU27" s="6"/>
      <c r="GV27" s="6"/>
      <c r="GW27" s="6"/>
      <c r="GX27" s="6"/>
      <c r="GY27" s="6"/>
      <c r="GZ27" s="6"/>
      <c r="HA27" s="6"/>
      <c r="HB27" s="6"/>
      <c r="HC27" s="6"/>
      <c r="HD27" s="6"/>
      <c r="HE27" s="6"/>
      <c r="HF27" s="6"/>
      <c r="HG27" s="6"/>
      <c r="HH27" s="6"/>
      <c r="HI27" s="6"/>
      <c r="HJ27" s="6"/>
      <c r="HK27" s="6"/>
      <c r="HL27" s="6"/>
      <c r="HM27" s="6"/>
      <c r="HN27" s="6"/>
      <c r="HO27" s="6"/>
      <c r="HP27" s="6"/>
      <c r="HQ27" s="6"/>
      <c r="HR27" s="6"/>
      <c r="HS27" s="6"/>
      <c r="HT27" s="6"/>
      <c r="HU27" s="6"/>
      <c r="HV27" s="6"/>
      <c r="HW27" s="6"/>
      <c r="HX27" s="6"/>
      <c r="HY27" s="6"/>
      <c r="HZ27" s="6"/>
      <c r="IA27" s="6"/>
      <c r="IB27" s="6"/>
      <c r="IC27" s="6"/>
      <c r="ID27" s="6"/>
      <c r="IE27" s="6"/>
      <c r="IF27" s="6"/>
      <c r="IG27" s="6"/>
      <c r="IH27" s="6"/>
      <c r="II27" s="6"/>
      <c r="IJ27" s="6"/>
      <c r="IK27" s="6"/>
      <c r="IL27" s="6"/>
      <c r="IM27" s="6"/>
      <c r="IN27" s="6"/>
      <c r="IO27" s="6"/>
      <c r="IP27" s="6"/>
      <c r="IQ27" s="6"/>
      <c r="IR27" s="6"/>
      <c r="IS27" s="6"/>
    </row>
    <row r="28" spans="1:253" s="8" customFormat="1" ht="15.75" customHeight="1" x14ac:dyDescent="0.25">
      <c r="A28" s="1"/>
      <c r="B28" s="36" t="s">
        <v>527</v>
      </c>
      <c r="C28" s="46">
        <f>bohol!$D$407</f>
        <v>52492</v>
      </c>
      <c r="D28" s="51"/>
      <c r="E28" s="52"/>
      <c r="F28" s="17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  <c r="DI28" s="6"/>
      <c r="DJ28" s="6"/>
      <c r="DK28" s="6"/>
      <c r="DL28" s="6"/>
      <c r="DM28" s="6"/>
      <c r="DN28" s="6"/>
      <c r="DO28" s="6"/>
      <c r="DP28" s="6"/>
      <c r="DQ28" s="6"/>
      <c r="DR28" s="6"/>
      <c r="DS28" s="6"/>
      <c r="DT28" s="6"/>
      <c r="DU28" s="6"/>
      <c r="DV28" s="6"/>
      <c r="DW28" s="6"/>
      <c r="DX28" s="6"/>
      <c r="DY28" s="6"/>
      <c r="DZ28" s="6"/>
      <c r="EA28" s="6"/>
      <c r="EB28" s="6"/>
      <c r="EC28" s="6"/>
      <c r="ED28" s="6"/>
      <c r="EE28" s="6"/>
      <c r="EF28" s="6"/>
      <c r="EG28" s="6"/>
      <c r="EH28" s="6"/>
      <c r="EI28" s="6"/>
      <c r="EJ28" s="6"/>
      <c r="EK28" s="6"/>
      <c r="EL28" s="6"/>
      <c r="EM28" s="6"/>
      <c r="EN28" s="6"/>
      <c r="EO28" s="6"/>
      <c r="EP28" s="6"/>
      <c r="EQ28" s="6"/>
      <c r="ER28" s="6"/>
      <c r="ES28" s="6"/>
      <c r="ET28" s="6"/>
      <c r="EU28" s="6"/>
      <c r="EV28" s="6"/>
      <c r="EW28" s="6"/>
      <c r="EX28" s="6"/>
      <c r="EY28" s="6"/>
      <c r="EZ28" s="6"/>
      <c r="FA28" s="6"/>
      <c r="FB28" s="6"/>
      <c r="FC28" s="6"/>
      <c r="FD28" s="6"/>
      <c r="FE28" s="6"/>
      <c r="FF28" s="6"/>
      <c r="FG28" s="6"/>
      <c r="FH28" s="6"/>
      <c r="FI28" s="6"/>
      <c r="FJ28" s="6"/>
      <c r="FK28" s="6"/>
      <c r="FL28" s="6"/>
      <c r="FM28" s="6"/>
      <c r="FN28" s="6"/>
      <c r="FO28" s="6"/>
      <c r="FP28" s="6"/>
      <c r="FQ28" s="6"/>
      <c r="FR28" s="6"/>
      <c r="FS28" s="6"/>
      <c r="FT28" s="6"/>
      <c r="FU28" s="6"/>
      <c r="FV28" s="6"/>
      <c r="FW28" s="6"/>
      <c r="FX28" s="6"/>
      <c r="FY28" s="6"/>
      <c r="FZ28" s="6"/>
      <c r="GA28" s="6"/>
      <c r="GB28" s="6"/>
      <c r="GC28" s="6"/>
      <c r="GD28" s="6"/>
      <c r="GE28" s="6"/>
      <c r="GF28" s="6"/>
      <c r="GG28" s="6"/>
      <c r="GH28" s="6"/>
      <c r="GI28" s="6"/>
      <c r="GJ28" s="6"/>
      <c r="GK28" s="6"/>
      <c r="GL28" s="6"/>
      <c r="GM28" s="6"/>
      <c r="GN28" s="6"/>
      <c r="GO28" s="6"/>
      <c r="GP28" s="6"/>
      <c r="GQ28" s="6"/>
      <c r="GR28" s="6"/>
      <c r="GS28" s="6"/>
      <c r="GT28" s="6"/>
      <c r="GU28" s="6"/>
      <c r="GV28" s="6"/>
      <c r="GW28" s="6"/>
      <c r="GX28" s="6"/>
      <c r="GY28" s="6"/>
      <c r="GZ28" s="6"/>
      <c r="HA28" s="6"/>
      <c r="HB28" s="6"/>
      <c r="HC28" s="6"/>
      <c r="HD28" s="6"/>
      <c r="HE28" s="6"/>
      <c r="HF28" s="6"/>
      <c r="HG28" s="6"/>
      <c r="HH28" s="6"/>
      <c r="HI28" s="6"/>
      <c r="HJ28" s="6"/>
      <c r="HK28" s="6"/>
      <c r="HL28" s="6"/>
      <c r="HM28" s="6"/>
      <c r="HN28" s="6"/>
      <c r="HO28" s="6"/>
      <c r="HP28" s="6"/>
      <c r="HQ28" s="6"/>
      <c r="HR28" s="6"/>
      <c r="HS28" s="6"/>
      <c r="HT28" s="6"/>
      <c r="HU28" s="6"/>
      <c r="HV28" s="6"/>
      <c r="HW28" s="6"/>
      <c r="HX28" s="6"/>
      <c r="HY28" s="6"/>
      <c r="HZ28" s="6"/>
      <c r="IA28" s="6"/>
      <c r="IB28" s="6"/>
      <c r="IC28" s="6"/>
      <c r="ID28" s="6"/>
      <c r="IE28" s="6"/>
      <c r="IF28" s="6"/>
      <c r="IG28" s="6"/>
      <c r="IH28" s="6"/>
      <c r="II28" s="6"/>
      <c r="IJ28" s="6"/>
      <c r="IK28" s="6"/>
      <c r="IL28" s="6"/>
      <c r="IM28" s="6"/>
      <c r="IN28" s="6"/>
      <c r="IO28" s="6"/>
      <c r="IP28" s="6"/>
      <c r="IQ28" s="6"/>
      <c r="IR28" s="6"/>
      <c r="IS28" s="6"/>
    </row>
    <row r="29" spans="1:253" s="6" customFormat="1" ht="15.75" customHeight="1" x14ac:dyDescent="0.25">
      <c r="A29" s="1"/>
      <c r="B29" s="36" t="s">
        <v>536</v>
      </c>
      <c r="C29" s="46">
        <f>bohol!$D$421</f>
        <v>14889</v>
      </c>
      <c r="D29" s="51"/>
      <c r="E29" s="52"/>
      <c r="F29" s="17"/>
    </row>
    <row r="30" spans="1:253" s="6" customFormat="1" ht="15.75" customHeight="1" x14ac:dyDescent="0.25">
      <c r="A30" s="1"/>
      <c r="B30" s="36" t="s">
        <v>569</v>
      </c>
      <c r="C30" s="46">
        <f>bohol!$D$458</f>
        <v>18861</v>
      </c>
      <c r="D30" s="51"/>
      <c r="E30" s="52"/>
      <c r="F30" s="17"/>
    </row>
    <row r="31" spans="1:253" s="6" customFormat="1" ht="15.75" customHeight="1" x14ac:dyDescent="0.25">
      <c r="A31" s="1"/>
      <c r="B31" s="36" t="s">
        <v>1959</v>
      </c>
      <c r="C31" s="46">
        <f>bohol!$D$481</f>
        <v>24430</v>
      </c>
      <c r="D31" s="51"/>
      <c r="E31" s="52"/>
      <c r="F31" s="17"/>
    </row>
    <row r="32" spans="1:253" s="6" customFormat="1" ht="15.75" customHeight="1" x14ac:dyDescent="0.25">
      <c r="A32" s="1"/>
      <c r="B32" s="36" t="s">
        <v>1960</v>
      </c>
      <c r="C32" s="46">
        <f>bohol!$D$513</f>
        <v>34104</v>
      </c>
      <c r="D32" s="51"/>
      <c r="E32" s="52"/>
      <c r="F32" s="17"/>
    </row>
    <row r="33" spans="1:253" s="6" customFormat="1" ht="15.75" customHeight="1" x14ac:dyDescent="0.25">
      <c r="A33" s="1"/>
      <c r="B33" s="36" t="s">
        <v>1961</v>
      </c>
      <c r="C33" s="46">
        <f>bohol!$D$534</f>
        <v>48534</v>
      </c>
      <c r="D33" s="51"/>
      <c r="E33" s="52"/>
      <c r="F33" s="17"/>
    </row>
    <row r="34" spans="1:253" s="6" customFormat="1" ht="15.75" customHeight="1" x14ac:dyDescent="0.25">
      <c r="A34" s="1"/>
      <c r="B34" s="36" t="s">
        <v>1962</v>
      </c>
      <c r="C34" s="46">
        <f>bohol!$D$586</f>
        <v>35832</v>
      </c>
      <c r="D34" s="51"/>
      <c r="E34" s="52"/>
      <c r="F34" s="17"/>
    </row>
    <row r="35" spans="1:253" s="6" customFormat="1" ht="15.75" customHeight="1" x14ac:dyDescent="0.25">
      <c r="A35" s="1"/>
      <c r="B35" s="36" t="s">
        <v>1947</v>
      </c>
      <c r="C35" s="46">
        <f>bohol!$D$621</f>
        <v>33422</v>
      </c>
      <c r="D35" s="51"/>
      <c r="E35" s="52"/>
      <c r="F35" s="17"/>
    </row>
    <row r="36" spans="1:253" s="6" customFormat="1" ht="15.75" customHeight="1" x14ac:dyDescent="0.25">
      <c r="A36" s="1"/>
      <c r="B36" s="36" t="s">
        <v>690</v>
      </c>
      <c r="C36" s="46">
        <f>bohol!$D$647</f>
        <v>12240</v>
      </c>
      <c r="D36" s="51"/>
      <c r="E36" s="52"/>
      <c r="F36" s="17"/>
    </row>
    <row r="37" spans="1:253" s="6" customFormat="1" ht="15.75" customHeight="1" x14ac:dyDescent="0.25">
      <c r="A37" s="1"/>
      <c r="B37" s="36" t="s">
        <v>1963</v>
      </c>
      <c r="C37" s="46">
        <f>bohol!$D$667</f>
        <v>17855</v>
      </c>
      <c r="D37" s="51"/>
      <c r="E37" s="52"/>
      <c r="F37" s="17"/>
    </row>
    <row r="38" spans="1:253" s="6" customFormat="1" ht="15.75" customHeight="1" x14ac:dyDescent="0.25">
      <c r="A38" s="1"/>
      <c r="B38" s="36" t="s">
        <v>1964</v>
      </c>
      <c r="C38" s="46">
        <f>bohol!$D$693</f>
        <v>17418</v>
      </c>
      <c r="D38" s="51"/>
      <c r="E38" s="52"/>
      <c r="F38" s="17"/>
    </row>
    <row r="39" spans="1:253" s="7" customFormat="1" ht="15.75" customHeight="1" x14ac:dyDescent="0.25">
      <c r="A39" s="1"/>
      <c r="B39" s="36" t="s">
        <v>1965</v>
      </c>
      <c r="C39" s="46">
        <f>bohol!$D$723</f>
        <v>44224</v>
      </c>
      <c r="D39" s="51"/>
      <c r="E39" s="52"/>
      <c r="F39" s="17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  <c r="DI39" s="6"/>
      <c r="DJ39" s="6"/>
      <c r="DK39" s="6"/>
      <c r="DL39" s="6"/>
      <c r="DM39" s="6"/>
      <c r="DN39" s="6"/>
      <c r="DO39" s="6"/>
      <c r="DP39" s="6"/>
      <c r="DQ39" s="6"/>
      <c r="DR39" s="6"/>
      <c r="DS39" s="6"/>
      <c r="DT39" s="6"/>
      <c r="DU39" s="6"/>
      <c r="DV39" s="6"/>
      <c r="DW39" s="6"/>
      <c r="DX39" s="6"/>
      <c r="DY39" s="6"/>
      <c r="DZ39" s="6"/>
      <c r="EA39" s="6"/>
      <c r="EB39" s="6"/>
      <c r="EC39" s="6"/>
      <c r="ED39" s="6"/>
      <c r="EE39" s="6"/>
      <c r="EF39" s="6"/>
      <c r="EG39" s="6"/>
      <c r="EH39" s="6"/>
      <c r="EI39" s="6"/>
      <c r="EJ39" s="6"/>
      <c r="EK39" s="6"/>
      <c r="EL39" s="6"/>
      <c r="EM39" s="6"/>
      <c r="EN39" s="6"/>
      <c r="EO39" s="6"/>
      <c r="EP39" s="6"/>
      <c r="EQ39" s="6"/>
      <c r="ER39" s="6"/>
      <c r="ES39" s="6"/>
      <c r="ET39" s="6"/>
      <c r="EU39" s="6"/>
      <c r="EV39" s="6"/>
      <c r="EW39" s="6"/>
      <c r="EX39" s="6"/>
      <c r="EY39" s="6"/>
      <c r="EZ39" s="6"/>
      <c r="FA39" s="6"/>
      <c r="FB39" s="6"/>
      <c r="FC39" s="6"/>
      <c r="FD39" s="6"/>
      <c r="FE39" s="6"/>
      <c r="FF39" s="6"/>
      <c r="FG39" s="6"/>
      <c r="FH39" s="6"/>
      <c r="FI39" s="6"/>
      <c r="FJ39" s="6"/>
      <c r="FK39" s="6"/>
      <c r="FL39" s="6"/>
      <c r="FM39" s="6"/>
      <c r="FN39" s="6"/>
      <c r="FO39" s="6"/>
      <c r="FP39" s="6"/>
      <c r="FQ39" s="6"/>
      <c r="FR39" s="6"/>
      <c r="FS39" s="6"/>
      <c r="FT39" s="6"/>
      <c r="FU39" s="6"/>
      <c r="FV39" s="6"/>
      <c r="FW39" s="6"/>
      <c r="FX39" s="6"/>
      <c r="FY39" s="6"/>
      <c r="FZ39" s="6"/>
      <c r="GA39" s="6"/>
      <c r="GB39" s="6"/>
      <c r="GC39" s="6"/>
      <c r="GD39" s="6"/>
      <c r="GE39" s="6"/>
      <c r="GF39" s="6"/>
      <c r="GG39" s="6"/>
      <c r="GH39" s="6"/>
      <c r="GI39" s="6"/>
      <c r="GJ39" s="6"/>
      <c r="GK39" s="6"/>
      <c r="GL39" s="6"/>
      <c r="GM39" s="6"/>
      <c r="GN39" s="6"/>
      <c r="GO39" s="6"/>
      <c r="GP39" s="6"/>
      <c r="GQ39" s="6"/>
      <c r="GR39" s="6"/>
      <c r="GS39" s="6"/>
      <c r="GT39" s="6"/>
      <c r="GU39" s="6"/>
      <c r="GV39" s="6"/>
      <c r="GW39" s="6"/>
      <c r="GX39" s="6"/>
      <c r="GY39" s="6"/>
      <c r="GZ39" s="6"/>
      <c r="HA39" s="6"/>
      <c r="HB39" s="6"/>
      <c r="HC39" s="6"/>
      <c r="HD39" s="6"/>
      <c r="HE39" s="6"/>
      <c r="HF39" s="6"/>
      <c r="HG39" s="6"/>
      <c r="HH39" s="6"/>
      <c r="HI39" s="6"/>
      <c r="HJ39" s="6"/>
      <c r="HK39" s="6"/>
      <c r="HL39" s="6"/>
      <c r="HM39" s="6"/>
      <c r="HN39" s="6"/>
      <c r="HO39" s="6"/>
      <c r="HP39" s="6"/>
      <c r="HQ39" s="6"/>
      <c r="HR39" s="6"/>
      <c r="HS39" s="6"/>
      <c r="HT39" s="6"/>
      <c r="HU39" s="6"/>
      <c r="HV39" s="6"/>
      <c r="HW39" s="6"/>
      <c r="HX39" s="6"/>
      <c r="HY39" s="6"/>
      <c r="HZ39" s="6"/>
      <c r="IA39" s="6"/>
      <c r="IB39" s="6"/>
      <c r="IC39" s="6"/>
      <c r="ID39" s="6"/>
      <c r="IE39" s="6"/>
      <c r="IF39" s="6"/>
      <c r="IG39" s="6"/>
      <c r="IH39" s="6"/>
      <c r="II39" s="6"/>
      <c r="IJ39" s="6"/>
      <c r="IK39" s="6"/>
      <c r="IL39" s="6"/>
      <c r="IM39" s="6"/>
      <c r="IN39" s="6"/>
      <c r="IO39" s="6"/>
      <c r="IP39" s="6"/>
      <c r="IQ39" s="6"/>
      <c r="IR39" s="6"/>
      <c r="IS39" s="6"/>
    </row>
    <row r="40" spans="1:253" s="3" customFormat="1" ht="15.75" customHeight="1" x14ac:dyDescent="0.25">
      <c r="A40" s="1"/>
      <c r="B40" s="36" t="s">
        <v>1966</v>
      </c>
      <c r="C40" s="46">
        <f>bohol!$D$792</f>
        <v>28701</v>
      </c>
      <c r="D40" s="51"/>
      <c r="E40" s="52"/>
      <c r="F40" s="17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  <c r="DI40" s="6"/>
      <c r="DJ40" s="6"/>
      <c r="DK40" s="6"/>
      <c r="DL40" s="6"/>
      <c r="DM40" s="6"/>
      <c r="DN40" s="6"/>
      <c r="DO40" s="6"/>
      <c r="DP40" s="6"/>
      <c r="DQ40" s="6"/>
      <c r="DR40" s="6"/>
      <c r="DS40" s="6"/>
      <c r="DT40" s="6"/>
      <c r="DU40" s="6"/>
      <c r="DV40" s="6"/>
      <c r="DW40" s="6"/>
      <c r="DX40" s="6"/>
      <c r="DY40" s="6"/>
      <c r="DZ40" s="6"/>
      <c r="EA40" s="6"/>
      <c r="EB40" s="6"/>
      <c r="EC40" s="6"/>
      <c r="ED40" s="6"/>
      <c r="EE40" s="6"/>
      <c r="EF40" s="6"/>
      <c r="EG40" s="6"/>
      <c r="EH40" s="6"/>
      <c r="EI40" s="6"/>
      <c r="EJ40" s="6"/>
      <c r="EK40" s="6"/>
      <c r="EL40" s="6"/>
      <c r="EM40" s="6"/>
      <c r="EN40" s="6"/>
      <c r="EO40" s="6"/>
      <c r="EP40" s="6"/>
      <c r="EQ40" s="6"/>
      <c r="ER40" s="6"/>
      <c r="ES40" s="6"/>
      <c r="ET40" s="6"/>
      <c r="EU40" s="6"/>
      <c r="EV40" s="6"/>
      <c r="EW40" s="6"/>
      <c r="EX40" s="6"/>
      <c r="EY40" s="6"/>
      <c r="EZ40" s="6"/>
      <c r="FA40" s="6"/>
      <c r="FB40" s="6"/>
      <c r="FC40" s="6"/>
      <c r="FD40" s="6"/>
      <c r="FE40" s="6"/>
      <c r="FF40" s="6"/>
      <c r="FG40" s="6"/>
      <c r="FH40" s="6"/>
      <c r="FI40" s="6"/>
      <c r="FJ40" s="6"/>
      <c r="FK40" s="6"/>
      <c r="FL40" s="6"/>
      <c r="FM40" s="6"/>
      <c r="FN40" s="6"/>
      <c r="FO40" s="6"/>
      <c r="FP40" s="6"/>
      <c r="FQ40" s="6"/>
      <c r="FR40" s="6"/>
      <c r="FS40" s="6"/>
      <c r="FT40" s="6"/>
      <c r="FU40" s="6"/>
      <c r="FV40" s="6"/>
      <c r="FW40" s="6"/>
      <c r="FX40" s="6"/>
      <c r="FY40" s="6"/>
      <c r="FZ40" s="6"/>
      <c r="GA40" s="6"/>
      <c r="GB40" s="6"/>
      <c r="GC40" s="6"/>
      <c r="GD40" s="6"/>
      <c r="GE40" s="6"/>
      <c r="GF40" s="6"/>
      <c r="GG40" s="6"/>
      <c r="GH40" s="6"/>
      <c r="GI40" s="6"/>
      <c r="GJ40" s="6"/>
      <c r="GK40" s="6"/>
      <c r="GL40" s="6"/>
      <c r="GM40" s="6"/>
      <c r="GN40" s="6"/>
      <c r="GO40" s="6"/>
      <c r="GP40" s="6"/>
      <c r="GQ40" s="6"/>
      <c r="GR40" s="6"/>
      <c r="GS40" s="6"/>
      <c r="GT40" s="6"/>
      <c r="GU40" s="6"/>
      <c r="GV40" s="6"/>
      <c r="GW40" s="6"/>
      <c r="GX40" s="6"/>
      <c r="GY40" s="6"/>
      <c r="GZ40" s="6"/>
      <c r="HA40" s="6"/>
      <c r="HB40" s="6"/>
      <c r="HC40" s="6"/>
      <c r="HD40" s="6"/>
      <c r="HE40" s="6"/>
      <c r="HF40" s="6"/>
      <c r="HG40" s="6"/>
      <c r="HH40" s="6"/>
      <c r="HI40" s="6"/>
      <c r="HJ40" s="6"/>
      <c r="HK40" s="6"/>
      <c r="HL40" s="6"/>
      <c r="HM40" s="6"/>
      <c r="HN40" s="6"/>
      <c r="HO40" s="6"/>
      <c r="HP40" s="6"/>
      <c r="HQ40" s="6"/>
      <c r="HR40" s="6"/>
      <c r="HS40" s="6"/>
      <c r="HT40" s="6"/>
      <c r="HU40" s="6"/>
      <c r="HV40" s="6"/>
      <c r="HW40" s="6"/>
      <c r="HX40" s="6"/>
      <c r="HY40" s="6"/>
      <c r="HZ40" s="6"/>
      <c r="IA40" s="6"/>
      <c r="IB40" s="6"/>
      <c r="IC40" s="6"/>
      <c r="ID40" s="6"/>
      <c r="IE40" s="6"/>
      <c r="IF40" s="6"/>
      <c r="IG40" s="6"/>
      <c r="IH40" s="6"/>
      <c r="II40" s="6"/>
      <c r="IJ40" s="6"/>
      <c r="IK40" s="6"/>
      <c r="IL40" s="6"/>
      <c r="IM40" s="6"/>
      <c r="IN40" s="6"/>
      <c r="IO40" s="6"/>
      <c r="IP40" s="6"/>
      <c r="IQ40" s="6"/>
      <c r="IR40" s="6"/>
      <c r="IS40" s="6"/>
    </row>
    <row r="41" spans="1:253" s="6" customFormat="1" ht="15.75" customHeight="1" x14ac:dyDescent="0.25">
      <c r="A41" s="1"/>
      <c r="B41" s="36" t="s">
        <v>813</v>
      </c>
      <c r="C41" s="46">
        <f>bohol!$D$816</f>
        <v>22178</v>
      </c>
      <c r="D41" s="51"/>
      <c r="E41" s="52"/>
      <c r="F41" s="17"/>
    </row>
    <row r="42" spans="1:253" s="6" customFormat="1" ht="15.75" customHeight="1" x14ac:dyDescent="0.25">
      <c r="A42" s="1"/>
      <c r="B42" s="36" t="s">
        <v>1967</v>
      </c>
      <c r="C42" s="46">
        <f>bohol!$D$840</f>
        <v>39839</v>
      </c>
      <c r="D42" s="51"/>
      <c r="E42" s="52"/>
      <c r="F42" s="17"/>
    </row>
    <row r="43" spans="1:253" s="6" customFormat="1" ht="15.75" customHeight="1" x14ac:dyDescent="0.25">
      <c r="A43" s="1"/>
      <c r="B43" s="36" t="s">
        <v>1519</v>
      </c>
      <c r="C43" s="46">
        <f>bohol!$D$852</f>
        <v>28693</v>
      </c>
      <c r="D43" s="51"/>
      <c r="E43" s="52"/>
      <c r="F43" s="17"/>
    </row>
    <row r="44" spans="1:253" s="6" customFormat="1" ht="15.75" customHeight="1" x14ac:dyDescent="0.25">
      <c r="A44" s="1"/>
      <c r="B44" s="36" t="s">
        <v>842</v>
      </c>
      <c r="C44" s="46">
        <f>bohol!$D$875</f>
        <v>23625</v>
      </c>
      <c r="D44" s="51"/>
      <c r="E44" s="52"/>
      <c r="F44" s="17"/>
    </row>
    <row r="45" spans="1:253" s="6" customFormat="1" ht="15.75" customHeight="1" x14ac:dyDescent="0.25">
      <c r="A45" s="1"/>
      <c r="B45" s="36" t="s">
        <v>858</v>
      </c>
      <c r="C45" s="46">
        <f>bohol!$D$900</f>
        <v>24335</v>
      </c>
      <c r="D45" s="51"/>
      <c r="E45" s="52"/>
      <c r="F45" s="17"/>
    </row>
    <row r="46" spans="1:253" s="6" customFormat="1" ht="15.75" customHeight="1" x14ac:dyDescent="0.25">
      <c r="A46" s="1"/>
      <c r="B46" s="36" t="s">
        <v>872</v>
      </c>
      <c r="C46" s="46">
        <f>bohol!$D$926</f>
        <v>9909</v>
      </c>
      <c r="D46" s="51"/>
      <c r="E46" s="52"/>
      <c r="F46" s="17"/>
    </row>
    <row r="47" spans="1:253" s="6" customFormat="1" ht="15.75" customHeight="1" x14ac:dyDescent="0.25">
      <c r="A47" s="1"/>
      <c r="B47" s="36" t="s">
        <v>214</v>
      </c>
      <c r="C47" s="46">
        <f>bohol!$D$940</f>
        <v>25356</v>
      </c>
      <c r="D47" s="51"/>
      <c r="E47" s="52"/>
      <c r="F47" s="17"/>
    </row>
    <row r="48" spans="1:253" s="6" customFormat="1" ht="15.75" customHeight="1" x14ac:dyDescent="0.25">
      <c r="A48" s="1"/>
      <c r="B48" s="36" t="s">
        <v>891</v>
      </c>
      <c r="C48" s="46">
        <f>bohol!$D$960</f>
        <v>11376</v>
      </c>
      <c r="D48" s="51"/>
      <c r="E48" s="52"/>
      <c r="F48" s="17"/>
    </row>
    <row r="49" spans="1:253" s="6" customFormat="1" ht="15.75" customHeight="1" x14ac:dyDescent="0.25">
      <c r="A49" s="1"/>
      <c r="B49" s="36" t="s">
        <v>1968</v>
      </c>
      <c r="C49" s="46">
        <f>bohol!$D$975</f>
        <v>26095</v>
      </c>
      <c r="D49" s="51"/>
      <c r="E49" s="52"/>
      <c r="F49" s="17"/>
    </row>
    <row r="50" spans="1:253" s="6" customFormat="1" ht="15.75" customHeight="1" x14ac:dyDescent="0.25">
      <c r="A50" s="1"/>
      <c r="B50" s="36" t="s">
        <v>913</v>
      </c>
      <c r="C50" s="46">
        <f>bohol!$D$999</f>
        <v>6906</v>
      </c>
      <c r="D50" s="51"/>
      <c r="E50" s="52"/>
      <c r="F50" s="17"/>
    </row>
    <row r="51" spans="1:253" s="6" customFormat="1" ht="15.75" customHeight="1" x14ac:dyDescent="0.25">
      <c r="A51" s="1"/>
      <c r="B51" s="36" t="s">
        <v>2404</v>
      </c>
      <c r="C51" s="46">
        <f>bohol!$D$1011</f>
        <v>104976</v>
      </c>
      <c r="D51" s="51"/>
      <c r="E51" s="52"/>
      <c r="F51" s="17"/>
    </row>
    <row r="52" spans="1:253" s="6" customFormat="1" ht="15.75" customHeight="1" x14ac:dyDescent="0.25">
      <c r="A52" s="1"/>
      <c r="B52" s="36" t="s">
        <v>929</v>
      </c>
      <c r="C52" s="46">
        <f>bohol!$D$1028</f>
        <v>71272</v>
      </c>
      <c r="D52" s="51"/>
      <c r="E52" s="52"/>
      <c r="F52" s="17"/>
    </row>
    <row r="53" spans="1:253" s="6" customFormat="1" ht="15.75" customHeight="1" x14ac:dyDescent="0.25">
      <c r="A53" s="1"/>
      <c r="B53" s="36" t="s">
        <v>1969</v>
      </c>
      <c r="C53" s="46">
        <f>bohol!$D$1055</f>
        <v>35119</v>
      </c>
      <c r="D53" s="51"/>
      <c r="E53" s="52"/>
      <c r="F53" s="17"/>
    </row>
    <row r="54" spans="1:253" s="6" customFormat="1" ht="15.75" customHeight="1" x14ac:dyDescent="0.25">
      <c r="A54" s="1"/>
      <c r="B54" s="36" t="s">
        <v>949</v>
      </c>
      <c r="C54" s="46">
        <f>bohol!$D$1077</f>
        <v>47886</v>
      </c>
      <c r="D54" s="51"/>
      <c r="E54" s="52"/>
      <c r="F54" s="17"/>
    </row>
    <row r="55" spans="1:253" s="6" customFormat="1" ht="15.75" customHeight="1" x14ac:dyDescent="0.25">
      <c r="A55" s="1"/>
      <c r="B55" s="36" t="s">
        <v>973</v>
      </c>
      <c r="C55" s="46">
        <f>bohol!$D$1113</f>
        <v>81799</v>
      </c>
      <c r="D55" s="51"/>
      <c r="E55" s="52"/>
      <c r="F55" s="17"/>
    </row>
    <row r="56" spans="1:253" s="6" customFormat="1" ht="15.75" customHeight="1" x14ac:dyDescent="0.25">
      <c r="A56" s="1"/>
      <c r="B56" s="36" t="s">
        <v>999</v>
      </c>
      <c r="C56" s="46">
        <f>bohol!$D$1159</f>
        <v>28392</v>
      </c>
      <c r="D56" s="51"/>
      <c r="E56" s="52"/>
      <c r="F56" s="17"/>
    </row>
    <row r="57" spans="1:253" s="6" customFormat="1" ht="15.75" customHeight="1" x14ac:dyDescent="0.25">
      <c r="A57" s="1"/>
      <c r="B57" s="36" t="s">
        <v>1025</v>
      </c>
      <c r="C57" s="46">
        <f>bohol!$D$1195</f>
        <v>26666</v>
      </c>
      <c r="D57" s="51"/>
      <c r="E57" s="52"/>
      <c r="F57" s="17"/>
    </row>
    <row r="58" spans="1:253" s="6" customFormat="1" ht="15.75" customHeight="1" x14ac:dyDescent="0.25">
      <c r="A58" s="1"/>
      <c r="B58" s="38"/>
      <c r="C58" s="47"/>
      <c r="D58" s="51"/>
      <c r="E58" s="52"/>
      <c r="F58" s="17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  <c r="DP58" s="2"/>
      <c r="DQ58" s="2"/>
      <c r="DR58" s="2"/>
      <c r="DS58" s="2"/>
      <c r="DT58" s="2"/>
      <c r="DU58" s="2"/>
      <c r="DV58" s="2"/>
      <c r="DW58" s="2"/>
      <c r="DX58" s="2"/>
      <c r="DY58" s="2"/>
      <c r="DZ58" s="2"/>
      <c r="EA58" s="2"/>
      <c r="EB58" s="2"/>
      <c r="EC58" s="2"/>
      <c r="ED58" s="2"/>
      <c r="EE58" s="2"/>
      <c r="EF58" s="2"/>
      <c r="EG58" s="2"/>
      <c r="EH58" s="2"/>
      <c r="EI58" s="2"/>
      <c r="EJ58" s="2"/>
      <c r="EK58" s="2"/>
      <c r="EL58" s="2"/>
      <c r="EM58" s="2"/>
      <c r="EN58" s="2"/>
      <c r="EO58" s="2"/>
      <c r="EP58" s="2"/>
      <c r="EQ58" s="2"/>
      <c r="ER58" s="2"/>
      <c r="ES58" s="2"/>
      <c r="ET58" s="2"/>
      <c r="EU58" s="2"/>
      <c r="EV58" s="2"/>
      <c r="EW58" s="2"/>
      <c r="EX58" s="2"/>
      <c r="EY58" s="2"/>
      <c r="EZ58" s="2"/>
      <c r="FA58" s="2"/>
      <c r="FB58" s="2"/>
      <c r="FC58" s="2"/>
      <c r="FD58" s="2"/>
      <c r="FE58" s="2"/>
      <c r="FF58" s="2"/>
      <c r="FG58" s="2"/>
      <c r="FH58" s="2"/>
      <c r="FI58" s="2"/>
      <c r="FJ58" s="2"/>
      <c r="FK58" s="2"/>
      <c r="FL58" s="2"/>
      <c r="FM58" s="2"/>
      <c r="FN58" s="2"/>
      <c r="FO58" s="2"/>
      <c r="FP58" s="2"/>
      <c r="FQ58" s="2"/>
      <c r="FR58" s="2"/>
      <c r="FS58" s="2"/>
      <c r="FT58" s="2"/>
      <c r="FU58" s="2"/>
      <c r="FV58" s="2"/>
      <c r="FW58" s="2"/>
      <c r="FX58" s="2"/>
      <c r="FY58" s="2"/>
      <c r="FZ58" s="2"/>
      <c r="GA58" s="2"/>
      <c r="GB58" s="2"/>
      <c r="GC58" s="2"/>
      <c r="GD58" s="2"/>
      <c r="GE58" s="2"/>
      <c r="GF58" s="2"/>
      <c r="GG58" s="2"/>
      <c r="GH58" s="2"/>
      <c r="GI58" s="2"/>
      <c r="GJ58" s="2"/>
      <c r="GK58" s="2"/>
      <c r="GL58" s="2"/>
      <c r="GM58" s="2"/>
      <c r="GN58" s="2"/>
      <c r="GO58" s="2"/>
      <c r="GP58" s="2"/>
      <c r="GQ58" s="2"/>
      <c r="GR58" s="2"/>
      <c r="GS58" s="2"/>
      <c r="GT58" s="2"/>
      <c r="GU58" s="2"/>
      <c r="GV58" s="2"/>
      <c r="GW58" s="2"/>
      <c r="GX58" s="2"/>
      <c r="GY58" s="2"/>
      <c r="GZ58" s="2"/>
      <c r="HA58" s="2"/>
      <c r="HB58" s="2"/>
      <c r="HC58" s="2"/>
      <c r="HD58" s="2"/>
      <c r="HE58" s="2"/>
      <c r="HF58" s="2"/>
      <c r="HG58" s="2"/>
      <c r="HH58" s="2"/>
      <c r="HI58" s="2"/>
      <c r="HJ58" s="2"/>
      <c r="HK58" s="2"/>
      <c r="HL58" s="2"/>
      <c r="HM58" s="2"/>
      <c r="HN58" s="2"/>
      <c r="HO58" s="2"/>
      <c r="HP58" s="2"/>
      <c r="HQ58" s="2"/>
      <c r="HR58" s="2"/>
      <c r="HS58" s="2"/>
      <c r="HT58" s="2"/>
      <c r="HU58" s="2"/>
      <c r="HV58" s="2"/>
      <c r="HW58" s="2"/>
      <c r="HX58" s="2"/>
      <c r="HY58" s="2"/>
      <c r="HZ58" s="2"/>
      <c r="IA58" s="2"/>
      <c r="IB58" s="2"/>
      <c r="IC58" s="2"/>
      <c r="ID58" s="2"/>
      <c r="IE58" s="2"/>
      <c r="IF58" s="2"/>
      <c r="IG58" s="2"/>
      <c r="IH58" s="2"/>
      <c r="II58" s="2"/>
      <c r="IJ58" s="2"/>
      <c r="IK58" s="2"/>
      <c r="IL58" s="2"/>
      <c r="IM58" s="2"/>
      <c r="IN58" s="2"/>
      <c r="IO58" s="2"/>
      <c r="IP58" s="2"/>
      <c r="IQ58" s="2"/>
      <c r="IR58" s="2"/>
      <c r="IS58" s="2"/>
    </row>
    <row r="59" spans="1:253" s="6" customFormat="1" ht="15.75" customHeight="1" x14ac:dyDescent="0.25">
      <c r="A59" s="1"/>
      <c r="B59" s="39" t="s">
        <v>1038</v>
      </c>
      <c r="C59" s="48">
        <f>+C60+C61+C62+C63+C64+C65+C66+C67+C68+C69+C70+C71+C72+C73+C74+C75+C76+C77+C78+C79+C80+C81+C82+C83+C84+C85+C86+C87+C89+C90+C91+C92+C93+C94+C95+C96+C97+C98+C99+C100+C101+C102+C103+C104+C105+C106+C107+C108+C109+C88</f>
        <v>3325385</v>
      </c>
      <c r="D59" s="51"/>
      <c r="E59" s="52"/>
      <c r="F59" s="17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  <c r="DP59" s="2"/>
      <c r="DQ59" s="2"/>
      <c r="DR59" s="2"/>
      <c r="DS59" s="2"/>
      <c r="DT59" s="2"/>
      <c r="DU59" s="2"/>
      <c r="DV59" s="2"/>
      <c r="DW59" s="2"/>
      <c r="DX59" s="2"/>
      <c r="DY59" s="2"/>
      <c r="DZ59" s="2"/>
      <c r="EA59" s="2"/>
      <c r="EB59" s="2"/>
      <c r="EC59" s="2"/>
      <c r="ED59" s="2"/>
      <c r="EE59" s="2"/>
      <c r="EF59" s="2"/>
      <c r="EG59" s="2"/>
      <c r="EH59" s="2"/>
      <c r="EI59" s="2"/>
      <c r="EJ59" s="2"/>
      <c r="EK59" s="2"/>
      <c r="EL59" s="2"/>
      <c r="EM59" s="2"/>
      <c r="EN59" s="2"/>
      <c r="EO59" s="2"/>
      <c r="EP59" s="2"/>
      <c r="EQ59" s="2"/>
      <c r="ER59" s="2"/>
      <c r="ES59" s="2"/>
      <c r="ET59" s="2"/>
      <c r="EU59" s="2"/>
      <c r="EV59" s="2"/>
      <c r="EW59" s="2"/>
      <c r="EX59" s="2"/>
      <c r="EY59" s="2"/>
      <c r="EZ59" s="2"/>
      <c r="FA59" s="2"/>
      <c r="FB59" s="2"/>
      <c r="FC59" s="2"/>
      <c r="FD59" s="2"/>
      <c r="FE59" s="2"/>
      <c r="FF59" s="2"/>
      <c r="FG59" s="2"/>
      <c r="FH59" s="2"/>
      <c r="FI59" s="2"/>
      <c r="FJ59" s="2"/>
      <c r="FK59" s="2"/>
      <c r="FL59" s="2"/>
      <c r="FM59" s="2"/>
      <c r="FN59" s="2"/>
      <c r="FO59" s="2"/>
      <c r="FP59" s="2"/>
      <c r="FQ59" s="2"/>
      <c r="FR59" s="2"/>
      <c r="FS59" s="2"/>
      <c r="FT59" s="2"/>
      <c r="FU59" s="2"/>
      <c r="FV59" s="2"/>
      <c r="FW59" s="2"/>
      <c r="FX59" s="2"/>
      <c r="FY59" s="2"/>
      <c r="FZ59" s="2"/>
      <c r="GA59" s="2"/>
      <c r="GB59" s="2"/>
      <c r="GC59" s="2"/>
      <c r="GD59" s="2"/>
      <c r="GE59" s="2"/>
      <c r="GF59" s="2"/>
      <c r="GG59" s="2"/>
      <c r="GH59" s="2"/>
      <c r="GI59" s="2"/>
      <c r="GJ59" s="2"/>
      <c r="GK59" s="2"/>
      <c r="GL59" s="2"/>
      <c r="GM59" s="2"/>
      <c r="GN59" s="2"/>
      <c r="GO59" s="2"/>
      <c r="GP59" s="2"/>
      <c r="GQ59" s="2"/>
      <c r="GR59" s="2"/>
      <c r="GS59" s="2"/>
      <c r="GT59" s="2"/>
      <c r="GU59" s="2"/>
      <c r="GV59" s="2"/>
      <c r="GW59" s="2"/>
      <c r="GX59" s="2"/>
      <c r="GY59" s="2"/>
      <c r="GZ59" s="2"/>
      <c r="HA59" s="2"/>
      <c r="HB59" s="2"/>
      <c r="HC59" s="2"/>
      <c r="HD59" s="2"/>
      <c r="HE59" s="2"/>
      <c r="HF59" s="2"/>
      <c r="HG59" s="2"/>
      <c r="HH59" s="2"/>
      <c r="HI59" s="2"/>
      <c r="HJ59" s="2"/>
      <c r="HK59" s="2"/>
      <c r="HL59" s="2"/>
      <c r="HM59" s="2"/>
      <c r="HN59" s="2"/>
      <c r="HO59" s="2"/>
      <c r="HP59" s="2"/>
      <c r="HQ59" s="2"/>
      <c r="HR59" s="2"/>
      <c r="HS59" s="2"/>
      <c r="HT59" s="2"/>
      <c r="HU59" s="2"/>
      <c r="HV59" s="2"/>
      <c r="HW59" s="2"/>
      <c r="HX59" s="2"/>
      <c r="HY59" s="2"/>
      <c r="HZ59" s="2"/>
      <c r="IA59" s="2"/>
      <c r="IB59" s="2"/>
      <c r="IC59" s="2"/>
      <c r="ID59" s="2"/>
      <c r="IE59" s="2"/>
      <c r="IF59" s="2"/>
      <c r="IG59" s="2"/>
      <c r="IH59" s="2"/>
      <c r="II59" s="2"/>
      <c r="IJ59" s="2"/>
      <c r="IK59" s="2"/>
      <c r="IL59" s="2"/>
      <c r="IM59" s="2"/>
      <c r="IN59" s="2"/>
      <c r="IO59" s="2"/>
      <c r="IP59" s="2"/>
      <c r="IQ59" s="2"/>
      <c r="IR59" s="2"/>
      <c r="IS59" s="2"/>
    </row>
    <row r="60" spans="1:253" s="6" customFormat="1" ht="15.75" customHeight="1" x14ac:dyDescent="0.25">
      <c r="A60" s="1"/>
      <c r="B60" s="40" t="s">
        <v>1039</v>
      </c>
      <c r="C60" s="45">
        <f>cebu!$D$9</f>
        <v>16910</v>
      </c>
      <c r="D60" s="51"/>
      <c r="E60" s="5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  <c r="DP60" s="2"/>
      <c r="DQ60" s="2"/>
      <c r="DR60" s="2"/>
      <c r="DS60" s="2"/>
      <c r="DT60" s="2"/>
      <c r="DU60" s="2"/>
      <c r="DV60" s="2"/>
      <c r="DW60" s="2"/>
      <c r="DX60" s="2"/>
      <c r="DY60" s="2"/>
      <c r="DZ60" s="2"/>
      <c r="EA60" s="2"/>
      <c r="EB60" s="2"/>
      <c r="EC60" s="2"/>
      <c r="ED60" s="2"/>
      <c r="EE60" s="2"/>
      <c r="EF60" s="2"/>
      <c r="EG60" s="2"/>
      <c r="EH60" s="2"/>
      <c r="EI60" s="2"/>
      <c r="EJ60" s="2"/>
      <c r="EK60" s="2"/>
      <c r="EL60" s="2"/>
      <c r="EM60" s="2"/>
      <c r="EN60" s="2"/>
      <c r="EO60" s="2"/>
      <c r="EP60" s="2"/>
      <c r="EQ60" s="2"/>
      <c r="ER60" s="2"/>
      <c r="ES60" s="2"/>
      <c r="ET60" s="2"/>
      <c r="EU60" s="2"/>
      <c r="EV60" s="2"/>
      <c r="EW60" s="2"/>
      <c r="EX60" s="2"/>
      <c r="EY60" s="2"/>
      <c r="EZ60" s="2"/>
      <c r="FA60" s="2"/>
      <c r="FB60" s="2"/>
      <c r="FC60" s="2"/>
      <c r="FD60" s="2"/>
      <c r="FE60" s="2"/>
      <c r="FF60" s="2"/>
      <c r="FG60" s="2"/>
      <c r="FH60" s="2"/>
      <c r="FI60" s="2"/>
      <c r="FJ60" s="2"/>
      <c r="FK60" s="2"/>
      <c r="FL60" s="2"/>
      <c r="FM60" s="2"/>
      <c r="FN60" s="2"/>
      <c r="FO60" s="2"/>
      <c r="FP60" s="2"/>
      <c r="FQ60" s="2"/>
      <c r="FR60" s="2"/>
      <c r="FS60" s="2"/>
      <c r="FT60" s="2"/>
      <c r="FU60" s="2"/>
      <c r="FV60" s="2"/>
      <c r="FW60" s="2"/>
      <c r="FX60" s="2"/>
      <c r="FY60" s="2"/>
      <c r="FZ60" s="2"/>
      <c r="GA60" s="2"/>
      <c r="GB60" s="2"/>
      <c r="GC60" s="2"/>
      <c r="GD60" s="2"/>
      <c r="GE60" s="2"/>
      <c r="GF60" s="2"/>
      <c r="GG60" s="2"/>
      <c r="GH60" s="2"/>
      <c r="GI60" s="2"/>
      <c r="GJ60" s="2"/>
      <c r="GK60" s="2"/>
      <c r="GL60" s="2"/>
      <c r="GM60" s="2"/>
      <c r="GN60" s="2"/>
      <c r="GO60" s="2"/>
      <c r="GP60" s="2"/>
      <c r="GQ60" s="2"/>
      <c r="GR60" s="2"/>
      <c r="GS60" s="2"/>
      <c r="GT60" s="2"/>
      <c r="GU60" s="2"/>
      <c r="GV60" s="2"/>
      <c r="GW60" s="2"/>
      <c r="GX60" s="2"/>
      <c r="GY60" s="2"/>
      <c r="GZ60" s="2"/>
      <c r="HA60" s="2"/>
      <c r="HB60" s="2"/>
      <c r="HC60" s="2"/>
      <c r="HD60" s="2"/>
      <c r="HE60" s="2"/>
      <c r="HF60" s="2"/>
      <c r="HG60" s="2"/>
      <c r="HH60" s="2"/>
      <c r="HI60" s="2"/>
      <c r="HJ60" s="2"/>
      <c r="HK60" s="2"/>
      <c r="HL60" s="2"/>
      <c r="HM60" s="2"/>
      <c r="HN60" s="2"/>
      <c r="HO60" s="2"/>
      <c r="HP60" s="2"/>
      <c r="HQ60" s="2"/>
      <c r="HR60" s="2"/>
      <c r="HS60" s="2"/>
      <c r="HT60" s="2"/>
      <c r="HU60" s="2"/>
      <c r="HV60" s="2"/>
      <c r="HW60" s="2"/>
      <c r="HX60" s="2"/>
      <c r="HY60" s="2"/>
      <c r="HZ60" s="2"/>
      <c r="IA60" s="2"/>
      <c r="IB60" s="2"/>
      <c r="IC60" s="2"/>
      <c r="ID60" s="2"/>
      <c r="IE60" s="2"/>
      <c r="IF60" s="2"/>
      <c r="IG60" s="2"/>
      <c r="IH60" s="2"/>
      <c r="II60" s="2"/>
      <c r="IJ60" s="2"/>
      <c r="IK60" s="2"/>
      <c r="IL60" s="2"/>
      <c r="IM60" s="2"/>
      <c r="IN60" s="2"/>
      <c r="IO60" s="2"/>
      <c r="IP60" s="2"/>
      <c r="IQ60" s="2"/>
      <c r="IR60" s="2"/>
      <c r="IS60" s="2"/>
    </row>
    <row r="61" spans="1:253" s="6" customFormat="1" ht="15.75" customHeight="1" x14ac:dyDescent="0.25">
      <c r="A61" s="1"/>
      <c r="B61" s="40" t="s">
        <v>1043</v>
      </c>
      <c r="C61" s="46">
        <f>cebu!$D$20</f>
        <v>19186</v>
      </c>
      <c r="D61" s="51"/>
      <c r="E61" s="5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  <c r="DP61" s="2"/>
      <c r="DQ61" s="2"/>
      <c r="DR61" s="2"/>
      <c r="DS61" s="2"/>
      <c r="DT61" s="2"/>
      <c r="DU61" s="2"/>
      <c r="DV61" s="2"/>
      <c r="DW61" s="2"/>
      <c r="DX61" s="2"/>
      <c r="DY61" s="2"/>
      <c r="DZ61" s="2"/>
      <c r="EA61" s="2"/>
      <c r="EB61" s="2"/>
      <c r="EC61" s="2"/>
      <c r="ED61" s="2"/>
      <c r="EE61" s="2"/>
      <c r="EF61" s="2"/>
      <c r="EG61" s="2"/>
      <c r="EH61" s="2"/>
      <c r="EI61" s="2"/>
      <c r="EJ61" s="2"/>
      <c r="EK61" s="2"/>
      <c r="EL61" s="2"/>
      <c r="EM61" s="2"/>
      <c r="EN61" s="2"/>
      <c r="EO61" s="2"/>
      <c r="EP61" s="2"/>
      <c r="EQ61" s="2"/>
      <c r="ER61" s="2"/>
      <c r="ES61" s="2"/>
      <c r="ET61" s="2"/>
      <c r="EU61" s="2"/>
      <c r="EV61" s="2"/>
      <c r="EW61" s="2"/>
      <c r="EX61" s="2"/>
      <c r="EY61" s="2"/>
      <c r="EZ61" s="2"/>
      <c r="FA61" s="2"/>
      <c r="FB61" s="2"/>
      <c r="FC61" s="2"/>
      <c r="FD61" s="2"/>
      <c r="FE61" s="2"/>
      <c r="FF61" s="2"/>
      <c r="FG61" s="2"/>
      <c r="FH61" s="2"/>
      <c r="FI61" s="2"/>
      <c r="FJ61" s="2"/>
      <c r="FK61" s="2"/>
      <c r="FL61" s="2"/>
      <c r="FM61" s="2"/>
      <c r="FN61" s="2"/>
      <c r="FO61" s="2"/>
      <c r="FP61" s="2"/>
      <c r="FQ61" s="2"/>
      <c r="FR61" s="2"/>
      <c r="FS61" s="2"/>
      <c r="FT61" s="2"/>
      <c r="FU61" s="2"/>
      <c r="FV61" s="2"/>
      <c r="FW61" s="2"/>
      <c r="FX61" s="2"/>
      <c r="FY61" s="2"/>
      <c r="FZ61" s="2"/>
      <c r="GA61" s="2"/>
      <c r="GB61" s="2"/>
      <c r="GC61" s="2"/>
      <c r="GD61" s="2"/>
      <c r="GE61" s="2"/>
      <c r="GF61" s="2"/>
      <c r="GG61" s="2"/>
      <c r="GH61" s="2"/>
      <c r="GI61" s="2"/>
      <c r="GJ61" s="2"/>
      <c r="GK61" s="2"/>
      <c r="GL61" s="2"/>
      <c r="GM61" s="2"/>
      <c r="GN61" s="2"/>
      <c r="GO61" s="2"/>
      <c r="GP61" s="2"/>
      <c r="GQ61" s="2"/>
      <c r="GR61" s="2"/>
      <c r="GS61" s="2"/>
      <c r="GT61" s="2"/>
      <c r="GU61" s="2"/>
      <c r="GV61" s="2"/>
      <c r="GW61" s="2"/>
      <c r="GX61" s="2"/>
      <c r="GY61" s="2"/>
      <c r="GZ61" s="2"/>
      <c r="HA61" s="2"/>
      <c r="HB61" s="2"/>
      <c r="HC61" s="2"/>
      <c r="HD61" s="2"/>
      <c r="HE61" s="2"/>
      <c r="HF61" s="2"/>
      <c r="HG61" s="2"/>
      <c r="HH61" s="2"/>
      <c r="HI61" s="2"/>
      <c r="HJ61" s="2"/>
      <c r="HK61" s="2"/>
      <c r="HL61" s="2"/>
      <c r="HM61" s="2"/>
      <c r="HN61" s="2"/>
      <c r="HO61" s="2"/>
      <c r="HP61" s="2"/>
      <c r="HQ61" s="2"/>
      <c r="HR61" s="2"/>
      <c r="HS61" s="2"/>
      <c r="HT61" s="2"/>
      <c r="HU61" s="2"/>
      <c r="HV61" s="2"/>
      <c r="HW61" s="2"/>
      <c r="HX61" s="2"/>
      <c r="HY61" s="2"/>
      <c r="HZ61" s="2"/>
      <c r="IA61" s="2"/>
      <c r="IB61" s="2"/>
      <c r="IC61" s="2"/>
      <c r="ID61" s="2"/>
      <c r="IE61" s="2"/>
      <c r="IF61" s="2"/>
      <c r="IG61" s="2"/>
      <c r="IH61" s="2"/>
      <c r="II61" s="2"/>
      <c r="IJ61" s="2"/>
      <c r="IK61" s="2"/>
      <c r="IL61" s="2"/>
      <c r="IM61" s="2"/>
      <c r="IN61" s="2"/>
      <c r="IO61" s="2"/>
      <c r="IP61" s="2"/>
      <c r="IQ61" s="2"/>
      <c r="IR61" s="2"/>
      <c r="IS61" s="2"/>
    </row>
    <row r="62" spans="1:253" s="8" customFormat="1" ht="15.75" customHeight="1" x14ac:dyDescent="0.25">
      <c r="A62" s="1"/>
      <c r="B62" s="40" t="s">
        <v>1049</v>
      </c>
      <c r="C62" s="45">
        <f>cebu!$D$30</f>
        <v>25620</v>
      </c>
      <c r="D62" s="51"/>
      <c r="E62" s="5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  <c r="DP62" s="2"/>
      <c r="DQ62" s="2"/>
      <c r="DR62" s="2"/>
      <c r="DS62" s="2"/>
      <c r="DT62" s="2"/>
      <c r="DU62" s="2"/>
      <c r="DV62" s="2"/>
      <c r="DW62" s="2"/>
      <c r="DX62" s="2"/>
      <c r="DY62" s="2"/>
      <c r="DZ62" s="2"/>
      <c r="EA62" s="2"/>
      <c r="EB62" s="2"/>
      <c r="EC62" s="2"/>
      <c r="ED62" s="2"/>
      <c r="EE62" s="2"/>
      <c r="EF62" s="2"/>
      <c r="EG62" s="2"/>
      <c r="EH62" s="2"/>
      <c r="EI62" s="2"/>
      <c r="EJ62" s="2"/>
      <c r="EK62" s="2"/>
      <c r="EL62" s="2"/>
      <c r="EM62" s="2"/>
      <c r="EN62" s="2"/>
      <c r="EO62" s="2"/>
      <c r="EP62" s="2"/>
      <c r="EQ62" s="2"/>
      <c r="ER62" s="2"/>
      <c r="ES62" s="2"/>
      <c r="ET62" s="2"/>
      <c r="EU62" s="2"/>
      <c r="EV62" s="2"/>
      <c r="EW62" s="2"/>
      <c r="EX62" s="2"/>
      <c r="EY62" s="2"/>
      <c r="EZ62" s="2"/>
      <c r="FA62" s="2"/>
      <c r="FB62" s="2"/>
      <c r="FC62" s="2"/>
      <c r="FD62" s="2"/>
      <c r="FE62" s="2"/>
      <c r="FF62" s="2"/>
      <c r="FG62" s="2"/>
      <c r="FH62" s="2"/>
      <c r="FI62" s="2"/>
      <c r="FJ62" s="2"/>
      <c r="FK62" s="2"/>
      <c r="FL62" s="2"/>
      <c r="FM62" s="2"/>
      <c r="FN62" s="2"/>
      <c r="FO62" s="2"/>
      <c r="FP62" s="2"/>
      <c r="FQ62" s="2"/>
      <c r="FR62" s="2"/>
      <c r="FS62" s="2"/>
      <c r="FT62" s="2"/>
      <c r="FU62" s="2"/>
      <c r="FV62" s="2"/>
      <c r="FW62" s="2"/>
      <c r="FX62" s="2"/>
      <c r="FY62" s="2"/>
      <c r="FZ62" s="2"/>
      <c r="GA62" s="2"/>
      <c r="GB62" s="2"/>
      <c r="GC62" s="2"/>
      <c r="GD62" s="2"/>
      <c r="GE62" s="2"/>
      <c r="GF62" s="2"/>
      <c r="GG62" s="2"/>
      <c r="GH62" s="2"/>
      <c r="GI62" s="2"/>
      <c r="GJ62" s="2"/>
      <c r="GK62" s="2"/>
      <c r="GL62" s="2"/>
      <c r="GM62" s="2"/>
      <c r="GN62" s="2"/>
      <c r="GO62" s="2"/>
      <c r="GP62" s="2"/>
      <c r="GQ62" s="2"/>
      <c r="GR62" s="2"/>
      <c r="GS62" s="2"/>
      <c r="GT62" s="2"/>
      <c r="GU62" s="2"/>
      <c r="GV62" s="2"/>
      <c r="GW62" s="2"/>
      <c r="GX62" s="2"/>
      <c r="GY62" s="2"/>
      <c r="GZ62" s="2"/>
      <c r="HA62" s="2"/>
      <c r="HB62" s="2"/>
      <c r="HC62" s="2"/>
      <c r="HD62" s="2"/>
      <c r="HE62" s="2"/>
      <c r="HF62" s="2"/>
      <c r="HG62" s="2"/>
      <c r="HH62" s="2"/>
      <c r="HI62" s="2"/>
      <c r="HJ62" s="2"/>
      <c r="HK62" s="2"/>
      <c r="HL62" s="2"/>
      <c r="HM62" s="2"/>
      <c r="HN62" s="2"/>
      <c r="HO62" s="2"/>
      <c r="HP62" s="2"/>
      <c r="HQ62" s="2"/>
      <c r="HR62" s="2"/>
      <c r="HS62" s="2"/>
      <c r="HT62" s="2"/>
      <c r="HU62" s="2"/>
      <c r="HV62" s="2"/>
      <c r="HW62" s="2"/>
      <c r="HX62" s="2"/>
      <c r="HY62" s="2"/>
      <c r="HZ62" s="2"/>
      <c r="IA62" s="2"/>
      <c r="IB62" s="2"/>
      <c r="IC62" s="2"/>
      <c r="ID62" s="2"/>
      <c r="IE62" s="2"/>
      <c r="IF62" s="2"/>
      <c r="IG62" s="2"/>
      <c r="IH62" s="2"/>
      <c r="II62" s="2"/>
      <c r="IJ62" s="2"/>
      <c r="IK62" s="2"/>
      <c r="IL62" s="2"/>
      <c r="IM62" s="2"/>
      <c r="IN62" s="2"/>
      <c r="IO62" s="2"/>
      <c r="IP62" s="2"/>
      <c r="IQ62" s="2"/>
      <c r="IR62" s="2"/>
      <c r="IS62" s="2"/>
    </row>
    <row r="63" spans="1:253" s="6" customFormat="1" ht="15.75" customHeight="1" x14ac:dyDescent="0.25">
      <c r="A63" s="1"/>
      <c r="B63" s="40" t="s">
        <v>1055</v>
      </c>
      <c r="C63" s="46">
        <f>cebu!$D$41</f>
        <v>34466</v>
      </c>
      <c r="D63" s="51"/>
      <c r="E63" s="5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  <c r="DP63" s="2"/>
      <c r="DQ63" s="2"/>
      <c r="DR63" s="2"/>
      <c r="DS63" s="2"/>
      <c r="DT63" s="2"/>
      <c r="DU63" s="2"/>
      <c r="DV63" s="2"/>
      <c r="DW63" s="2"/>
      <c r="DX63" s="2"/>
      <c r="DY63" s="2"/>
      <c r="DZ63" s="2"/>
      <c r="EA63" s="2"/>
      <c r="EB63" s="2"/>
      <c r="EC63" s="2"/>
      <c r="ED63" s="2"/>
      <c r="EE63" s="2"/>
      <c r="EF63" s="2"/>
      <c r="EG63" s="2"/>
      <c r="EH63" s="2"/>
      <c r="EI63" s="2"/>
      <c r="EJ63" s="2"/>
      <c r="EK63" s="2"/>
      <c r="EL63" s="2"/>
      <c r="EM63" s="2"/>
      <c r="EN63" s="2"/>
      <c r="EO63" s="2"/>
      <c r="EP63" s="2"/>
      <c r="EQ63" s="2"/>
      <c r="ER63" s="2"/>
      <c r="ES63" s="2"/>
      <c r="ET63" s="2"/>
      <c r="EU63" s="2"/>
      <c r="EV63" s="2"/>
      <c r="EW63" s="2"/>
      <c r="EX63" s="2"/>
      <c r="EY63" s="2"/>
      <c r="EZ63" s="2"/>
      <c r="FA63" s="2"/>
      <c r="FB63" s="2"/>
      <c r="FC63" s="2"/>
      <c r="FD63" s="2"/>
      <c r="FE63" s="2"/>
      <c r="FF63" s="2"/>
      <c r="FG63" s="2"/>
      <c r="FH63" s="2"/>
      <c r="FI63" s="2"/>
      <c r="FJ63" s="2"/>
      <c r="FK63" s="2"/>
      <c r="FL63" s="2"/>
      <c r="FM63" s="2"/>
      <c r="FN63" s="2"/>
      <c r="FO63" s="2"/>
      <c r="FP63" s="2"/>
      <c r="FQ63" s="2"/>
      <c r="FR63" s="2"/>
      <c r="FS63" s="2"/>
      <c r="FT63" s="2"/>
      <c r="FU63" s="2"/>
      <c r="FV63" s="2"/>
      <c r="FW63" s="2"/>
      <c r="FX63" s="2"/>
      <c r="FY63" s="2"/>
      <c r="FZ63" s="2"/>
      <c r="GA63" s="2"/>
      <c r="GB63" s="2"/>
      <c r="GC63" s="2"/>
      <c r="GD63" s="2"/>
      <c r="GE63" s="2"/>
      <c r="GF63" s="2"/>
      <c r="GG63" s="2"/>
      <c r="GH63" s="2"/>
      <c r="GI63" s="2"/>
      <c r="GJ63" s="2"/>
      <c r="GK63" s="2"/>
      <c r="GL63" s="2"/>
      <c r="GM63" s="2"/>
      <c r="GN63" s="2"/>
      <c r="GO63" s="2"/>
      <c r="GP63" s="2"/>
      <c r="GQ63" s="2"/>
      <c r="GR63" s="2"/>
      <c r="GS63" s="2"/>
      <c r="GT63" s="2"/>
      <c r="GU63" s="2"/>
      <c r="GV63" s="2"/>
      <c r="GW63" s="2"/>
      <c r="GX63" s="2"/>
      <c r="GY63" s="2"/>
      <c r="GZ63" s="2"/>
      <c r="HA63" s="2"/>
      <c r="HB63" s="2"/>
      <c r="HC63" s="2"/>
      <c r="HD63" s="2"/>
      <c r="HE63" s="2"/>
      <c r="HF63" s="2"/>
      <c r="HG63" s="2"/>
      <c r="HH63" s="2"/>
      <c r="HI63" s="2"/>
      <c r="HJ63" s="2"/>
      <c r="HK63" s="2"/>
      <c r="HL63" s="2"/>
      <c r="HM63" s="2"/>
      <c r="HN63" s="2"/>
      <c r="HO63" s="2"/>
      <c r="HP63" s="2"/>
      <c r="HQ63" s="2"/>
      <c r="HR63" s="2"/>
      <c r="HS63" s="2"/>
      <c r="HT63" s="2"/>
      <c r="HU63" s="2"/>
      <c r="HV63" s="2"/>
      <c r="HW63" s="2"/>
      <c r="HX63" s="2"/>
      <c r="HY63" s="2"/>
      <c r="HZ63" s="2"/>
      <c r="IA63" s="2"/>
      <c r="IB63" s="2"/>
      <c r="IC63" s="2"/>
      <c r="ID63" s="2"/>
      <c r="IE63" s="2"/>
      <c r="IF63" s="2"/>
      <c r="IG63" s="2"/>
      <c r="IH63" s="2"/>
      <c r="II63" s="2"/>
      <c r="IJ63" s="2"/>
      <c r="IK63" s="2"/>
      <c r="IL63" s="2"/>
      <c r="IM63" s="2"/>
      <c r="IN63" s="2"/>
      <c r="IO63" s="2"/>
      <c r="IP63" s="2"/>
      <c r="IQ63" s="2"/>
      <c r="IR63" s="2"/>
      <c r="IS63" s="2"/>
    </row>
    <row r="64" spans="1:253" s="6" customFormat="1" ht="15.75" customHeight="1" x14ac:dyDescent="0.25">
      <c r="A64" s="1"/>
      <c r="B64" s="40" t="s">
        <v>1064</v>
      </c>
      <c r="C64" s="46">
        <f>cebu!$D$58</f>
        <v>78187</v>
      </c>
      <c r="D64" s="51"/>
      <c r="E64" s="5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  <c r="DP64" s="2"/>
      <c r="DQ64" s="2"/>
      <c r="DR64" s="2"/>
      <c r="DS64" s="2"/>
      <c r="DT64" s="2"/>
      <c r="DU64" s="2"/>
      <c r="DV64" s="2"/>
      <c r="DW64" s="2"/>
      <c r="DX64" s="2"/>
      <c r="DY64" s="2"/>
      <c r="DZ64" s="2"/>
      <c r="EA64" s="2"/>
      <c r="EB64" s="2"/>
      <c r="EC64" s="2"/>
      <c r="ED64" s="2"/>
      <c r="EE64" s="2"/>
      <c r="EF64" s="2"/>
      <c r="EG64" s="2"/>
      <c r="EH64" s="2"/>
      <c r="EI64" s="2"/>
      <c r="EJ64" s="2"/>
      <c r="EK64" s="2"/>
      <c r="EL64" s="2"/>
      <c r="EM64" s="2"/>
      <c r="EN64" s="2"/>
      <c r="EO64" s="2"/>
      <c r="EP64" s="2"/>
      <c r="EQ64" s="2"/>
      <c r="ER64" s="2"/>
      <c r="ES64" s="2"/>
      <c r="ET64" s="2"/>
      <c r="EU64" s="2"/>
      <c r="EV64" s="2"/>
      <c r="EW64" s="2"/>
      <c r="EX64" s="2"/>
      <c r="EY64" s="2"/>
      <c r="EZ64" s="2"/>
      <c r="FA64" s="2"/>
      <c r="FB64" s="2"/>
      <c r="FC64" s="2"/>
      <c r="FD64" s="2"/>
      <c r="FE64" s="2"/>
      <c r="FF64" s="2"/>
      <c r="FG64" s="2"/>
      <c r="FH64" s="2"/>
      <c r="FI64" s="2"/>
      <c r="FJ64" s="2"/>
      <c r="FK64" s="2"/>
      <c r="FL64" s="2"/>
      <c r="FM64" s="2"/>
      <c r="FN64" s="2"/>
      <c r="FO64" s="2"/>
      <c r="FP64" s="2"/>
      <c r="FQ64" s="2"/>
      <c r="FR64" s="2"/>
      <c r="FS64" s="2"/>
      <c r="FT64" s="2"/>
      <c r="FU64" s="2"/>
      <c r="FV64" s="2"/>
      <c r="FW64" s="2"/>
      <c r="FX64" s="2"/>
      <c r="FY64" s="2"/>
      <c r="FZ64" s="2"/>
      <c r="GA64" s="2"/>
      <c r="GB64" s="2"/>
      <c r="GC64" s="2"/>
      <c r="GD64" s="2"/>
      <c r="GE64" s="2"/>
      <c r="GF64" s="2"/>
      <c r="GG64" s="2"/>
      <c r="GH64" s="2"/>
      <c r="GI64" s="2"/>
      <c r="GJ64" s="2"/>
      <c r="GK64" s="2"/>
      <c r="GL64" s="2"/>
      <c r="GM64" s="2"/>
      <c r="GN64" s="2"/>
      <c r="GO64" s="2"/>
      <c r="GP64" s="2"/>
      <c r="GQ64" s="2"/>
      <c r="GR64" s="2"/>
      <c r="GS64" s="2"/>
      <c r="GT64" s="2"/>
      <c r="GU64" s="2"/>
      <c r="GV64" s="2"/>
      <c r="GW64" s="2"/>
      <c r="GX64" s="2"/>
      <c r="GY64" s="2"/>
      <c r="GZ64" s="2"/>
      <c r="HA64" s="2"/>
      <c r="HB64" s="2"/>
      <c r="HC64" s="2"/>
      <c r="HD64" s="2"/>
      <c r="HE64" s="2"/>
      <c r="HF64" s="2"/>
      <c r="HG64" s="2"/>
      <c r="HH64" s="2"/>
      <c r="HI64" s="2"/>
      <c r="HJ64" s="2"/>
      <c r="HK64" s="2"/>
      <c r="HL64" s="2"/>
      <c r="HM64" s="2"/>
      <c r="HN64" s="2"/>
      <c r="HO64" s="2"/>
      <c r="HP64" s="2"/>
      <c r="HQ64" s="2"/>
      <c r="HR64" s="2"/>
      <c r="HS64" s="2"/>
      <c r="HT64" s="2"/>
      <c r="HU64" s="2"/>
      <c r="HV64" s="2"/>
      <c r="HW64" s="2"/>
      <c r="HX64" s="2"/>
      <c r="HY64" s="2"/>
      <c r="HZ64" s="2"/>
      <c r="IA64" s="2"/>
      <c r="IB64" s="2"/>
      <c r="IC64" s="2"/>
      <c r="ID64" s="2"/>
      <c r="IE64" s="2"/>
      <c r="IF64" s="2"/>
      <c r="IG64" s="2"/>
      <c r="IH64" s="2"/>
      <c r="II64" s="2"/>
      <c r="IJ64" s="2"/>
      <c r="IK64" s="2"/>
      <c r="IL64" s="2"/>
      <c r="IM64" s="2"/>
      <c r="IN64" s="2"/>
      <c r="IO64" s="2"/>
      <c r="IP64" s="2"/>
      <c r="IQ64" s="2"/>
      <c r="IR64" s="2"/>
      <c r="IS64" s="2"/>
    </row>
    <row r="65" spans="1:253" s="6" customFormat="1" ht="15.75" customHeight="1" x14ac:dyDescent="0.25">
      <c r="A65" s="1"/>
      <c r="B65" s="40" t="s">
        <v>1098</v>
      </c>
      <c r="C65" s="46">
        <f>cebu!$D$105</f>
        <v>55397</v>
      </c>
      <c r="D65" s="51"/>
      <c r="E65" s="5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  <c r="DP65" s="2"/>
      <c r="DQ65" s="2"/>
      <c r="DR65" s="2"/>
      <c r="DS65" s="2"/>
      <c r="DT65" s="2"/>
      <c r="DU65" s="2"/>
      <c r="DV65" s="2"/>
      <c r="DW65" s="2"/>
      <c r="DX65" s="2"/>
      <c r="DY65" s="2"/>
      <c r="DZ65" s="2"/>
      <c r="EA65" s="2"/>
      <c r="EB65" s="2"/>
      <c r="EC65" s="2"/>
      <c r="ED65" s="2"/>
      <c r="EE65" s="2"/>
      <c r="EF65" s="2"/>
      <c r="EG65" s="2"/>
      <c r="EH65" s="2"/>
      <c r="EI65" s="2"/>
      <c r="EJ65" s="2"/>
      <c r="EK65" s="2"/>
      <c r="EL65" s="2"/>
      <c r="EM65" s="2"/>
      <c r="EN65" s="2"/>
      <c r="EO65" s="2"/>
      <c r="EP65" s="2"/>
      <c r="EQ65" s="2"/>
      <c r="ER65" s="2"/>
      <c r="ES65" s="2"/>
      <c r="ET65" s="2"/>
      <c r="EU65" s="2"/>
      <c r="EV65" s="2"/>
      <c r="EW65" s="2"/>
      <c r="EX65" s="2"/>
      <c r="EY65" s="2"/>
      <c r="EZ65" s="2"/>
      <c r="FA65" s="2"/>
      <c r="FB65" s="2"/>
      <c r="FC65" s="2"/>
      <c r="FD65" s="2"/>
      <c r="FE65" s="2"/>
      <c r="FF65" s="2"/>
      <c r="FG65" s="2"/>
      <c r="FH65" s="2"/>
      <c r="FI65" s="2"/>
      <c r="FJ65" s="2"/>
      <c r="FK65" s="2"/>
      <c r="FL65" s="2"/>
      <c r="FM65" s="2"/>
      <c r="FN65" s="2"/>
      <c r="FO65" s="2"/>
      <c r="FP65" s="2"/>
      <c r="FQ65" s="2"/>
      <c r="FR65" s="2"/>
      <c r="FS65" s="2"/>
      <c r="FT65" s="2"/>
      <c r="FU65" s="2"/>
      <c r="FV65" s="2"/>
      <c r="FW65" s="2"/>
      <c r="FX65" s="2"/>
      <c r="FY65" s="2"/>
      <c r="FZ65" s="2"/>
      <c r="GA65" s="2"/>
      <c r="GB65" s="2"/>
      <c r="GC65" s="2"/>
      <c r="GD65" s="2"/>
      <c r="GE65" s="2"/>
      <c r="GF65" s="2"/>
      <c r="GG65" s="2"/>
      <c r="GH65" s="2"/>
      <c r="GI65" s="2"/>
      <c r="GJ65" s="2"/>
      <c r="GK65" s="2"/>
      <c r="GL65" s="2"/>
      <c r="GM65" s="2"/>
      <c r="GN65" s="2"/>
      <c r="GO65" s="2"/>
      <c r="GP65" s="2"/>
      <c r="GQ65" s="2"/>
      <c r="GR65" s="2"/>
      <c r="GS65" s="2"/>
      <c r="GT65" s="2"/>
      <c r="GU65" s="2"/>
      <c r="GV65" s="2"/>
      <c r="GW65" s="2"/>
      <c r="GX65" s="2"/>
      <c r="GY65" s="2"/>
      <c r="GZ65" s="2"/>
      <c r="HA65" s="2"/>
      <c r="HB65" s="2"/>
      <c r="HC65" s="2"/>
      <c r="HD65" s="2"/>
      <c r="HE65" s="2"/>
      <c r="HF65" s="2"/>
      <c r="HG65" s="2"/>
      <c r="HH65" s="2"/>
      <c r="HI65" s="2"/>
      <c r="HJ65" s="2"/>
      <c r="HK65" s="2"/>
      <c r="HL65" s="2"/>
      <c r="HM65" s="2"/>
      <c r="HN65" s="2"/>
      <c r="HO65" s="2"/>
      <c r="HP65" s="2"/>
      <c r="HQ65" s="2"/>
      <c r="HR65" s="2"/>
      <c r="HS65" s="2"/>
      <c r="HT65" s="2"/>
      <c r="HU65" s="2"/>
      <c r="HV65" s="2"/>
      <c r="HW65" s="2"/>
      <c r="HX65" s="2"/>
      <c r="HY65" s="2"/>
      <c r="HZ65" s="2"/>
      <c r="IA65" s="2"/>
      <c r="IB65" s="2"/>
      <c r="IC65" s="2"/>
      <c r="ID65" s="2"/>
      <c r="IE65" s="2"/>
      <c r="IF65" s="2"/>
      <c r="IG65" s="2"/>
      <c r="IH65" s="2"/>
      <c r="II65" s="2"/>
      <c r="IJ65" s="2"/>
      <c r="IK65" s="2"/>
      <c r="IL65" s="2"/>
      <c r="IM65" s="2"/>
      <c r="IN65" s="2"/>
      <c r="IO65" s="2"/>
      <c r="IP65" s="2"/>
      <c r="IQ65" s="2"/>
      <c r="IR65" s="2"/>
      <c r="IS65" s="2"/>
    </row>
    <row r="66" spans="1:253" s="6" customFormat="1" ht="15.75" customHeight="1" x14ac:dyDescent="0.25">
      <c r="A66" s="1"/>
      <c r="B66" s="40" t="s">
        <v>1115</v>
      </c>
      <c r="C66" s="46">
        <f>cebu!$D$134</f>
        <v>43735</v>
      </c>
      <c r="D66" s="51"/>
      <c r="E66" s="5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  <c r="DP66" s="2"/>
      <c r="DQ66" s="2"/>
      <c r="DR66" s="2"/>
      <c r="DS66" s="2"/>
      <c r="DT66" s="2"/>
      <c r="DU66" s="2"/>
      <c r="DV66" s="2"/>
      <c r="DW66" s="2"/>
      <c r="DX66" s="2"/>
      <c r="DY66" s="2"/>
      <c r="DZ66" s="2"/>
      <c r="EA66" s="2"/>
      <c r="EB66" s="2"/>
      <c r="EC66" s="2"/>
      <c r="ED66" s="2"/>
      <c r="EE66" s="2"/>
      <c r="EF66" s="2"/>
      <c r="EG66" s="2"/>
      <c r="EH66" s="2"/>
      <c r="EI66" s="2"/>
      <c r="EJ66" s="2"/>
      <c r="EK66" s="2"/>
      <c r="EL66" s="2"/>
      <c r="EM66" s="2"/>
      <c r="EN66" s="2"/>
      <c r="EO66" s="2"/>
      <c r="EP66" s="2"/>
      <c r="EQ66" s="2"/>
      <c r="ER66" s="2"/>
      <c r="ES66" s="2"/>
      <c r="ET66" s="2"/>
      <c r="EU66" s="2"/>
      <c r="EV66" s="2"/>
      <c r="EW66" s="2"/>
      <c r="EX66" s="2"/>
      <c r="EY66" s="2"/>
      <c r="EZ66" s="2"/>
      <c r="FA66" s="2"/>
      <c r="FB66" s="2"/>
      <c r="FC66" s="2"/>
      <c r="FD66" s="2"/>
      <c r="FE66" s="2"/>
      <c r="FF66" s="2"/>
      <c r="FG66" s="2"/>
      <c r="FH66" s="2"/>
      <c r="FI66" s="2"/>
      <c r="FJ66" s="2"/>
      <c r="FK66" s="2"/>
      <c r="FL66" s="2"/>
      <c r="FM66" s="2"/>
      <c r="FN66" s="2"/>
      <c r="FO66" s="2"/>
      <c r="FP66" s="2"/>
      <c r="FQ66" s="2"/>
      <c r="FR66" s="2"/>
      <c r="FS66" s="2"/>
      <c r="FT66" s="2"/>
      <c r="FU66" s="2"/>
      <c r="FV66" s="2"/>
      <c r="FW66" s="2"/>
      <c r="FX66" s="2"/>
      <c r="FY66" s="2"/>
      <c r="FZ66" s="2"/>
      <c r="GA66" s="2"/>
      <c r="GB66" s="2"/>
      <c r="GC66" s="2"/>
      <c r="GD66" s="2"/>
      <c r="GE66" s="2"/>
      <c r="GF66" s="2"/>
      <c r="GG66" s="2"/>
      <c r="GH66" s="2"/>
      <c r="GI66" s="2"/>
      <c r="GJ66" s="2"/>
      <c r="GK66" s="2"/>
      <c r="GL66" s="2"/>
      <c r="GM66" s="2"/>
      <c r="GN66" s="2"/>
      <c r="GO66" s="2"/>
      <c r="GP66" s="2"/>
      <c r="GQ66" s="2"/>
      <c r="GR66" s="2"/>
      <c r="GS66" s="2"/>
      <c r="GT66" s="2"/>
      <c r="GU66" s="2"/>
      <c r="GV66" s="2"/>
      <c r="GW66" s="2"/>
      <c r="GX66" s="2"/>
      <c r="GY66" s="2"/>
      <c r="GZ66" s="2"/>
      <c r="HA66" s="2"/>
      <c r="HB66" s="2"/>
      <c r="HC66" s="2"/>
      <c r="HD66" s="2"/>
      <c r="HE66" s="2"/>
      <c r="HF66" s="2"/>
      <c r="HG66" s="2"/>
      <c r="HH66" s="2"/>
      <c r="HI66" s="2"/>
      <c r="HJ66" s="2"/>
      <c r="HK66" s="2"/>
      <c r="HL66" s="2"/>
      <c r="HM66" s="2"/>
      <c r="HN66" s="2"/>
      <c r="HO66" s="2"/>
      <c r="HP66" s="2"/>
      <c r="HQ66" s="2"/>
      <c r="HR66" s="2"/>
      <c r="HS66" s="2"/>
      <c r="HT66" s="2"/>
      <c r="HU66" s="2"/>
      <c r="HV66" s="2"/>
      <c r="HW66" s="2"/>
      <c r="HX66" s="2"/>
      <c r="HY66" s="2"/>
      <c r="HZ66" s="2"/>
      <c r="IA66" s="2"/>
      <c r="IB66" s="2"/>
      <c r="IC66" s="2"/>
      <c r="ID66" s="2"/>
      <c r="IE66" s="2"/>
      <c r="IF66" s="2"/>
      <c r="IG66" s="2"/>
      <c r="IH66" s="2"/>
      <c r="II66" s="2"/>
      <c r="IJ66" s="2"/>
      <c r="IK66" s="2"/>
      <c r="IL66" s="2"/>
      <c r="IM66" s="2"/>
      <c r="IN66" s="2"/>
      <c r="IO66" s="2"/>
      <c r="IP66" s="2"/>
      <c r="IQ66" s="2"/>
      <c r="IR66" s="2"/>
      <c r="IS66" s="2"/>
    </row>
    <row r="67" spans="1:253" s="6" customFormat="1" ht="15.75" customHeight="1" x14ac:dyDescent="0.25">
      <c r="A67" s="1"/>
      <c r="B67" s="40" t="s">
        <v>1134</v>
      </c>
      <c r="C67" s="46">
        <f>cebu!$D$165</f>
        <v>95136</v>
      </c>
      <c r="D67" s="51"/>
      <c r="E67" s="5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  <c r="DP67" s="2"/>
      <c r="DQ67" s="2"/>
      <c r="DR67" s="2"/>
      <c r="DS67" s="2"/>
      <c r="DT67" s="2"/>
      <c r="DU67" s="2"/>
      <c r="DV67" s="2"/>
      <c r="DW67" s="2"/>
      <c r="DX67" s="2"/>
      <c r="DY67" s="2"/>
      <c r="DZ67" s="2"/>
      <c r="EA67" s="2"/>
      <c r="EB67" s="2"/>
      <c r="EC67" s="2"/>
      <c r="ED67" s="2"/>
      <c r="EE67" s="2"/>
      <c r="EF67" s="2"/>
      <c r="EG67" s="2"/>
      <c r="EH67" s="2"/>
      <c r="EI67" s="2"/>
      <c r="EJ67" s="2"/>
      <c r="EK67" s="2"/>
      <c r="EL67" s="2"/>
      <c r="EM67" s="2"/>
      <c r="EN67" s="2"/>
      <c r="EO67" s="2"/>
      <c r="EP67" s="2"/>
      <c r="EQ67" s="2"/>
      <c r="ER67" s="2"/>
      <c r="ES67" s="2"/>
      <c r="ET67" s="2"/>
      <c r="EU67" s="2"/>
      <c r="EV67" s="2"/>
      <c r="EW67" s="2"/>
      <c r="EX67" s="2"/>
      <c r="EY67" s="2"/>
      <c r="EZ67" s="2"/>
      <c r="FA67" s="2"/>
      <c r="FB67" s="2"/>
      <c r="FC67" s="2"/>
      <c r="FD67" s="2"/>
      <c r="FE67" s="2"/>
      <c r="FF67" s="2"/>
      <c r="FG67" s="2"/>
      <c r="FH67" s="2"/>
      <c r="FI67" s="2"/>
      <c r="FJ67" s="2"/>
      <c r="FK67" s="2"/>
      <c r="FL67" s="2"/>
      <c r="FM67" s="2"/>
      <c r="FN67" s="2"/>
      <c r="FO67" s="2"/>
      <c r="FP67" s="2"/>
      <c r="FQ67" s="2"/>
      <c r="FR67" s="2"/>
      <c r="FS67" s="2"/>
      <c r="FT67" s="2"/>
      <c r="FU67" s="2"/>
      <c r="FV67" s="2"/>
      <c r="FW67" s="2"/>
      <c r="FX67" s="2"/>
      <c r="FY67" s="2"/>
      <c r="FZ67" s="2"/>
      <c r="GA67" s="2"/>
      <c r="GB67" s="2"/>
      <c r="GC67" s="2"/>
      <c r="GD67" s="2"/>
      <c r="GE67" s="2"/>
      <c r="GF67" s="2"/>
      <c r="GG67" s="2"/>
      <c r="GH67" s="2"/>
      <c r="GI67" s="2"/>
      <c r="GJ67" s="2"/>
      <c r="GK67" s="2"/>
      <c r="GL67" s="2"/>
      <c r="GM67" s="2"/>
      <c r="GN67" s="2"/>
      <c r="GO67" s="2"/>
      <c r="GP67" s="2"/>
      <c r="GQ67" s="2"/>
      <c r="GR67" s="2"/>
      <c r="GS67" s="2"/>
      <c r="GT67" s="2"/>
      <c r="GU67" s="2"/>
      <c r="GV67" s="2"/>
      <c r="GW67" s="2"/>
      <c r="GX67" s="2"/>
      <c r="GY67" s="2"/>
      <c r="GZ67" s="2"/>
      <c r="HA67" s="2"/>
      <c r="HB67" s="2"/>
      <c r="HC67" s="2"/>
      <c r="HD67" s="2"/>
      <c r="HE67" s="2"/>
      <c r="HF67" s="2"/>
      <c r="HG67" s="2"/>
      <c r="HH67" s="2"/>
      <c r="HI67" s="2"/>
      <c r="HJ67" s="2"/>
      <c r="HK67" s="2"/>
      <c r="HL67" s="2"/>
      <c r="HM67" s="2"/>
      <c r="HN67" s="2"/>
      <c r="HO67" s="2"/>
      <c r="HP67" s="2"/>
      <c r="HQ67" s="2"/>
      <c r="HR67" s="2"/>
      <c r="HS67" s="2"/>
      <c r="HT67" s="2"/>
      <c r="HU67" s="2"/>
      <c r="HV67" s="2"/>
      <c r="HW67" s="2"/>
      <c r="HX67" s="2"/>
      <c r="HY67" s="2"/>
      <c r="HZ67" s="2"/>
      <c r="IA67" s="2"/>
      <c r="IB67" s="2"/>
      <c r="IC67" s="2"/>
      <c r="ID67" s="2"/>
      <c r="IE67" s="2"/>
      <c r="IF67" s="2"/>
      <c r="IG67" s="2"/>
      <c r="IH67" s="2"/>
      <c r="II67" s="2"/>
      <c r="IJ67" s="2"/>
      <c r="IK67" s="2"/>
      <c r="IL67" s="2"/>
      <c r="IM67" s="2"/>
      <c r="IN67" s="2"/>
      <c r="IO67" s="2"/>
      <c r="IP67" s="2"/>
      <c r="IQ67" s="2"/>
      <c r="IR67" s="2"/>
      <c r="IS67" s="2"/>
    </row>
    <row r="68" spans="1:253" s="6" customFormat="1" ht="15.75" customHeight="1" x14ac:dyDescent="0.25">
      <c r="A68" s="1"/>
      <c r="B68" s="40" t="s">
        <v>1157</v>
      </c>
      <c r="C68" s="45">
        <f>cebu!$D$195</f>
        <v>86247</v>
      </c>
      <c r="D68" s="51"/>
      <c r="E68" s="5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  <c r="DP68" s="2"/>
      <c r="DQ68" s="2"/>
      <c r="DR68" s="2"/>
      <c r="DS68" s="2"/>
      <c r="DT68" s="2"/>
      <c r="DU68" s="2"/>
      <c r="DV68" s="2"/>
      <c r="DW68" s="2"/>
      <c r="DX68" s="2"/>
      <c r="DY68" s="2"/>
      <c r="DZ68" s="2"/>
      <c r="EA68" s="2"/>
      <c r="EB68" s="2"/>
      <c r="EC68" s="2"/>
      <c r="ED68" s="2"/>
      <c r="EE68" s="2"/>
      <c r="EF68" s="2"/>
      <c r="EG68" s="2"/>
      <c r="EH68" s="2"/>
      <c r="EI68" s="2"/>
      <c r="EJ68" s="2"/>
      <c r="EK68" s="2"/>
      <c r="EL68" s="2"/>
      <c r="EM68" s="2"/>
      <c r="EN68" s="2"/>
      <c r="EO68" s="2"/>
      <c r="EP68" s="2"/>
      <c r="EQ68" s="2"/>
      <c r="ER68" s="2"/>
      <c r="ES68" s="2"/>
      <c r="ET68" s="2"/>
      <c r="EU68" s="2"/>
      <c r="EV68" s="2"/>
      <c r="EW68" s="2"/>
      <c r="EX68" s="2"/>
      <c r="EY68" s="2"/>
      <c r="EZ68" s="2"/>
      <c r="FA68" s="2"/>
      <c r="FB68" s="2"/>
      <c r="FC68" s="2"/>
      <c r="FD68" s="2"/>
      <c r="FE68" s="2"/>
      <c r="FF68" s="2"/>
      <c r="FG68" s="2"/>
      <c r="FH68" s="2"/>
      <c r="FI68" s="2"/>
      <c r="FJ68" s="2"/>
      <c r="FK68" s="2"/>
      <c r="FL68" s="2"/>
      <c r="FM68" s="2"/>
      <c r="FN68" s="2"/>
      <c r="FO68" s="2"/>
      <c r="FP68" s="2"/>
      <c r="FQ68" s="2"/>
      <c r="FR68" s="2"/>
      <c r="FS68" s="2"/>
      <c r="FT68" s="2"/>
      <c r="FU68" s="2"/>
      <c r="FV68" s="2"/>
      <c r="FW68" s="2"/>
      <c r="FX68" s="2"/>
      <c r="FY68" s="2"/>
      <c r="FZ68" s="2"/>
      <c r="GA68" s="2"/>
      <c r="GB68" s="2"/>
      <c r="GC68" s="2"/>
      <c r="GD68" s="2"/>
      <c r="GE68" s="2"/>
      <c r="GF68" s="2"/>
      <c r="GG68" s="2"/>
      <c r="GH68" s="2"/>
      <c r="GI68" s="2"/>
      <c r="GJ68" s="2"/>
      <c r="GK68" s="2"/>
      <c r="GL68" s="2"/>
      <c r="GM68" s="2"/>
      <c r="GN68" s="2"/>
      <c r="GO68" s="2"/>
      <c r="GP68" s="2"/>
      <c r="GQ68" s="2"/>
      <c r="GR68" s="2"/>
      <c r="GS68" s="2"/>
      <c r="GT68" s="2"/>
      <c r="GU68" s="2"/>
      <c r="GV68" s="2"/>
      <c r="GW68" s="2"/>
      <c r="GX68" s="2"/>
      <c r="GY68" s="2"/>
      <c r="GZ68" s="2"/>
      <c r="HA68" s="2"/>
      <c r="HB68" s="2"/>
      <c r="HC68" s="2"/>
      <c r="HD68" s="2"/>
      <c r="HE68" s="2"/>
      <c r="HF68" s="2"/>
      <c r="HG68" s="2"/>
      <c r="HH68" s="2"/>
      <c r="HI68" s="2"/>
      <c r="HJ68" s="2"/>
      <c r="HK68" s="2"/>
      <c r="HL68" s="2"/>
      <c r="HM68" s="2"/>
      <c r="HN68" s="2"/>
      <c r="HO68" s="2"/>
      <c r="HP68" s="2"/>
      <c r="HQ68" s="2"/>
      <c r="HR68" s="2"/>
      <c r="HS68" s="2"/>
      <c r="HT68" s="2"/>
      <c r="HU68" s="2"/>
      <c r="HV68" s="2"/>
      <c r="HW68" s="2"/>
      <c r="HX68" s="2"/>
      <c r="HY68" s="2"/>
      <c r="HZ68" s="2"/>
      <c r="IA68" s="2"/>
      <c r="IB68" s="2"/>
      <c r="IC68" s="2"/>
      <c r="ID68" s="2"/>
      <c r="IE68" s="2"/>
      <c r="IF68" s="2"/>
      <c r="IG68" s="2"/>
      <c r="IH68" s="2"/>
      <c r="II68" s="2"/>
      <c r="IJ68" s="2"/>
      <c r="IK68" s="2"/>
      <c r="IL68" s="2"/>
      <c r="IM68" s="2"/>
      <c r="IN68" s="2"/>
      <c r="IO68" s="2"/>
      <c r="IP68" s="2"/>
      <c r="IQ68" s="2"/>
      <c r="IR68" s="2"/>
      <c r="IS68" s="2"/>
    </row>
    <row r="69" spans="1:253" s="6" customFormat="1" ht="15.75" customHeight="1" x14ac:dyDescent="0.25">
      <c r="A69" s="1"/>
      <c r="B69" s="40" t="s">
        <v>1179</v>
      </c>
      <c r="C69" s="45">
        <f>cebu!$D$223</f>
        <v>80715</v>
      </c>
      <c r="D69" s="51"/>
      <c r="E69" s="5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  <c r="DP69" s="2"/>
      <c r="DQ69" s="2"/>
      <c r="DR69" s="2"/>
      <c r="DS69" s="2"/>
      <c r="DT69" s="2"/>
      <c r="DU69" s="2"/>
      <c r="DV69" s="2"/>
      <c r="DW69" s="2"/>
      <c r="DX69" s="2"/>
      <c r="DY69" s="2"/>
      <c r="DZ69" s="2"/>
      <c r="EA69" s="2"/>
      <c r="EB69" s="2"/>
      <c r="EC69" s="2"/>
      <c r="ED69" s="2"/>
      <c r="EE69" s="2"/>
      <c r="EF69" s="2"/>
      <c r="EG69" s="2"/>
      <c r="EH69" s="2"/>
      <c r="EI69" s="2"/>
      <c r="EJ69" s="2"/>
      <c r="EK69" s="2"/>
      <c r="EL69" s="2"/>
      <c r="EM69" s="2"/>
      <c r="EN69" s="2"/>
      <c r="EO69" s="2"/>
      <c r="EP69" s="2"/>
      <c r="EQ69" s="2"/>
      <c r="ER69" s="2"/>
      <c r="ES69" s="2"/>
      <c r="ET69" s="2"/>
      <c r="EU69" s="2"/>
      <c r="EV69" s="2"/>
      <c r="EW69" s="2"/>
      <c r="EX69" s="2"/>
      <c r="EY69" s="2"/>
      <c r="EZ69" s="2"/>
      <c r="FA69" s="2"/>
      <c r="FB69" s="2"/>
      <c r="FC69" s="2"/>
      <c r="FD69" s="2"/>
      <c r="FE69" s="2"/>
      <c r="FF69" s="2"/>
      <c r="FG69" s="2"/>
      <c r="FH69" s="2"/>
      <c r="FI69" s="2"/>
      <c r="FJ69" s="2"/>
      <c r="FK69" s="2"/>
      <c r="FL69" s="2"/>
      <c r="FM69" s="2"/>
      <c r="FN69" s="2"/>
      <c r="FO69" s="2"/>
      <c r="FP69" s="2"/>
      <c r="FQ69" s="2"/>
      <c r="FR69" s="2"/>
      <c r="FS69" s="2"/>
      <c r="FT69" s="2"/>
      <c r="FU69" s="2"/>
      <c r="FV69" s="2"/>
      <c r="FW69" s="2"/>
      <c r="FX69" s="2"/>
      <c r="FY69" s="2"/>
      <c r="FZ69" s="2"/>
      <c r="GA69" s="2"/>
      <c r="GB69" s="2"/>
      <c r="GC69" s="2"/>
      <c r="GD69" s="2"/>
      <c r="GE69" s="2"/>
      <c r="GF69" s="2"/>
      <c r="GG69" s="2"/>
      <c r="GH69" s="2"/>
      <c r="GI69" s="2"/>
      <c r="GJ69" s="2"/>
      <c r="GK69" s="2"/>
      <c r="GL69" s="2"/>
      <c r="GM69" s="2"/>
      <c r="GN69" s="2"/>
      <c r="GO69" s="2"/>
      <c r="GP69" s="2"/>
      <c r="GQ69" s="2"/>
      <c r="GR69" s="2"/>
      <c r="GS69" s="2"/>
      <c r="GT69" s="2"/>
      <c r="GU69" s="2"/>
      <c r="GV69" s="2"/>
      <c r="GW69" s="2"/>
      <c r="GX69" s="2"/>
      <c r="GY69" s="2"/>
      <c r="GZ69" s="2"/>
      <c r="HA69" s="2"/>
      <c r="HB69" s="2"/>
      <c r="HC69" s="2"/>
      <c r="HD69" s="2"/>
      <c r="HE69" s="2"/>
      <c r="HF69" s="2"/>
      <c r="HG69" s="2"/>
      <c r="HH69" s="2"/>
      <c r="HI69" s="2"/>
      <c r="HJ69" s="2"/>
      <c r="HK69" s="2"/>
      <c r="HL69" s="2"/>
      <c r="HM69" s="2"/>
      <c r="HN69" s="2"/>
      <c r="HO69" s="2"/>
      <c r="HP69" s="2"/>
      <c r="HQ69" s="2"/>
      <c r="HR69" s="2"/>
      <c r="HS69" s="2"/>
      <c r="HT69" s="2"/>
      <c r="HU69" s="2"/>
      <c r="HV69" s="2"/>
      <c r="HW69" s="2"/>
      <c r="HX69" s="2"/>
      <c r="HY69" s="2"/>
      <c r="HZ69" s="2"/>
      <c r="IA69" s="2"/>
      <c r="IB69" s="2"/>
      <c r="IC69" s="2"/>
      <c r="ID69" s="2"/>
      <c r="IE69" s="2"/>
      <c r="IF69" s="2"/>
      <c r="IG69" s="2"/>
      <c r="IH69" s="2"/>
      <c r="II69" s="2"/>
      <c r="IJ69" s="2"/>
      <c r="IK69" s="2"/>
      <c r="IL69" s="2"/>
      <c r="IM69" s="2"/>
      <c r="IN69" s="2"/>
      <c r="IO69" s="2"/>
      <c r="IP69" s="2"/>
      <c r="IQ69" s="2"/>
      <c r="IR69" s="2"/>
      <c r="IS69" s="2"/>
    </row>
    <row r="70" spans="1:253" s="6" customFormat="1" ht="15.75" customHeight="1" x14ac:dyDescent="0.25">
      <c r="A70" s="1"/>
      <c r="B70" s="40" t="s">
        <v>1944</v>
      </c>
      <c r="C70" s="46">
        <f>cebu!$D$267</f>
        <v>88867</v>
      </c>
      <c r="D70" s="51"/>
      <c r="E70" s="5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  <c r="DP70" s="2"/>
      <c r="DQ70" s="2"/>
      <c r="DR70" s="2"/>
      <c r="DS70" s="2"/>
      <c r="DT70" s="2"/>
      <c r="DU70" s="2"/>
      <c r="DV70" s="2"/>
      <c r="DW70" s="2"/>
      <c r="DX70" s="2"/>
      <c r="DY70" s="2"/>
      <c r="DZ70" s="2"/>
      <c r="EA70" s="2"/>
      <c r="EB70" s="2"/>
      <c r="EC70" s="2"/>
      <c r="ED70" s="2"/>
      <c r="EE70" s="2"/>
      <c r="EF70" s="2"/>
      <c r="EG70" s="2"/>
      <c r="EH70" s="2"/>
      <c r="EI70" s="2"/>
      <c r="EJ70" s="2"/>
      <c r="EK70" s="2"/>
      <c r="EL70" s="2"/>
      <c r="EM70" s="2"/>
      <c r="EN70" s="2"/>
      <c r="EO70" s="2"/>
      <c r="EP70" s="2"/>
      <c r="EQ70" s="2"/>
      <c r="ER70" s="2"/>
      <c r="ES70" s="2"/>
      <c r="ET70" s="2"/>
      <c r="EU70" s="2"/>
      <c r="EV70" s="2"/>
      <c r="EW70" s="2"/>
      <c r="EX70" s="2"/>
      <c r="EY70" s="2"/>
      <c r="EZ70" s="2"/>
      <c r="FA70" s="2"/>
      <c r="FB70" s="2"/>
      <c r="FC70" s="2"/>
      <c r="FD70" s="2"/>
      <c r="FE70" s="2"/>
      <c r="FF70" s="2"/>
      <c r="FG70" s="2"/>
      <c r="FH70" s="2"/>
      <c r="FI70" s="2"/>
      <c r="FJ70" s="2"/>
      <c r="FK70" s="2"/>
      <c r="FL70" s="2"/>
      <c r="FM70" s="2"/>
      <c r="FN70" s="2"/>
      <c r="FO70" s="2"/>
      <c r="FP70" s="2"/>
      <c r="FQ70" s="2"/>
      <c r="FR70" s="2"/>
      <c r="FS70" s="2"/>
      <c r="FT70" s="2"/>
      <c r="FU70" s="2"/>
      <c r="FV70" s="2"/>
      <c r="FW70" s="2"/>
      <c r="FX70" s="2"/>
      <c r="FY70" s="2"/>
      <c r="FZ70" s="2"/>
      <c r="GA70" s="2"/>
      <c r="GB70" s="2"/>
      <c r="GC70" s="2"/>
      <c r="GD70" s="2"/>
      <c r="GE70" s="2"/>
      <c r="GF70" s="2"/>
      <c r="GG70" s="2"/>
      <c r="GH70" s="2"/>
      <c r="GI70" s="2"/>
      <c r="GJ70" s="2"/>
      <c r="GK70" s="2"/>
      <c r="GL70" s="2"/>
      <c r="GM70" s="2"/>
      <c r="GN70" s="2"/>
      <c r="GO70" s="2"/>
      <c r="GP70" s="2"/>
      <c r="GQ70" s="2"/>
      <c r="GR70" s="2"/>
      <c r="GS70" s="2"/>
      <c r="GT70" s="2"/>
      <c r="GU70" s="2"/>
      <c r="GV70" s="2"/>
      <c r="GW70" s="2"/>
      <c r="GX70" s="2"/>
      <c r="GY70" s="2"/>
      <c r="GZ70" s="2"/>
      <c r="HA70" s="2"/>
      <c r="HB70" s="2"/>
      <c r="HC70" s="2"/>
      <c r="HD70" s="2"/>
      <c r="HE70" s="2"/>
      <c r="HF70" s="2"/>
      <c r="HG70" s="2"/>
      <c r="HH70" s="2"/>
      <c r="HI70" s="2"/>
      <c r="HJ70" s="2"/>
      <c r="HK70" s="2"/>
      <c r="HL70" s="2"/>
      <c r="HM70" s="2"/>
      <c r="HN70" s="2"/>
      <c r="HO70" s="2"/>
      <c r="HP70" s="2"/>
      <c r="HQ70" s="2"/>
      <c r="HR70" s="2"/>
      <c r="HS70" s="2"/>
      <c r="HT70" s="2"/>
      <c r="HU70" s="2"/>
      <c r="HV70" s="2"/>
      <c r="HW70" s="2"/>
      <c r="HX70" s="2"/>
      <c r="HY70" s="2"/>
      <c r="HZ70" s="2"/>
      <c r="IA70" s="2"/>
      <c r="IB70" s="2"/>
      <c r="IC70" s="2"/>
      <c r="ID70" s="2"/>
      <c r="IE70" s="2"/>
      <c r="IF70" s="2"/>
      <c r="IG70" s="2"/>
      <c r="IH70" s="2"/>
      <c r="II70" s="2"/>
      <c r="IJ70" s="2"/>
      <c r="IK70" s="2"/>
      <c r="IL70" s="2"/>
      <c r="IM70" s="2"/>
      <c r="IN70" s="2"/>
      <c r="IO70" s="2"/>
      <c r="IP70" s="2"/>
      <c r="IQ70" s="2"/>
      <c r="IR70" s="2"/>
      <c r="IS70" s="2"/>
    </row>
    <row r="71" spans="1:253" s="6" customFormat="1" ht="15.75" customHeight="1" x14ac:dyDescent="0.25">
      <c r="A71" s="1"/>
      <c r="B71" s="40" t="s">
        <v>1229</v>
      </c>
      <c r="C71" s="46">
        <f>cebu!$D$298</f>
        <v>17525</v>
      </c>
      <c r="D71" s="51"/>
      <c r="E71" s="5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  <c r="DP71" s="2"/>
      <c r="DQ71" s="2"/>
      <c r="DR71" s="2"/>
      <c r="DS71" s="2"/>
      <c r="DT71" s="2"/>
      <c r="DU71" s="2"/>
      <c r="DV71" s="2"/>
      <c r="DW71" s="2"/>
      <c r="DX71" s="2"/>
      <c r="DY71" s="2"/>
      <c r="DZ71" s="2"/>
      <c r="EA71" s="2"/>
      <c r="EB71" s="2"/>
      <c r="EC71" s="2"/>
      <c r="ED71" s="2"/>
      <c r="EE71" s="2"/>
      <c r="EF71" s="2"/>
      <c r="EG71" s="2"/>
      <c r="EH71" s="2"/>
      <c r="EI71" s="2"/>
      <c r="EJ71" s="2"/>
      <c r="EK71" s="2"/>
      <c r="EL71" s="2"/>
      <c r="EM71" s="2"/>
      <c r="EN71" s="2"/>
      <c r="EO71" s="2"/>
      <c r="EP71" s="2"/>
      <c r="EQ71" s="2"/>
      <c r="ER71" s="2"/>
      <c r="ES71" s="2"/>
      <c r="ET71" s="2"/>
      <c r="EU71" s="2"/>
      <c r="EV71" s="2"/>
      <c r="EW71" s="2"/>
      <c r="EX71" s="2"/>
      <c r="EY71" s="2"/>
      <c r="EZ71" s="2"/>
      <c r="FA71" s="2"/>
      <c r="FB71" s="2"/>
      <c r="FC71" s="2"/>
      <c r="FD71" s="2"/>
      <c r="FE71" s="2"/>
      <c r="FF71" s="2"/>
      <c r="FG71" s="2"/>
      <c r="FH71" s="2"/>
      <c r="FI71" s="2"/>
      <c r="FJ71" s="2"/>
      <c r="FK71" s="2"/>
      <c r="FL71" s="2"/>
      <c r="FM71" s="2"/>
      <c r="FN71" s="2"/>
      <c r="FO71" s="2"/>
      <c r="FP71" s="2"/>
      <c r="FQ71" s="2"/>
      <c r="FR71" s="2"/>
      <c r="FS71" s="2"/>
      <c r="FT71" s="2"/>
      <c r="FU71" s="2"/>
      <c r="FV71" s="2"/>
      <c r="FW71" s="2"/>
      <c r="FX71" s="2"/>
      <c r="FY71" s="2"/>
      <c r="FZ71" s="2"/>
      <c r="GA71" s="2"/>
      <c r="GB71" s="2"/>
      <c r="GC71" s="2"/>
      <c r="GD71" s="2"/>
      <c r="GE71" s="2"/>
      <c r="GF71" s="2"/>
      <c r="GG71" s="2"/>
      <c r="GH71" s="2"/>
      <c r="GI71" s="2"/>
      <c r="GJ71" s="2"/>
      <c r="GK71" s="2"/>
      <c r="GL71" s="2"/>
      <c r="GM71" s="2"/>
      <c r="GN71" s="2"/>
      <c r="GO71" s="2"/>
      <c r="GP71" s="2"/>
      <c r="GQ71" s="2"/>
      <c r="GR71" s="2"/>
      <c r="GS71" s="2"/>
      <c r="GT71" s="2"/>
      <c r="GU71" s="2"/>
      <c r="GV71" s="2"/>
      <c r="GW71" s="2"/>
      <c r="GX71" s="2"/>
      <c r="GY71" s="2"/>
      <c r="GZ71" s="2"/>
      <c r="HA71" s="2"/>
      <c r="HB71" s="2"/>
      <c r="HC71" s="2"/>
      <c r="HD71" s="2"/>
      <c r="HE71" s="2"/>
      <c r="HF71" s="2"/>
      <c r="HG71" s="2"/>
      <c r="HH71" s="2"/>
      <c r="HI71" s="2"/>
      <c r="HJ71" s="2"/>
      <c r="HK71" s="2"/>
      <c r="HL71" s="2"/>
      <c r="HM71" s="2"/>
      <c r="HN71" s="2"/>
      <c r="HO71" s="2"/>
      <c r="HP71" s="2"/>
      <c r="HQ71" s="2"/>
      <c r="HR71" s="2"/>
      <c r="HS71" s="2"/>
      <c r="HT71" s="2"/>
      <c r="HU71" s="2"/>
      <c r="HV71" s="2"/>
      <c r="HW71" s="2"/>
      <c r="HX71" s="2"/>
      <c r="HY71" s="2"/>
      <c r="HZ71" s="2"/>
      <c r="IA71" s="2"/>
      <c r="IB71" s="2"/>
      <c r="IC71" s="2"/>
      <c r="ID71" s="2"/>
      <c r="IE71" s="2"/>
      <c r="IF71" s="2"/>
      <c r="IG71" s="2"/>
      <c r="IH71" s="2"/>
      <c r="II71" s="2"/>
      <c r="IJ71" s="2"/>
      <c r="IK71" s="2"/>
      <c r="IL71" s="2"/>
      <c r="IM71" s="2"/>
      <c r="IN71" s="2"/>
      <c r="IO71" s="2"/>
      <c r="IP71" s="2"/>
      <c r="IQ71" s="2"/>
      <c r="IR71" s="2"/>
      <c r="IS71" s="2"/>
    </row>
    <row r="72" spans="1:253" s="7" customFormat="1" ht="15.75" customHeight="1" x14ac:dyDescent="0.25">
      <c r="A72" s="1"/>
      <c r="B72" s="40" t="s">
        <v>1236</v>
      </c>
      <c r="C72" s="46">
        <f>cebu!$D$311</f>
        <v>38187</v>
      </c>
      <c r="D72" s="51"/>
      <c r="E72" s="5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  <c r="DP72" s="2"/>
      <c r="DQ72" s="2"/>
      <c r="DR72" s="2"/>
      <c r="DS72" s="2"/>
      <c r="DT72" s="2"/>
      <c r="DU72" s="2"/>
      <c r="DV72" s="2"/>
      <c r="DW72" s="2"/>
      <c r="DX72" s="2"/>
      <c r="DY72" s="2"/>
      <c r="DZ72" s="2"/>
      <c r="EA72" s="2"/>
      <c r="EB72" s="2"/>
      <c r="EC72" s="2"/>
      <c r="ED72" s="2"/>
      <c r="EE72" s="2"/>
      <c r="EF72" s="2"/>
      <c r="EG72" s="2"/>
      <c r="EH72" s="2"/>
      <c r="EI72" s="2"/>
      <c r="EJ72" s="2"/>
      <c r="EK72" s="2"/>
      <c r="EL72" s="2"/>
      <c r="EM72" s="2"/>
      <c r="EN72" s="2"/>
      <c r="EO72" s="2"/>
      <c r="EP72" s="2"/>
      <c r="EQ72" s="2"/>
      <c r="ER72" s="2"/>
      <c r="ES72" s="2"/>
      <c r="ET72" s="2"/>
      <c r="EU72" s="2"/>
      <c r="EV72" s="2"/>
      <c r="EW72" s="2"/>
      <c r="EX72" s="2"/>
      <c r="EY72" s="2"/>
      <c r="EZ72" s="2"/>
      <c r="FA72" s="2"/>
      <c r="FB72" s="2"/>
      <c r="FC72" s="2"/>
      <c r="FD72" s="2"/>
      <c r="FE72" s="2"/>
      <c r="FF72" s="2"/>
      <c r="FG72" s="2"/>
      <c r="FH72" s="2"/>
      <c r="FI72" s="2"/>
      <c r="FJ72" s="2"/>
      <c r="FK72" s="2"/>
      <c r="FL72" s="2"/>
      <c r="FM72" s="2"/>
      <c r="FN72" s="2"/>
      <c r="FO72" s="2"/>
      <c r="FP72" s="2"/>
      <c r="FQ72" s="2"/>
      <c r="FR72" s="2"/>
      <c r="FS72" s="2"/>
      <c r="FT72" s="2"/>
      <c r="FU72" s="2"/>
      <c r="FV72" s="2"/>
      <c r="FW72" s="2"/>
      <c r="FX72" s="2"/>
      <c r="FY72" s="2"/>
      <c r="FZ72" s="2"/>
      <c r="GA72" s="2"/>
      <c r="GB72" s="2"/>
      <c r="GC72" s="2"/>
      <c r="GD72" s="2"/>
      <c r="GE72" s="2"/>
      <c r="GF72" s="2"/>
      <c r="GG72" s="2"/>
      <c r="GH72" s="2"/>
      <c r="GI72" s="2"/>
      <c r="GJ72" s="2"/>
      <c r="GK72" s="2"/>
      <c r="GL72" s="2"/>
      <c r="GM72" s="2"/>
      <c r="GN72" s="2"/>
      <c r="GO72" s="2"/>
      <c r="GP72" s="2"/>
      <c r="GQ72" s="2"/>
      <c r="GR72" s="2"/>
      <c r="GS72" s="2"/>
      <c r="GT72" s="2"/>
      <c r="GU72" s="2"/>
      <c r="GV72" s="2"/>
      <c r="GW72" s="2"/>
      <c r="GX72" s="2"/>
      <c r="GY72" s="2"/>
      <c r="GZ72" s="2"/>
      <c r="HA72" s="2"/>
      <c r="HB72" s="2"/>
      <c r="HC72" s="2"/>
      <c r="HD72" s="2"/>
      <c r="HE72" s="2"/>
      <c r="HF72" s="2"/>
      <c r="HG72" s="2"/>
      <c r="HH72" s="2"/>
      <c r="HI72" s="2"/>
      <c r="HJ72" s="2"/>
      <c r="HK72" s="2"/>
      <c r="HL72" s="2"/>
      <c r="HM72" s="2"/>
      <c r="HN72" s="2"/>
      <c r="HO72" s="2"/>
      <c r="HP72" s="2"/>
      <c r="HQ72" s="2"/>
      <c r="HR72" s="2"/>
      <c r="HS72" s="2"/>
      <c r="HT72" s="2"/>
      <c r="HU72" s="2"/>
      <c r="HV72" s="2"/>
      <c r="HW72" s="2"/>
      <c r="HX72" s="2"/>
      <c r="HY72" s="2"/>
      <c r="HZ72" s="2"/>
      <c r="IA72" s="2"/>
      <c r="IB72" s="2"/>
      <c r="IC72" s="2"/>
      <c r="ID72" s="2"/>
      <c r="IE72" s="2"/>
      <c r="IF72" s="2"/>
      <c r="IG72" s="2"/>
      <c r="IH72" s="2"/>
      <c r="II72" s="2"/>
      <c r="IJ72" s="2"/>
      <c r="IK72" s="2"/>
      <c r="IL72" s="2"/>
      <c r="IM72" s="2"/>
      <c r="IN72" s="2"/>
      <c r="IO72" s="2"/>
      <c r="IP72" s="2"/>
      <c r="IQ72" s="2"/>
      <c r="IR72" s="2"/>
      <c r="IS72" s="2"/>
    </row>
    <row r="73" spans="1:253" s="3" customFormat="1" ht="15.75" customHeight="1" x14ac:dyDescent="0.25">
      <c r="A73" s="1"/>
      <c r="B73" s="40" t="s">
        <v>1943</v>
      </c>
      <c r="C73" s="46">
        <f>cebu!$D$331</f>
        <v>136453</v>
      </c>
      <c r="D73" s="51"/>
      <c r="E73" s="5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  <c r="DP73" s="2"/>
      <c r="DQ73" s="2"/>
      <c r="DR73" s="2"/>
      <c r="DS73" s="2"/>
      <c r="DT73" s="2"/>
      <c r="DU73" s="2"/>
      <c r="DV73" s="2"/>
      <c r="DW73" s="2"/>
      <c r="DX73" s="2"/>
      <c r="DY73" s="2"/>
      <c r="DZ73" s="2"/>
      <c r="EA73" s="2"/>
      <c r="EB73" s="2"/>
      <c r="EC73" s="2"/>
      <c r="ED73" s="2"/>
      <c r="EE73" s="2"/>
      <c r="EF73" s="2"/>
      <c r="EG73" s="2"/>
      <c r="EH73" s="2"/>
      <c r="EI73" s="2"/>
      <c r="EJ73" s="2"/>
      <c r="EK73" s="2"/>
      <c r="EL73" s="2"/>
      <c r="EM73" s="2"/>
      <c r="EN73" s="2"/>
      <c r="EO73" s="2"/>
      <c r="EP73" s="2"/>
      <c r="EQ73" s="2"/>
      <c r="ER73" s="2"/>
      <c r="ES73" s="2"/>
      <c r="ET73" s="2"/>
      <c r="EU73" s="2"/>
      <c r="EV73" s="2"/>
      <c r="EW73" s="2"/>
      <c r="EX73" s="2"/>
      <c r="EY73" s="2"/>
      <c r="EZ73" s="2"/>
      <c r="FA73" s="2"/>
      <c r="FB73" s="2"/>
      <c r="FC73" s="2"/>
      <c r="FD73" s="2"/>
      <c r="FE73" s="2"/>
      <c r="FF73" s="2"/>
      <c r="FG73" s="2"/>
      <c r="FH73" s="2"/>
      <c r="FI73" s="2"/>
      <c r="FJ73" s="2"/>
      <c r="FK73" s="2"/>
      <c r="FL73" s="2"/>
      <c r="FM73" s="2"/>
      <c r="FN73" s="2"/>
      <c r="FO73" s="2"/>
      <c r="FP73" s="2"/>
      <c r="FQ73" s="2"/>
      <c r="FR73" s="2"/>
      <c r="FS73" s="2"/>
      <c r="FT73" s="2"/>
      <c r="FU73" s="2"/>
      <c r="FV73" s="2"/>
      <c r="FW73" s="2"/>
      <c r="FX73" s="2"/>
      <c r="FY73" s="2"/>
      <c r="FZ73" s="2"/>
      <c r="GA73" s="2"/>
      <c r="GB73" s="2"/>
      <c r="GC73" s="2"/>
      <c r="GD73" s="2"/>
      <c r="GE73" s="2"/>
      <c r="GF73" s="2"/>
      <c r="GG73" s="2"/>
      <c r="GH73" s="2"/>
      <c r="GI73" s="2"/>
      <c r="GJ73" s="2"/>
      <c r="GK73" s="2"/>
      <c r="GL73" s="2"/>
      <c r="GM73" s="2"/>
      <c r="GN73" s="2"/>
      <c r="GO73" s="2"/>
      <c r="GP73" s="2"/>
      <c r="GQ73" s="2"/>
      <c r="GR73" s="2"/>
      <c r="GS73" s="2"/>
      <c r="GT73" s="2"/>
      <c r="GU73" s="2"/>
      <c r="GV73" s="2"/>
      <c r="GW73" s="2"/>
      <c r="GX73" s="2"/>
      <c r="GY73" s="2"/>
      <c r="GZ73" s="2"/>
      <c r="HA73" s="2"/>
      <c r="HB73" s="2"/>
      <c r="HC73" s="2"/>
      <c r="HD73" s="2"/>
      <c r="HE73" s="2"/>
      <c r="HF73" s="2"/>
      <c r="HG73" s="2"/>
      <c r="HH73" s="2"/>
      <c r="HI73" s="2"/>
      <c r="HJ73" s="2"/>
      <c r="HK73" s="2"/>
      <c r="HL73" s="2"/>
      <c r="HM73" s="2"/>
      <c r="HN73" s="2"/>
      <c r="HO73" s="2"/>
      <c r="HP73" s="2"/>
      <c r="HQ73" s="2"/>
      <c r="HR73" s="2"/>
      <c r="HS73" s="2"/>
      <c r="HT73" s="2"/>
      <c r="HU73" s="2"/>
      <c r="HV73" s="2"/>
      <c r="HW73" s="2"/>
      <c r="HX73" s="2"/>
      <c r="HY73" s="2"/>
      <c r="HZ73" s="2"/>
      <c r="IA73" s="2"/>
      <c r="IB73" s="2"/>
      <c r="IC73" s="2"/>
      <c r="ID73" s="2"/>
      <c r="IE73" s="2"/>
      <c r="IF73" s="2"/>
      <c r="IG73" s="2"/>
      <c r="IH73" s="2"/>
      <c r="II73" s="2"/>
      <c r="IJ73" s="2"/>
      <c r="IK73" s="2"/>
      <c r="IL73" s="2"/>
      <c r="IM73" s="2"/>
      <c r="IN73" s="2"/>
      <c r="IO73" s="2"/>
      <c r="IP73" s="2"/>
      <c r="IQ73" s="2"/>
      <c r="IR73" s="2"/>
      <c r="IS73" s="2"/>
    </row>
    <row r="74" spans="1:253" s="6" customFormat="1" ht="15.75" customHeight="1" x14ac:dyDescent="0.25">
      <c r="A74" s="1"/>
      <c r="B74" s="40" t="s">
        <v>436</v>
      </c>
      <c r="C74" s="46">
        <f>cebu!$D$348</f>
        <v>57897</v>
      </c>
      <c r="D74" s="51"/>
      <c r="E74" s="5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  <c r="DP74" s="2"/>
      <c r="DQ74" s="2"/>
      <c r="DR74" s="2"/>
      <c r="DS74" s="2"/>
      <c r="DT74" s="2"/>
      <c r="DU74" s="2"/>
      <c r="DV74" s="2"/>
      <c r="DW74" s="2"/>
      <c r="DX74" s="2"/>
      <c r="DY74" s="2"/>
      <c r="DZ74" s="2"/>
      <c r="EA74" s="2"/>
      <c r="EB74" s="2"/>
      <c r="EC74" s="2"/>
      <c r="ED74" s="2"/>
      <c r="EE74" s="2"/>
      <c r="EF74" s="2"/>
      <c r="EG74" s="2"/>
      <c r="EH74" s="2"/>
      <c r="EI74" s="2"/>
      <c r="EJ74" s="2"/>
      <c r="EK74" s="2"/>
      <c r="EL74" s="2"/>
      <c r="EM74" s="2"/>
      <c r="EN74" s="2"/>
      <c r="EO74" s="2"/>
      <c r="EP74" s="2"/>
      <c r="EQ74" s="2"/>
      <c r="ER74" s="2"/>
      <c r="ES74" s="2"/>
      <c r="ET74" s="2"/>
      <c r="EU74" s="2"/>
      <c r="EV74" s="2"/>
      <c r="EW74" s="2"/>
      <c r="EX74" s="2"/>
      <c r="EY74" s="2"/>
      <c r="EZ74" s="2"/>
      <c r="FA74" s="2"/>
      <c r="FB74" s="2"/>
      <c r="FC74" s="2"/>
      <c r="FD74" s="2"/>
      <c r="FE74" s="2"/>
      <c r="FF74" s="2"/>
      <c r="FG74" s="2"/>
      <c r="FH74" s="2"/>
      <c r="FI74" s="2"/>
      <c r="FJ74" s="2"/>
      <c r="FK74" s="2"/>
      <c r="FL74" s="2"/>
      <c r="FM74" s="2"/>
      <c r="FN74" s="2"/>
      <c r="FO74" s="2"/>
      <c r="FP74" s="2"/>
      <c r="FQ74" s="2"/>
      <c r="FR74" s="2"/>
      <c r="FS74" s="2"/>
      <c r="FT74" s="2"/>
      <c r="FU74" s="2"/>
      <c r="FV74" s="2"/>
      <c r="FW74" s="2"/>
      <c r="FX74" s="2"/>
      <c r="FY74" s="2"/>
      <c r="FZ74" s="2"/>
      <c r="GA74" s="2"/>
      <c r="GB74" s="2"/>
      <c r="GC74" s="2"/>
      <c r="GD74" s="2"/>
      <c r="GE74" s="2"/>
      <c r="GF74" s="2"/>
      <c r="GG74" s="2"/>
      <c r="GH74" s="2"/>
      <c r="GI74" s="2"/>
      <c r="GJ74" s="2"/>
      <c r="GK74" s="2"/>
      <c r="GL74" s="2"/>
      <c r="GM74" s="2"/>
      <c r="GN74" s="2"/>
      <c r="GO74" s="2"/>
      <c r="GP74" s="2"/>
      <c r="GQ74" s="2"/>
      <c r="GR74" s="2"/>
      <c r="GS74" s="2"/>
      <c r="GT74" s="2"/>
      <c r="GU74" s="2"/>
      <c r="GV74" s="2"/>
      <c r="GW74" s="2"/>
      <c r="GX74" s="2"/>
      <c r="GY74" s="2"/>
      <c r="GZ74" s="2"/>
      <c r="HA74" s="2"/>
      <c r="HB74" s="2"/>
      <c r="HC74" s="2"/>
      <c r="HD74" s="2"/>
      <c r="HE74" s="2"/>
      <c r="HF74" s="2"/>
      <c r="HG74" s="2"/>
      <c r="HH74" s="2"/>
      <c r="HI74" s="2"/>
      <c r="HJ74" s="2"/>
      <c r="HK74" s="2"/>
      <c r="HL74" s="2"/>
      <c r="HM74" s="2"/>
      <c r="HN74" s="2"/>
      <c r="HO74" s="2"/>
      <c r="HP74" s="2"/>
      <c r="HQ74" s="2"/>
      <c r="HR74" s="2"/>
      <c r="HS74" s="2"/>
      <c r="HT74" s="2"/>
      <c r="HU74" s="2"/>
      <c r="HV74" s="2"/>
      <c r="HW74" s="2"/>
      <c r="HX74" s="2"/>
      <c r="HY74" s="2"/>
      <c r="HZ74" s="2"/>
      <c r="IA74" s="2"/>
      <c r="IB74" s="2"/>
      <c r="IC74" s="2"/>
      <c r="ID74" s="2"/>
      <c r="IE74" s="2"/>
      <c r="IF74" s="2"/>
      <c r="IG74" s="2"/>
      <c r="IH74" s="2"/>
      <c r="II74" s="2"/>
      <c r="IJ74" s="2"/>
      <c r="IK74" s="2"/>
      <c r="IL74" s="2"/>
      <c r="IM74" s="2"/>
      <c r="IN74" s="2"/>
      <c r="IO74" s="2"/>
      <c r="IP74" s="2"/>
      <c r="IQ74" s="2"/>
      <c r="IR74" s="2"/>
      <c r="IS74" s="2"/>
    </row>
    <row r="75" spans="1:253" s="6" customFormat="1" ht="15.75" customHeight="1" x14ac:dyDescent="0.25">
      <c r="A75" s="1"/>
      <c r="B75" s="40" t="s">
        <v>1272</v>
      </c>
      <c r="C75" s="46">
        <f>cebu!$D$371</f>
        <v>33745</v>
      </c>
      <c r="D75" s="51"/>
      <c r="E75" s="5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  <c r="DP75" s="2"/>
      <c r="DQ75" s="2"/>
      <c r="DR75" s="2"/>
      <c r="DS75" s="2"/>
      <c r="DT75" s="2"/>
      <c r="DU75" s="2"/>
      <c r="DV75" s="2"/>
      <c r="DW75" s="2"/>
      <c r="DX75" s="2"/>
      <c r="DY75" s="2"/>
      <c r="DZ75" s="2"/>
      <c r="EA75" s="2"/>
      <c r="EB75" s="2"/>
      <c r="EC75" s="2"/>
      <c r="ED75" s="2"/>
      <c r="EE75" s="2"/>
      <c r="EF75" s="2"/>
      <c r="EG75" s="2"/>
      <c r="EH75" s="2"/>
      <c r="EI75" s="2"/>
      <c r="EJ75" s="2"/>
      <c r="EK75" s="2"/>
      <c r="EL75" s="2"/>
      <c r="EM75" s="2"/>
      <c r="EN75" s="2"/>
      <c r="EO75" s="2"/>
      <c r="EP75" s="2"/>
      <c r="EQ75" s="2"/>
      <c r="ER75" s="2"/>
      <c r="ES75" s="2"/>
      <c r="ET75" s="2"/>
      <c r="EU75" s="2"/>
      <c r="EV75" s="2"/>
      <c r="EW75" s="2"/>
      <c r="EX75" s="2"/>
      <c r="EY75" s="2"/>
      <c r="EZ75" s="2"/>
      <c r="FA75" s="2"/>
      <c r="FB75" s="2"/>
      <c r="FC75" s="2"/>
      <c r="FD75" s="2"/>
      <c r="FE75" s="2"/>
      <c r="FF75" s="2"/>
      <c r="FG75" s="2"/>
      <c r="FH75" s="2"/>
      <c r="FI75" s="2"/>
      <c r="FJ75" s="2"/>
      <c r="FK75" s="2"/>
      <c r="FL75" s="2"/>
      <c r="FM75" s="2"/>
      <c r="FN75" s="2"/>
      <c r="FO75" s="2"/>
      <c r="FP75" s="2"/>
      <c r="FQ75" s="2"/>
      <c r="FR75" s="2"/>
      <c r="FS75" s="2"/>
      <c r="FT75" s="2"/>
      <c r="FU75" s="2"/>
      <c r="FV75" s="2"/>
      <c r="FW75" s="2"/>
      <c r="FX75" s="2"/>
      <c r="FY75" s="2"/>
      <c r="FZ75" s="2"/>
      <c r="GA75" s="2"/>
      <c r="GB75" s="2"/>
      <c r="GC75" s="2"/>
      <c r="GD75" s="2"/>
      <c r="GE75" s="2"/>
      <c r="GF75" s="2"/>
      <c r="GG75" s="2"/>
      <c r="GH75" s="2"/>
      <c r="GI75" s="2"/>
      <c r="GJ75" s="2"/>
      <c r="GK75" s="2"/>
      <c r="GL75" s="2"/>
      <c r="GM75" s="2"/>
      <c r="GN75" s="2"/>
      <c r="GO75" s="2"/>
      <c r="GP75" s="2"/>
      <c r="GQ75" s="2"/>
      <c r="GR75" s="2"/>
      <c r="GS75" s="2"/>
      <c r="GT75" s="2"/>
      <c r="GU75" s="2"/>
      <c r="GV75" s="2"/>
      <c r="GW75" s="2"/>
      <c r="GX75" s="2"/>
      <c r="GY75" s="2"/>
      <c r="GZ75" s="2"/>
      <c r="HA75" s="2"/>
      <c r="HB75" s="2"/>
      <c r="HC75" s="2"/>
      <c r="HD75" s="2"/>
      <c r="HE75" s="2"/>
      <c r="HF75" s="2"/>
      <c r="HG75" s="2"/>
      <c r="HH75" s="2"/>
      <c r="HI75" s="2"/>
      <c r="HJ75" s="2"/>
      <c r="HK75" s="2"/>
      <c r="HL75" s="2"/>
      <c r="HM75" s="2"/>
      <c r="HN75" s="2"/>
      <c r="HO75" s="2"/>
      <c r="HP75" s="2"/>
      <c r="HQ75" s="2"/>
      <c r="HR75" s="2"/>
      <c r="HS75" s="2"/>
      <c r="HT75" s="2"/>
      <c r="HU75" s="2"/>
      <c r="HV75" s="2"/>
      <c r="HW75" s="2"/>
      <c r="HX75" s="2"/>
      <c r="HY75" s="2"/>
      <c r="HZ75" s="2"/>
      <c r="IA75" s="2"/>
      <c r="IB75" s="2"/>
      <c r="IC75" s="2"/>
      <c r="ID75" s="2"/>
      <c r="IE75" s="2"/>
      <c r="IF75" s="2"/>
      <c r="IG75" s="2"/>
      <c r="IH75" s="2"/>
      <c r="II75" s="2"/>
      <c r="IJ75" s="2"/>
      <c r="IK75" s="2"/>
      <c r="IL75" s="2"/>
      <c r="IM75" s="2"/>
      <c r="IN75" s="2"/>
      <c r="IO75" s="2"/>
      <c r="IP75" s="2"/>
      <c r="IQ75" s="2"/>
      <c r="IR75" s="2"/>
      <c r="IS75" s="2"/>
    </row>
    <row r="76" spans="1:253" s="6" customFormat="1" ht="15.75" customHeight="1" x14ac:dyDescent="0.25">
      <c r="A76" s="1"/>
      <c r="B76" s="40" t="s">
        <v>1291</v>
      </c>
      <c r="C76" s="46">
        <f>cebu!$D$393</f>
        <v>55874</v>
      </c>
      <c r="D76" s="51"/>
      <c r="E76" s="5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  <c r="DP76" s="2"/>
      <c r="DQ76" s="2"/>
      <c r="DR76" s="2"/>
      <c r="DS76" s="2"/>
      <c r="DT76" s="2"/>
      <c r="DU76" s="2"/>
      <c r="DV76" s="2"/>
      <c r="DW76" s="2"/>
      <c r="DX76" s="2"/>
      <c r="DY76" s="2"/>
      <c r="DZ76" s="2"/>
      <c r="EA76" s="2"/>
      <c r="EB76" s="2"/>
      <c r="EC76" s="2"/>
      <c r="ED76" s="2"/>
      <c r="EE76" s="2"/>
      <c r="EF76" s="2"/>
      <c r="EG76" s="2"/>
      <c r="EH76" s="2"/>
      <c r="EI76" s="2"/>
      <c r="EJ76" s="2"/>
      <c r="EK76" s="2"/>
      <c r="EL76" s="2"/>
      <c r="EM76" s="2"/>
      <c r="EN76" s="2"/>
      <c r="EO76" s="2"/>
      <c r="EP76" s="2"/>
      <c r="EQ76" s="2"/>
      <c r="ER76" s="2"/>
      <c r="ES76" s="2"/>
      <c r="ET76" s="2"/>
      <c r="EU76" s="2"/>
      <c r="EV76" s="2"/>
      <c r="EW76" s="2"/>
      <c r="EX76" s="2"/>
      <c r="EY76" s="2"/>
      <c r="EZ76" s="2"/>
      <c r="FA76" s="2"/>
      <c r="FB76" s="2"/>
      <c r="FC76" s="2"/>
      <c r="FD76" s="2"/>
      <c r="FE76" s="2"/>
      <c r="FF76" s="2"/>
      <c r="FG76" s="2"/>
      <c r="FH76" s="2"/>
      <c r="FI76" s="2"/>
      <c r="FJ76" s="2"/>
      <c r="FK76" s="2"/>
      <c r="FL76" s="2"/>
      <c r="FM76" s="2"/>
      <c r="FN76" s="2"/>
      <c r="FO76" s="2"/>
      <c r="FP76" s="2"/>
      <c r="FQ76" s="2"/>
      <c r="FR76" s="2"/>
      <c r="FS76" s="2"/>
      <c r="FT76" s="2"/>
      <c r="FU76" s="2"/>
      <c r="FV76" s="2"/>
      <c r="FW76" s="2"/>
      <c r="FX76" s="2"/>
      <c r="FY76" s="2"/>
      <c r="FZ76" s="2"/>
      <c r="GA76" s="2"/>
      <c r="GB76" s="2"/>
      <c r="GC76" s="2"/>
      <c r="GD76" s="2"/>
      <c r="GE76" s="2"/>
      <c r="GF76" s="2"/>
      <c r="GG76" s="2"/>
      <c r="GH76" s="2"/>
      <c r="GI76" s="2"/>
      <c r="GJ76" s="2"/>
      <c r="GK76" s="2"/>
      <c r="GL76" s="2"/>
      <c r="GM76" s="2"/>
      <c r="GN76" s="2"/>
      <c r="GO76" s="2"/>
      <c r="GP76" s="2"/>
      <c r="GQ76" s="2"/>
      <c r="GR76" s="2"/>
      <c r="GS76" s="2"/>
      <c r="GT76" s="2"/>
      <c r="GU76" s="2"/>
      <c r="GV76" s="2"/>
      <c r="GW76" s="2"/>
      <c r="GX76" s="2"/>
      <c r="GY76" s="2"/>
      <c r="GZ76" s="2"/>
      <c r="HA76" s="2"/>
      <c r="HB76" s="2"/>
      <c r="HC76" s="2"/>
      <c r="HD76" s="2"/>
      <c r="HE76" s="2"/>
      <c r="HF76" s="2"/>
      <c r="HG76" s="2"/>
      <c r="HH76" s="2"/>
      <c r="HI76" s="2"/>
      <c r="HJ76" s="2"/>
      <c r="HK76" s="2"/>
      <c r="HL76" s="2"/>
      <c r="HM76" s="2"/>
      <c r="HN76" s="2"/>
      <c r="HO76" s="2"/>
      <c r="HP76" s="2"/>
      <c r="HQ76" s="2"/>
      <c r="HR76" s="2"/>
      <c r="HS76" s="2"/>
      <c r="HT76" s="2"/>
      <c r="HU76" s="2"/>
      <c r="HV76" s="2"/>
      <c r="HW76" s="2"/>
      <c r="HX76" s="2"/>
      <c r="HY76" s="2"/>
      <c r="HZ76" s="2"/>
      <c r="IA76" s="2"/>
      <c r="IB76" s="2"/>
      <c r="IC76" s="2"/>
      <c r="ID76" s="2"/>
      <c r="IE76" s="2"/>
      <c r="IF76" s="2"/>
      <c r="IG76" s="2"/>
      <c r="IH76" s="2"/>
      <c r="II76" s="2"/>
      <c r="IJ76" s="2"/>
      <c r="IK76" s="2"/>
      <c r="IL76" s="2"/>
      <c r="IM76" s="2"/>
      <c r="IN76" s="2"/>
      <c r="IO76" s="2"/>
      <c r="IP76" s="2"/>
      <c r="IQ76" s="2"/>
      <c r="IR76" s="2"/>
      <c r="IS76" s="2"/>
    </row>
    <row r="77" spans="1:253" s="6" customFormat="1" ht="15.75" customHeight="1" x14ac:dyDescent="0.25">
      <c r="A77" s="1"/>
      <c r="B77" s="40" t="s">
        <v>1300</v>
      </c>
      <c r="C77" s="46">
        <f>cebu!$D$412</f>
        <v>148012</v>
      </c>
      <c r="D77" s="51"/>
      <c r="E77" s="5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  <c r="DP77" s="2"/>
      <c r="DQ77" s="2"/>
      <c r="DR77" s="2"/>
      <c r="DS77" s="2"/>
      <c r="DT77" s="2"/>
      <c r="DU77" s="2"/>
      <c r="DV77" s="2"/>
      <c r="DW77" s="2"/>
      <c r="DX77" s="2"/>
      <c r="DY77" s="2"/>
      <c r="DZ77" s="2"/>
      <c r="EA77" s="2"/>
      <c r="EB77" s="2"/>
      <c r="EC77" s="2"/>
      <c r="ED77" s="2"/>
      <c r="EE77" s="2"/>
      <c r="EF77" s="2"/>
      <c r="EG77" s="2"/>
      <c r="EH77" s="2"/>
      <c r="EI77" s="2"/>
      <c r="EJ77" s="2"/>
      <c r="EK77" s="2"/>
      <c r="EL77" s="2"/>
      <c r="EM77" s="2"/>
      <c r="EN77" s="2"/>
      <c r="EO77" s="2"/>
      <c r="EP77" s="2"/>
      <c r="EQ77" s="2"/>
      <c r="ER77" s="2"/>
      <c r="ES77" s="2"/>
      <c r="ET77" s="2"/>
      <c r="EU77" s="2"/>
      <c r="EV77" s="2"/>
      <c r="EW77" s="2"/>
      <c r="EX77" s="2"/>
      <c r="EY77" s="2"/>
      <c r="EZ77" s="2"/>
      <c r="FA77" s="2"/>
      <c r="FB77" s="2"/>
      <c r="FC77" s="2"/>
      <c r="FD77" s="2"/>
      <c r="FE77" s="2"/>
      <c r="FF77" s="2"/>
      <c r="FG77" s="2"/>
      <c r="FH77" s="2"/>
      <c r="FI77" s="2"/>
      <c r="FJ77" s="2"/>
      <c r="FK77" s="2"/>
      <c r="FL77" s="2"/>
      <c r="FM77" s="2"/>
      <c r="FN77" s="2"/>
      <c r="FO77" s="2"/>
      <c r="FP77" s="2"/>
      <c r="FQ77" s="2"/>
      <c r="FR77" s="2"/>
      <c r="FS77" s="2"/>
      <c r="FT77" s="2"/>
      <c r="FU77" s="2"/>
      <c r="FV77" s="2"/>
      <c r="FW77" s="2"/>
      <c r="FX77" s="2"/>
      <c r="FY77" s="2"/>
      <c r="FZ77" s="2"/>
      <c r="GA77" s="2"/>
      <c r="GB77" s="2"/>
      <c r="GC77" s="2"/>
      <c r="GD77" s="2"/>
      <c r="GE77" s="2"/>
      <c r="GF77" s="2"/>
      <c r="GG77" s="2"/>
      <c r="GH77" s="2"/>
      <c r="GI77" s="2"/>
      <c r="GJ77" s="2"/>
      <c r="GK77" s="2"/>
      <c r="GL77" s="2"/>
      <c r="GM77" s="2"/>
      <c r="GN77" s="2"/>
      <c r="GO77" s="2"/>
      <c r="GP77" s="2"/>
      <c r="GQ77" s="2"/>
      <c r="GR77" s="2"/>
      <c r="GS77" s="2"/>
      <c r="GT77" s="2"/>
      <c r="GU77" s="2"/>
      <c r="GV77" s="2"/>
      <c r="GW77" s="2"/>
      <c r="GX77" s="2"/>
      <c r="GY77" s="2"/>
      <c r="GZ77" s="2"/>
      <c r="HA77" s="2"/>
      <c r="HB77" s="2"/>
      <c r="HC77" s="2"/>
      <c r="HD77" s="2"/>
      <c r="HE77" s="2"/>
      <c r="HF77" s="2"/>
      <c r="HG77" s="2"/>
      <c r="HH77" s="2"/>
      <c r="HI77" s="2"/>
      <c r="HJ77" s="2"/>
      <c r="HK77" s="2"/>
      <c r="HL77" s="2"/>
      <c r="HM77" s="2"/>
      <c r="HN77" s="2"/>
      <c r="HO77" s="2"/>
      <c r="HP77" s="2"/>
      <c r="HQ77" s="2"/>
      <c r="HR77" s="2"/>
      <c r="HS77" s="2"/>
      <c r="HT77" s="2"/>
      <c r="HU77" s="2"/>
      <c r="HV77" s="2"/>
      <c r="HW77" s="2"/>
      <c r="HX77" s="2"/>
      <c r="HY77" s="2"/>
      <c r="HZ77" s="2"/>
      <c r="IA77" s="2"/>
      <c r="IB77" s="2"/>
      <c r="IC77" s="2"/>
      <c r="ID77" s="2"/>
      <c r="IE77" s="2"/>
      <c r="IF77" s="2"/>
      <c r="IG77" s="2"/>
      <c r="IH77" s="2"/>
      <c r="II77" s="2"/>
      <c r="IJ77" s="2"/>
      <c r="IK77" s="2"/>
      <c r="IL77" s="2"/>
      <c r="IM77" s="2"/>
      <c r="IN77" s="2"/>
      <c r="IO77" s="2"/>
      <c r="IP77" s="2"/>
      <c r="IQ77" s="2"/>
      <c r="IR77" s="2"/>
      <c r="IS77" s="2"/>
    </row>
    <row r="78" spans="1:253" s="6" customFormat="1" ht="15.75" customHeight="1" x14ac:dyDescent="0.25">
      <c r="A78" s="1"/>
      <c r="B78" s="40" t="s">
        <v>1948</v>
      </c>
      <c r="C78" s="46">
        <f>cebu!$D$435</f>
        <v>70595</v>
      </c>
      <c r="D78" s="51"/>
      <c r="E78" s="5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  <c r="DP78" s="2"/>
      <c r="DQ78" s="2"/>
      <c r="DR78" s="2"/>
      <c r="DS78" s="2"/>
      <c r="DT78" s="2"/>
      <c r="DU78" s="2"/>
      <c r="DV78" s="2"/>
      <c r="DW78" s="2"/>
      <c r="DX78" s="2"/>
      <c r="DY78" s="2"/>
      <c r="DZ78" s="2"/>
      <c r="EA78" s="2"/>
      <c r="EB78" s="2"/>
      <c r="EC78" s="2"/>
      <c r="ED78" s="2"/>
      <c r="EE78" s="2"/>
      <c r="EF78" s="2"/>
      <c r="EG78" s="2"/>
      <c r="EH78" s="2"/>
      <c r="EI78" s="2"/>
      <c r="EJ78" s="2"/>
      <c r="EK78" s="2"/>
      <c r="EL78" s="2"/>
      <c r="EM78" s="2"/>
      <c r="EN78" s="2"/>
      <c r="EO78" s="2"/>
      <c r="EP78" s="2"/>
      <c r="EQ78" s="2"/>
      <c r="ER78" s="2"/>
      <c r="ES78" s="2"/>
      <c r="ET78" s="2"/>
      <c r="EU78" s="2"/>
      <c r="EV78" s="2"/>
      <c r="EW78" s="2"/>
      <c r="EX78" s="2"/>
      <c r="EY78" s="2"/>
      <c r="EZ78" s="2"/>
      <c r="FA78" s="2"/>
      <c r="FB78" s="2"/>
      <c r="FC78" s="2"/>
      <c r="FD78" s="2"/>
      <c r="FE78" s="2"/>
      <c r="FF78" s="2"/>
      <c r="FG78" s="2"/>
      <c r="FH78" s="2"/>
      <c r="FI78" s="2"/>
      <c r="FJ78" s="2"/>
      <c r="FK78" s="2"/>
      <c r="FL78" s="2"/>
      <c r="FM78" s="2"/>
      <c r="FN78" s="2"/>
      <c r="FO78" s="2"/>
      <c r="FP78" s="2"/>
      <c r="FQ78" s="2"/>
      <c r="FR78" s="2"/>
      <c r="FS78" s="2"/>
      <c r="FT78" s="2"/>
      <c r="FU78" s="2"/>
      <c r="FV78" s="2"/>
      <c r="FW78" s="2"/>
      <c r="FX78" s="2"/>
      <c r="FY78" s="2"/>
      <c r="FZ78" s="2"/>
      <c r="GA78" s="2"/>
      <c r="GB78" s="2"/>
      <c r="GC78" s="2"/>
      <c r="GD78" s="2"/>
      <c r="GE78" s="2"/>
      <c r="GF78" s="2"/>
      <c r="GG78" s="2"/>
      <c r="GH78" s="2"/>
      <c r="GI78" s="2"/>
      <c r="GJ78" s="2"/>
      <c r="GK78" s="2"/>
      <c r="GL78" s="2"/>
      <c r="GM78" s="2"/>
      <c r="GN78" s="2"/>
      <c r="GO78" s="2"/>
      <c r="GP78" s="2"/>
      <c r="GQ78" s="2"/>
      <c r="GR78" s="2"/>
      <c r="GS78" s="2"/>
      <c r="GT78" s="2"/>
      <c r="GU78" s="2"/>
      <c r="GV78" s="2"/>
      <c r="GW78" s="2"/>
      <c r="GX78" s="2"/>
      <c r="GY78" s="2"/>
      <c r="GZ78" s="2"/>
      <c r="HA78" s="2"/>
      <c r="HB78" s="2"/>
      <c r="HC78" s="2"/>
      <c r="HD78" s="2"/>
      <c r="HE78" s="2"/>
      <c r="HF78" s="2"/>
      <c r="HG78" s="2"/>
      <c r="HH78" s="2"/>
      <c r="HI78" s="2"/>
      <c r="HJ78" s="2"/>
      <c r="HK78" s="2"/>
      <c r="HL78" s="2"/>
      <c r="HM78" s="2"/>
      <c r="HN78" s="2"/>
      <c r="HO78" s="2"/>
      <c r="HP78" s="2"/>
      <c r="HQ78" s="2"/>
      <c r="HR78" s="2"/>
      <c r="HS78" s="2"/>
      <c r="HT78" s="2"/>
      <c r="HU78" s="2"/>
      <c r="HV78" s="2"/>
      <c r="HW78" s="2"/>
      <c r="HX78" s="2"/>
      <c r="HY78" s="2"/>
      <c r="HZ78" s="2"/>
      <c r="IA78" s="2"/>
      <c r="IB78" s="2"/>
      <c r="IC78" s="2"/>
      <c r="ID78" s="2"/>
      <c r="IE78" s="2"/>
      <c r="IF78" s="2"/>
      <c r="IG78" s="2"/>
      <c r="IH78" s="2"/>
      <c r="II78" s="2"/>
      <c r="IJ78" s="2"/>
      <c r="IK78" s="2"/>
      <c r="IL78" s="2"/>
      <c r="IM78" s="2"/>
      <c r="IN78" s="2"/>
      <c r="IO78" s="2"/>
      <c r="IP78" s="2"/>
      <c r="IQ78" s="2"/>
      <c r="IR78" s="2"/>
      <c r="IS78" s="2"/>
    </row>
    <row r="79" spans="1:253" s="6" customFormat="1" ht="15.75" customHeight="1" x14ac:dyDescent="0.25">
      <c r="A79" s="1"/>
      <c r="B79" s="40" t="s">
        <v>1321</v>
      </c>
      <c r="C79" s="46">
        <f>cebu!$D$450</f>
        <v>93502</v>
      </c>
      <c r="D79" s="51"/>
      <c r="E79" s="5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  <c r="DP79" s="2"/>
      <c r="DQ79" s="2"/>
      <c r="DR79" s="2"/>
      <c r="DS79" s="2"/>
      <c r="DT79" s="2"/>
      <c r="DU79" s="2"/>
      <c r="DV79" s="2"/>
      <c r="DW79" s="2"/>
      <c r="DX79" s="2"/>
      <c r="DY79" s="2"/>
      <c r="DZ79" s="2"/>
      <c r="EA79" s="2"/>
      <c r="EB79" s="2"/>
      <c r="EC79" s="2"/>
      <c r="ED79" s="2"/>
      <c r="EE79" s="2"/>
      <c r="EF79" s="2"/>
      <c r="EG79" s="2"/>
      <c r="EH79" s="2"/>
      <c r="EI79" s="2"/>
      <c r="EJ79" s="2"/>
      <c r="EK79" s="2"/>
      <c r="EL79" s="2"/>
      <c r="EM79" s="2"/>
      <c r="EN79" s="2"/>
      <c r="EO79" s="2"/>
      <c r="EP79" s="2"/>
      <c r="EQ79" s="2"/>
      <c r="ER79" s="2"/>
      <c r="ES79" s="2"/>
      <c r="ET79" s="2"/>
      <c r="EU79" s="2"/>
      <c r="EV79" s="2"/>
      <c r="EW79" s="2"/>
      <c r="EX79" s="2"/>
      <c r="EY79" s="2"/>
      <c r="EZ79" s="2"/>
      <c r="FA79" s="2"/>
      <c r="FB79" s="2"/>
      <c r="FC79" s="2"/>
      <c r="FD79" s="2"/>
      <c r="FE79" s="2"/>
      <c r="FF79" s="2"/>
      <c r="FG79" s="2"/>
      <c r="FH79" s="2"/>
      <c r="FI79" s="2"/>
      <c r="FJ79" s="2"/>
      <c r="FK79" s="2"/>
      <c r="FL79" s="2"/>
      <c r="FM79" s="2"/>
      <c r="FN79" s="2"/>
      <c r="FO79" s="2"/>
      <c r="FP79" s="2"/>
      <c r="FQ79" s="2"/>
      <c r="FR79" s="2"/>
      <c r="FS79" s="2"/>
      <c r="FT79" s="2"/>
      <c r="FU79" s="2"/>
      <c r="FV79" s="2"/>
      <c r="FW79" s="2"/>
      <c r="FX79" s="2"/>
      <c r="FY79" s="2"/>
      <c r="FZ79" s="2"/>
      <c r="GA79" s="2"/>
      <c r="GB79" s="2"/>
      <c r="GC79" s="2"/>
      <c r="GD79" s="2"/>
      <c r="GE79" s="2"/>
      <c r="GF79" s="2"/>
      <c r="GG79" s="2"/>
      <c r="GH79" s="2"/>
      <c r="GI79" s="2"/>
      <c r="GJ79" s="2"/>
      <c r="GK79" s="2"/>
      <c r="GL79" s="2"/>
      <c r="GM79" s="2"/>
      <c r="GN79" s="2"/>
      <c r="GO79" s="2"/>
      <c r="GP79" s="2"/>
      <c r="GQ79" s="2"/>
      <c r="GR79" s="2"/>
      <c r="GS79" s="2"/>
      <c r="GT79" s="2"/>
      <c r="GU79" s="2"/>
      <c r="GV79" s="2"/>
      <c r="GW79" s="2"/>
      <c r="GX79" s="2"/>
      <c r="GY79" s="2"/>
      <c r="GZ79" s="2"/>
      <c r="HA79" s="2"/>
      <c r="HB79" s="2"/>
      <c r="HC79" s="2"/>
      <c r="HD79" s="2"/>
      <c r="HE79" s="2"/>
      <c r="HF79" s="2"/>
      <c r="HG79" s="2"/>
      <c r="HH79" s="2"/>
      <c r="HI79" s="2"/>
      <c r="HJ79" s="2"/>
      <c r="HK79" s="2"/>
      <c r="HL79" s="2"/>
      <c r="HM79" s="2"/>
      <c r="HN79" s="2"/>
      <c r="HO79" s="2"/>
      <c r="HP79" s="2"/>
      <c r="HQ79" s="2"/>
      <c r="HR79" s="2"/>
      <c r="HS79" s="2"/>
      <c r="HT79" s="2"/>
      <c r="HU79" s="2"/>
      <c r="HV79" s="2"/>
      <c r="HW79" s="2"/>
      <c r="HX79" s="2"/>
      <c r="HY79" s="2"/>
      <c r="HZ79" s="2"/>
      <c r="IA79" s="2"/>
      <c r="IB79" s="2"/>
      <c r="IC79" s="2"/>
      <c r="ID79" s="2"/>
      <c r="IE79" s="2"/>
      <c r="IF79" s="2"/>
      <c r="IG79" s="2"/>
      <c r="IH79" s="2"/>
      <c r="II79" s="2"/>
      <c r="IJ79" s="2"/>
      <c r="IK79" s="2"/>
      <c r="IL79" s="2"/>
      <c r="IM79" s="2"/>
      <c r="IN79" s="2"/>
      <c r="IO79" s="2"/>
      <c r="IP79" s="2"/>
      <c r="IQ79" s="2"/>
      <c r="IR79" s="2"/>
      <c r="IS79" s="2"/>
    </row>
    <row r="80" spans="1:253" s="6" customFormat="1" ht="15.75" customHeight="1" x14ac:dyDescent="0.25">
      <c r="A80" s="1"/>
      <c r="B80" s="40" t="s">
        <v>1335</v>
      </c>
      <c r="C80" s="46">
        <f>cebu!$D$472</f>
        <v>74596</v>
      </c>
      <c r="D80" s="51"/>
      <c r="E80" s="5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  <c r="DP80" s="2"/>
      <c r="DQ80" s="2"/>
      <c r="DR80" s="2"/>
      <c r="DS80" s="2"/>
      <c r="DT80" s="2"/>
      <c r="DU80" s="2"/>
      <c r="DV80" s="2"/>
      <c r="DW80" s="2"/>
      <c r="DX80" s="2"/>
      <c r="DY80" s="2"/>
      <c r="DZ80" s="2"/>
      <c r="EA80" s="2"/>
      <c r="EB80" s="2"/>
      <c r="EC80" s="2"/>
      <c r="ED80" s="2"/>
      <c r="EE80" s="2"/>
      <c r="EF80" s="2"/>
      <c r="EG80" s="2"/>
      <c r="EH80" s="2"/>
      <c r="EI80" s="2"/>
      <c r="EJ80" s="2"/>
      <c r="EK80" s="2"/>
      <c r="EL80" s="2"/>
      <c r="EM80" s="2"/>
      <c r="EN80" s="2"/>
      <c r="EO80" s="2"/>
      <c r="EP80" s="2"/>
      <c r="EQ80" s="2"/>
      <c r="ER80" s="2"/>
      <c r="ES80" s="2"/>
      <c r="ET80" s="2"/>
      <c r="EU80" s="2"/>
      <c r="EV80" s="2"/>
      <c r="EW80" s="2"/>
      <c r="EX80" s="2"/>
      <c r="EY80" s="2"/>
      <c r="EZ80" s="2"/>
      <c r="FA80" s="2"/>
      <c r="FB80" s="2"/>
      <c r="FC80" s="2"/>
      <c r="FD80" s="2"/>
      <c r="FE80" s="2"/>
      <c r="FF80" s="2"/>
      <c r="FG80" s="2"/>
      <c r="FH80" s="2"/>
      <c r="FI80" s="2"/>
      <c r="FJ80" s="2"/>
      <c r="FK80" s="2"/>
      <c r="FL80" s="2"/>
      <c r="FM80" s="2"/>
      <c r="FN80" s="2"/>
      <c r="FO80" s="2"/>
      <c r="FP80" s="2"/>
      <c r="FQ80" s="2"/>
      <c r="FR80" s="2"/>
      <c r="FS80" s="2"/>
      <c r="FT80" s="2"/>
      <c r="FU80" s="2"/>
      <c r="FV80" s="2"/>
      <c r="FW80" s="2"/>
      <c r="FX80" s="2"/>
      <c r="FY80" s="2"/>
      <c r="FZ80" s="2"/>
      <c r="GA80" s="2"/>
      <c r="GB80" s="2"/>
      <c r="GC80" s="2"/>
      <c r="GD80" s="2"/>
      <c r="GE80" s="2"/>
      <c r="GF80" s="2"/>
      <c r="GG80" s="2"/>
      <c r="GH80" s="2"/>
      <c r="GI80" s="2"/>
      <c r="GJ80" s="2"/>
      <c r="GK80" s="2"/>
      <c r="GL80" s="2"/>
      <c r="GM80" s="2"/>
      <c r="GN80" s="2"/>
      <c r="GO80" s="2"/>
      <c r="GP80" s="2"/>
      <c r="GQ80" s="2"/>
      <c r="GR80" s="2"/>
      <c r="GS80" s="2"/>
      <c r="GT80" s="2"/>
      <c r="GU80" s="2"/>
      <c r="GV80" s="2"/>
      <c r="GW80" s="2"/>
      <c r="GX80" s="2"/>
      <c r="GY80" s="2"/>
      <c r="GZ80" s="2"/>
      <c r="HA80" s="2"/>
      <c r="HB80" s="2"/>
      <c r="HC80" s="2"/>
      <c r="HD80" s="2"/>
      <c r="HE80" s="2"/>
      <c r="HF80" s="2"/>
      <c r="HG80" s="2"/>
      <c r="HH80" s="2"/>
      <c r="HI80" s="2"/>
      <c r="HJ80" s="2"/>
      <c r="HK80" s="2"/>
      <c r="HL80" s="2"/>
      <c r="HM80" s="2"/>
      <c r="HN80" s="2"/>
      <c r="HO80" s="2"/>
      <c r="HP80" s="2"/>
      <c r="HQ80" s="2"/>
      <c r="HR80" s="2"/>
      <c r="HS80" s="2"/>
      <c r="HT80" s="2"/>
      <c r="HU80" s="2"/>
      <c r="HV80" s="2"/>
      <c r="HW80" s="2"/>
      <c r="HX80" s="2"/>
      <c r="HY80" s="2"/>
      <c r="HZ80" s="2"/>
      <c r="IA80" s="2"/>
      <c r="IB80" s="2"/>
      <c r="IC80" s="2"/>
      <c r="ID80" s="2"/>
      <c r="IE80" s="2"/>
      <c r="IF80" s="2"/>
      <c r="IG80" s="2"/>
      <c r="IH80" s="2"/>
      <c r="II80" s="2"/>
      <c r="IJ80" s="2"/>
      <c r="IK80" s="2"/>
      <c r="IL80" s="2"/>
      <c r="IM80" s="2"/>
      <c r="IN80" s="2"/>
      <c r="IO80" s="2"/>
      <c r="IP80" s="2"/>
      <c r="IQ80" s="2"/>
      <c r="IR80" s="2"/>
      <c r="IS80" s="2"/>
    </row>
    <row r="81" spans="1:253" s="6" customFormat="1" ht="15.75" customHeight="1" x14ac:dyDescent="0.25">
      <c r="A81" s="1"/>
      <c r="B81" s="40" t="s">
        <v>1358</v>
      </c>
      <c r="C81" s="46">
        <f>cebu!$D$507</f>
        <v>156321</v>
      </c>
      <c r="D81" s="51"/>
      <c r="E81" s="5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  <c r="DP81" s="2"/>
      <c r="DQ81" s="2"/>
      <c r="DR81" s="2"/>
      <c r="DS81" s="2"/>
      <c r="DT81" s="2"/>
      <c r="DU81" s="2"/>
      <c r="DV81" s="2"/>
      <c r="DW81" s="2"/>
      <c r="DX81" s="2"/>
      <c r="DY81" s="2"/>
      <c r="DZ81" s="2"/>
      <c r="EA81" s="2"/>
      <c r="EB81" s="2"/>
      <c r="EC81" s="2"/>
      <c r="ED81" s="2"/>
      <c r="EE81" s="2"/>
      <c r="EF81" s="2"/>
      <c r="EG81" s="2"/>
      <c r="EH81" s="2"/>
      <c r="EI81" s="2"/>
      <c r="EJ81" s="2"/>
      <c r="EK81" s="2"/>
      <c r="EL81" s="2"/>
      <c r="EM81" s="2"/>
      <c r="EN81" s="2"/>
      <c r="EO81" s="2"/>
      <c r="EP81" s="2"/>
      <c r="EQ81" s="2"/>
      <c r="ER81" s="2"/>
      <c r="ES81" s="2"/>
      <c r="ET81" s="2"/>
      <c r="EU81" s="2"/>
      <c r="EV81" s="2"/>
      <c r="EW81" s="2"/>
      <c r="EX81" s="2"/>
      <c r="EY81" s="2"/>
      <c r="EZ81" s="2"/>
      <c r="FA81" s="2"/>
      <c r="FB81" s="2"/>
      <c r="FC81" s="2"/>
      <c r="FD81" s="2"/>
      <c r="FE81" s="2"/>
      <c r="FF81" s="2"/>
      <c r="FG81" s="2"/>
      <c r="FH81" s="2"/>
      <c r="FI81" s="2"/>
      <c r="FJ81" s="2"/>
      <c r="FK81" s="2"/>
      <c r="FL81" s="2"/>
      <c r="FM81" s="2"/>
      <c r="FN81" s="2"/>
      <c r="FO81" s="2"/>
      <c r="FP81" s="2"/>
      <c r="FQ81" s="2"/>
      <c r="FR81" s="2"/>
      <c r="FS81" s="2"/>
      <c r="FT81" s="2"/>
      <c r="FU81" s="2"/>
      <c r="FV81" s="2"/>
      <c r="FW81" s="2"/>
      <c r="FX81" s="2"/>
      <c r="FY81" s="2"/>
      <c r="FZ81" s="2"/>
      <c r="GA81" s="2"/>
      <c r="GB81" s="2"/>
      <c r="GC81" s="2"/>
      <c r="GD81" s="2"/>
      <c r="GE81" s="2"/>
      <c r="GF81" s="2"/>
      <c r="GG81" s="2"/>
      <c r="GH81" s="2"/>
      <c r="GI81" s="2"/>
      <c r="GJ81" s="2"/>
      <c r="GK81" s="2"/>
      <c r="GL81" s="2"/>
      <c r="GM81" s="2"/>
      <c r="GN81" s="2"/>
      <c r="GO81" s="2"/>
      <c r="GP81" s="2"/>
      <c r="GQ81" s="2"/>
      <c r="GR81" s="2"/>
      <c r="GS81" s="2"/>
      <c r="GT81" s="2"/>
      <c r="GU81" s="2"/>
      <c r="GV81" s="2"/>
      <c r="GW81" s="2"/>
      <c r="GX81" s="2"/>
      <c r="GY81" s="2"/>
      <c r="GZ81" s="2"/>
      <c r="HA81" s="2"/>
      <c r="HB81" s="2"/>
      <c r="HC81" s="2"/>
      <c r="HD81" s="2"/>
      <c r="HE81" s="2"/>
      <c r="HF81" s="2"/>
      <c r="HG81" s="2"/>
      <c r="HH81" s="2"/>
      <c r="HI81" s="2"/>
      <c r="HJ81" s="2"/>
      <c r="HK81" s="2"/>
      <c r="HL81" s="2"/>
      <c r="HM81" s="2"/>
      <c r="HN81" s="2"/>
      <c r="HO81" s="2"/>
      <c r="HP81" s="2"/>
      <c r="HQ81" s="2"/>
      <c r="HR81" s="2"/>
      <c r="HS81" s="2"/>
      <c r="HT81" s="2"/>
      <c r="HU81" s="2"/>
      <c r="HV81" s="2"/>
      <c r="HW81" s="2"/>
      <c r="HX81" s="2"/>
      <c r="HY81" s="2"/>
      <c r="HZ81" s="2"/>
      <c r="IA81" s="2"/>
      <c r="IB81" s="2"/>
      <c r="IC81" s="2"/>
      <c r="ID81" s="2"/>
      <c r="IE81" s="2"/>
      <c r="IF81" s="2"/>
      <c r="IG81" s="2"/>
      <c r="IH81" s="2"/>
      <c r="II81" s="2"/>
      <c r="IJ81" s="2"/>
      <c r="IK81" s="2"/>
      <c r="IL81" s="2"/>
      <c r="IM81" s="2"/>
      <c r="IN81" s="2"/>
      <c r="IO81" s="2"/>
      <c r="IP81" s="2"/>
      <c r="IQ81" s="2"/>
      <c r="IR81" s="2"/>
      <c r="IS81" s="2"/>
    </row>
    <row r="82" spans="1:253" s="6" customFormat="1" ht="15.75" customHeight="1" x14ac:dyDescent="0.25">
      <c r="A82" s="1"/>
      <c r="B82" s="40" t="s">
        <v>1385</v>
      </c>
      <c r="C82" s="46">
        <f>cebu!$D$551</f>
        <v>57823</v>
      </c>
      <c r="D82" s="51"/>
      <c r="E82" s="5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  <c r="DP82" s="2"/>
      <c r="DQ82" s="2"/>
      <c r="DR82" s="2"/>
      <c r="DS82" s="2"/>
      <c r="DT82" s="2"/>
      <c r="DU82" s="2"/>
      <c r="DV82" s="2"/>
      <c r="DW82" s="2"/>
      <c r="DX82" s="2"/>
      <c r="DY82" s="2"/>
      <c r="DZ82" s="2"/>
      <c r="EA82" s="2"/>
      <c r="EB82" s="2"/>
      <c r="EC82" s="2"/>
      <c r="ED82" s="2"/>
      <c r="EE82" s="2"/>
      <c r="EF82" s="2"/>
      <c r="EG82" s="2"/>
      <c r="EH82" s="2"/>
      <c r="EI82" s="2"/>
      <c r="EJ82" s="2"/>
      <c r="EK82" s="2"/>
      <c r="EL82" s="2"/>
      <c r="EM82" s="2"/>
      <c r="EN82" s="2"/>
      <c r="EO82" s="2"/>
      <c r="EP82" s="2"/>
      <c r="EQ82" s="2"/>
      <c r="ER82" s="2"/>
      <c r="ES82" s="2"/>
      <c r="ET82" s="2"/>
      <c r="EU82" s="2"/>
      <c r="EV82" s="2"/>
      <c r="EW82" s="2"/>
      <c r="EX82" s="2"/>
      <c r="EY82" s="2"/>
      <c r="EZ82" s="2"/>
      <c r="FA82" s="2"/>
      <c r="FB82" s="2"/>
      <c r="FC82" s="2"/>
      <c r="FD82" s="2"/>
      <c r="FE82" s="2"/>
      <c r="FF82" s="2"/>
      <c r="FG82" s="2"/>
      <c r="FH82" s="2"/>
      <c r="FI82" s="2"/>
      <c r="FJ82" s="2"/>
      <c r="FK82" s="2"/>
      <c r="FL82" s="2"/>
      <c r="FM82" s="2"/>
      <c r="FN82" s="2"/>
      <c r="FO82" s="2"/>
      <c r="FP82" s="2"/>
      <c r="FQ82" s="2"/>
      <c r="FR82" s="2"/>
      <c r="FS82" s="2"/>
      <c r="FT82" s="2"/>
      <c r="FU82" s="2"/>
      <c r="FV82" s="2"/>
      <c r="FW82" s="2"/>
      <c r="FX82" s="2"/>
      <c r="FY82" s="2"/>
      <c r="FZ82" s="2"/>
      <c r="GA82" s="2"/>
      <c r="GB82" s="2"/>
      <c r="GC82" s="2"/>
      <c r="GD82" s="2"/>
      <c r="GE82" s="2"/>
      <c r="GF82" s="2"/>
      <c r="GG82" s="2"/>
      <c r="GH82" s="2"/>
      <c r="GI82" s="2"/>
      <c r="GJ82" s="2"/>
      <c r="GK82" s="2"/>
      <c r="GL82" s="2"/>
      <c r="GM82" s="2"/>
      <c r="GN82" s="2"/>
      <c r="GO82" s="2"/>
      <c r="GP82" s="2"/>
      <c r="GQ82" s="2"/>
      <c r="GR82" s="2"/>
      <c r="GS82" s="2"/>
      <c r="GT82" s="2"/>
      <c r="GU82" s="2"/>
      <c r="GV82" s="2"/>
      <c r="GW82" s="2"/>
      <c r="GX82" s="2"/>
      <c r="GY82" s="2"/>
      <c r="GZ82" s="2"/>
      <c r="HA82" s="2"/>
      <c r="HB82" s="2"/>
      <c r="HC82" s="2"/>
      <c r="HD82" s="2"/>
      <c r="HE82" s="2"/>
      <c r="HF82" s="2"/>
      <c r="HG82" s="2"/>
      <c r="HH82" s="2"/>
      <c r="HI82" s="2"/>
      <c r="HJ82" s="2"/>
      <c r="HK82" s="2"/>
      <c r="HL82" s="2"/>
      <c r="HM82" s="2"/>
      <c r="HN82" s="2"/>
      <c r="HO82" s="2"/>
      <c r="HP82" s="2"/>
      <c r="HQ82" s="2"/>
      <c r="HR82" s="2"/>
      <c r="HS82" s="2"/>
      <c r="HT82" s="2"/>
      <c r="HU82" s="2"/>
      <c r="HV82" s="2"/>
      <c r="HW82" s="2"/>
      <c r="HX82" s="2"/>
      <c r="HY82" s="2"/>
      <c r="HZ82" s="2"/>
      <c r="IA82" s="2"/>
      <c r="IB82" s="2"/>
      <c r="IC82" s="2"/>
      <c r="ID82" s="2"/>
      <c r="IE82" s="2"/>
      <c r="IF82" s="2"/>
      <c r="IG82" s="2"/>
      <c r="IH82" s="2"/>
      <c r="II82" s="2"/>
      <c r="IJ82" s="2"/>
      <c r="IK82" s="2"/>
      <c r="IL82" s="2"/>
      <c r="IM82" s="2"/>
      <c r="IN82" s="2"/>
      <c r="IO82" s="2"/>
      <c r="IP82" s="2"/>
      <c r="IQ82" s="2"/>
      <c r="IR82" s="2"/>
      <c r="IS82" s="2"/>
    </row>
    <row r="83" spans="1:253" s="6" customFormat="1" ht="15.75" customHeight="1" x14ac:dyDescent="0.25">
      <c r="A83" s="1"/>
      <c r="B83" s="40" t="s">
        <v>1412</v>
      </c>
      <c r="C83" s="46">
        <f>cebu!$D$590</f>
        <v>16906</v>
      </c>
      <c r="D83" s="51"/>
      <c r="E83" s="5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  <c r="DP83" s="2"/>
      <c r="DQ83" s="2"/>
      <c r="DR83" s="2"/>
      <c r="DS83" s="2"/>
      <c r="DT83" s="2"/>
      <c r="DU83" s="2"/>
      <c r="DV83" s="2"/>
      <c r="DW83" s="2"/>
      <c r="DX83" s="2"/>
      <c r="DY83" s="2"/>
      <c r="DZ83" s="2"/>
      <c r="EA83" s="2"/>
      <c r="EB83" s="2"/>
      <c r="EC83" s="2"/>
      <c r="ED83" s="2"/>
      <c r="EE83" s="2"/>
      <c r="EF83" s="2"/>
      <c r="EG83" s="2"/>
      <c r="EH83" s="2"/>
      <c r="EI83" s="2"/>
      <c r="EJ83" s="2"/>
      <c r="EK83" s="2"/>
      <c r="EL83" s="2"/>
      <c r="EM83" s="2"/>
      <c r="EN83" s="2"/>
      <c r="EO83" s="2"/>
      <c r="EP83" s="2"/>
      <c r="EQ83" s="2"/>
      <c r="ER83" s="2"/>
      <c r="ES83" s="2"/>
      <c r="ET83" s="2"/>
      <c r="EU83" s="2"/>
      <c r="EV83" s="2"/>
      <c r="EW83" s="2"/>
      <c r="EX83" s="2"/>
      <c r="EY83" s="2"/>
      <c r="EZ83" s="2"/>
      <c r="FA83" s="2"/>
      <c r="FB83" s="2"/>
      <c r="FC83" s="2"/>
      <c r="FD83" s="2"/>
      <c r="FE83" s="2"/>
      <c r="FF83" s="2"/>
      <c r="FG83" s="2"/>
      <c r="FH83" s="2"/>
      <c r="FI83" s="2"/>
      <c r="FJ83" s="2"/>
      <c r="FK83" s="2"/>
      <c r="FL83" s="2"/>
      <c r="FM83" s="2"/>
      <c r="FN83" s="2"/>
      <c r="FO83" s="2"/>
      <c r="FP83" s="2"/>
      <c r="FQ83" s="2"/>
      <c r="FR83" s="2"/>
      <c r="FS83" s="2"/>
      <c r="FT83" s="2"/>
      <c r="FU83" s="2"/>
      <c r="FV83" s="2"/>
      <c r="FW83" s="2"/>
      <c r="FX83" s="2"/>
      <c r="FY83" s="2"/>
      <c r="FZ83" s="2"/>
      <c r="GA83" s="2"/>
      <c r="GB83" s="2"/>
      <c r="GC83" s="2"/>
      <c r="GD83" s="2"/>
      <c r="GE83" s="2"/>
      <c r="GF83" s="2"/>
      <c r="GG83" s="2"/>
      <c r="GH83" s="2"/>
      <c r="GI83" s="2"/>
      <c r="GJ83" s="2"/>
      <c r="GK83" s="2"/>
      <c r="GL83" s="2"/>
      <c r="GM83" s="2"/>
      <c r="GN83" s="2"/>
      <c r="GO83" s="2"/>
      <c r="GP83" s="2"/>
      <c r="GQ83" s="2"/>
      <c r="GR83" s="2"/>
      <c r="GS83" s="2"/>
      <c r="GT83" s="2"/>
      <c r="GU83" s="2"/>
      <c r="GV83" s="2"/>
      <c r="GW83" s="2"/>
      <c r="GX83" s="2"/>
      <c r="GY83" s="2"/>
      <c r="GZ83" s="2"/>
      <c r="HA83" s="2"/>
      <c r="HB83" s="2"/>
      <c r="HC83" s="2"/>
      <c r="HD83" s="2"/>
      <c r="HE83" s="2"/>
      <c r="HF83" s="2"/>
      <c r="HG83" s="2"/>
      <c r="HH83" s="2"/>
      <c r="HI83" s="2"/>
      <c r="HJ83" s="2"/>
      <c r="HK83" s="2"/>
      <c r="HL83" s="2"/>
      <c r="HM83" s="2"/>
      <c r="HN83" s="2"/>
      <c r="HO83" s="2"/>
      <c r="HP83" s="2"/>
      <c r="HQ83" s="2"/>
      <c r="HR83" s="2"/>
      <c r="HS83" s="2"/>
      <c r="HT83" s="2"/>
      <c r="HU83" s="2"/>
      <c r="HV83" s="2"/>
      <c r="HW83" s="2"/>
      <c r="HX83" s="2"/>
      <c r="HY83" s="2"/>
      <c r="HZ83" s="2"/>
      <c r="IA83" s="2"/>
      <c r="IB83" s="2"/>
      <c r="IC83" s="2"/>
      <c r="ID83" s="2"/>
      <c r="IE83" s="2"/>
      <c r="IF83" s="2"/>
      <c r="IG83" s="2"/>
      <c r="IH83" s="2"/>
      <c r="II83" s="2"/>
      <c r="IJ83" s="2"/>
      <c r="IK83" s="2"/>
      <c r="IL83" s="2"/>
      <c r="IM83" s="2"/>
      <c r="IN83" s="2"/>
      <c r="IO83" s="2"/>
      <c r="IP83" s="2"/>
      <c r="IQ83" s="2"/>
      <c r="IR83" s="2"/>
      <c r="IS83" s="2"/>
    </row>
    <row r="84" spans="1:253" s="6" customFormat="1" ht="15.75" customHeight="1" x14ac:dyDescent="0.25">
      <c r="A84" s="1"/>
      <c r="B84" s="40" t="s">
        <v>1421</v>
      </c>
      <c r="C84" s="46">
        <f>cebu!$D$606</f>
        <v>153197</v>
      </c>
      <c r="D84" s="51"/>
      <c r="E84" s="5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  <c r="DP84" s="2"/>
      <c r="DQ84" s="2"/>
      <c r="DR84" s="2"/>
      <c r="DS84" s="2"/>
      <c r="DT84" s="2"/>
      <c r="DU84" s="2"/>
      <c r="DV84" s="2"/>
      <c r="DW84" s="2"/>
      <c r="DX84" s="2"/>
      <c r="DY84" s="2"/>
      <c r="DZ84" s="2"/>
      <c r="EA84" s="2"/>
      <c r="EB84" s="2"/>
      <c r="EC84" s="2"/>
      <c r="ED84" s="2"/>
      <c r="EE84" s="2"/>
      <c r="EF84" s="2"/>
      <c r="EG84" s="2"/>
      <c r="EH84" s="2"/>
      <c r="EI84" s="2"/>
      <c r="EJ84" s="2"/>
      <c r="EK84" s="2"/>
      <c r="EL84" s="2"/>
      <c r="EM84" s="2"/>
      <c r="EN84" s="2"/>
      <c r="EO84" s="2"/>
      <c r="EP84" s="2"/>
      <c r="EQ84" s="2"/>
      <c r="ER84" s="2"/>
      <c r="ES84" s="2"/>
      <c r="ET84" s="2"/>
      <c r="EU84" s="2"/>
      <c r="EV84" s="2"/>
      <c r="EW84" s="2"/>
      <c r="EX84" s="2"/>
      <c r="EY84" s="2"/>
      <c r="EZ84" s="2"/>
      <c r="FA84" s="2"/>
      <c r="FB84" s="2"/>
      <c r="FC84" s="2"/>
      <c r="FD84" s="2"/>
      <c r="FE84" s="2"/>
      <c r="FF84" s="2"/>
      <c r="FG84" s="2"/>
      <c r="FH84" s="2"/>
      <c r="FI84" s="2"/>
      <c r="FJ84" s="2"/>
      <c r="FK84" s="2"/>
      <c r="FL84" s="2"/>
      <c r="FM84" s="2"/>
      <c r="FN84" s="2"/>
      <c r="FO84" s="2"/>
      <c r="FP84" s="2"/>
      <c r="FQ84" s="2"/>
      <c r="FR84" s="2"/>
      <c r="FS84" s="2"/>
      <c r="FT84" s="2"/>
      <c r="FU84" s="2"/>
      <c r="FV84" s="2"/>
      <c r="FW84" s="2"/>
      <c r="FX84" s="2"/>
      <c r="FY84" s="2"/>
      <c r="FZ84" s="2"/>
      <c r="GA84" s="2"/>
      <c r="GB84" s="2"/>
      <c r="GC84" s="2"/>
      <c r="GD84" s="2"/>
      <c r="GE84" s="2"/>
      <c r="GF84" s="2"/>
      <c r="GG84" s="2"/>
      <c r="GH84" s="2"/>
      <c r="GI84" s="2"/>
      <c r="GJ84" s="2"/>
      <c r="GK84" s="2"/>
      <c r="GL84" s="2"/>
      <c r="GM84" s="2"/>
      <c r="GN84" s="2"/>
      <c r="GO84" s="2"/>
      <c r="GP84" s="2"/>
      <c r="GQ84" s="2"/>
      <c r="GR84" s="2"/>
      <c r="GS84" s="2"/>
      <c r="GT84" s="2"/>
      <c r="GU84" s="2"/>
      <c r="GV84" s="2"/>
      <c r="GW84" s="2"/>
      <c r="GX84" s="2"/>
      <c r="GY84" s="2"/>
      <c r="GZ84" s="2"/>
      <c r="HA84" s="2"/>
      <c r="HB84" s="2"/>
      <c r="HC84" s="2"/>
      <c r="HD84" s="2"/>
      <c r="HE84" s="2"/>
      <c r="HF84" s="2"/>
      <c r="HG84" s="2"/>
      <c r="HH84" s="2"/>
      <c r="HI84" s="2"/>
      <c r="HJ84" s="2"/>
      <c r="HK84" s="2"/>
      <c r="HL84" s="2"/>
      <c r="HM84" s="2"/>
      <c r="HN84" s="2"/>
      <c r="HO84" s="2"/>
      <c r="HP84" s="2"/>
      <c r="HQ84" s="2"/>
      <c r="HR84" s="2"/>
      <c r="HS84" s="2"/>
      <c r="HT84" s="2"/>
      <c r="HU84" s="2"/>
      <c r="HV84" s="2"/>
      <c r="HW84" s="2"/>
      <c r="HX84" s="2"/>
      <c r="HY84" s="2"/>
      <c r="HZ84" s="2"/>
      <c r="IA84" s="2"/>
      <c r="IB84" s="2"/>
      <c r="IC84" s="2"/>
      <c r="ID84" s="2"/>
      <c r="IE84" s="2"/>
      <c r="IF84" s="2"/>
      <c r="IG84" s="2"/>
      <c r="IH84" s="2"/>
      <c r="II84" s="2"/>
      <c r="IJ84" s="2"/>
      <c r="IK84" s="2"/>
      <c r="IL84" s="2"/>
      <c r="IM84" s="2"/>
      <c r="IN84" s="2"/>
      <c r="IO84" s="2"/>
      <c r="IP84" s="2"/>
      <c r="IQ84" s="2"/>
      <c r="IR84" s="2"/>
      <c r="IS84" s="2"/>
    </row>
    <row r="85" spans="1:253" s="6" customFormat="1" ht="15.75" customHeight="1" x14ac:dyDescent="0.25">
      <c r="A85" s="1"/>
      <c r="B85" s="40" t="s">
        <v>1427</v>
      </c>
      <c r="C85" s="46">
        <f>cebu!$D$622</f>
        <v>42039</v>
      </c>
      <c r="D85" s="51"/>
      <c r="E85" s="5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  <c r="DP85" s="2"/>
      <c r="DQ85" s="2"/>
      <c r="DR85" s="2"/>
      <c r="DS85" s="2"/>
      <c r="DT85" s="2"/>
      <c r="DU85" s="2"/>
      <c r="DV85" s="2"/>
      <c r="DW85" s="2"/>
      <c r="DX85" s="2"/>
      <c r="DY85" s="2"/>
      <c r="DZ85" s="2"/>
      <c r="EA85" s="2"/>
      <c r="EB85" s="2"/>
      <c r="EC85" s="2"/>
      <c r="ED85" s="2"/>
      <c r="EE85" s="2"/>
      <c r="EF85" s="2"/>
      <c r="EG85" s="2"/>
      <c r="EH85" s="2"/>
      <c r="EI85" s="2"/>
      <c r="EJ85" s="2"/>
      <c r="EK85" s="2"/>
      <c r="EL85" s="2"/>
      <c r="EM85" s="2"/>
      <c r="EN85" s="2"/>
      <c r="EO85" s="2"/>
      <c r="EP85" s="2"/>
      <c r="EQ85" s="2"/>
      <c r="ER85" s="2"/>
      <c r="ES85" s="2"/>
      <c r="ET85" s="2"/>
      <c r="EU85" s="2"/>
      <c r="EV85" s="2"/>
      <c r="EW85" s="2"/>
      <c r="EX85" s="2"/>
      <c r="EY85" s="2"/>
      <c r="EZ85" s="2"/>
      <c r="FA85" s="2"/>
      <c r="FB85" s="2"/>
      <c r="FC85" s="2"/>
      <c r="FD85" s="2"/>
      <c r="FE85" s="2"/>
      <c r="FF85" s="2"/>
      <c r="FG85" s="2"/>
      <c r="FH85" s="2"/>
      <c r="FI85" s="2"/>
      <c r="FJ85" s="2"/>
      <c r="FK85" s="2"/>
      <c r="FL85" s="2"/>
      <c r="FM85" s="2"/>
      <c r="FN85" s="2"/>
      <c r="FO85" s="2"/>
      <c r="FP85" s="2"/>
      <c r="FQ85" s="2"/>
      <c r="FR85" s="2"/>
      <c r="FS85" s="2"/>
      <c r="FT85" s="2"/>
      <c r="FU85" s="2"/>
      <c r="FV85" s="2"/>
      <c r="FW85" s="2"/>
      <c r="FX85" s="2"/>
      <c r="FY85" s="2"/>
      <c r="FZ85" s="2"/>
      <c r="GA85" s="2"/>
      <c r="GB85" s="2"/>
      <c r="GC85" s="2"/>
      <c r="GD85" s="2"/>
      <c r="GE85" s="2"/>
      <c r="GF85" s="2"/>
      <c r="GG85" s="2"/>
      <c r="GH85" s="2"/>
      <c r="GI85" s="2"/>
      <c r="GJ85" s="2"/>
      <c r="GK85" s="2"/>
      <c r="GL85" s="2"/>
      <c r="GM85" s="2"/>
      <c r="GN85" s="2"/>
      <c r="GO85" s="2"/>
      <c r="GP85" s="2"/>
      <c r="GQ85" s="2"/>
      <c r="GR85" s="2"/>
      <c r="GS85" s="2"/>
      <c r="GT85" s="2"/>
      <c r="GU85" s="2"/>
      <c r="GV85" s="2"/>
      <c r="GW85" s="2"/>
      <c r="GX85" s="2"/>
      <c r="GY85" s="2"/>
      <c r="GZ85" s="2"/>
      <c r="HA85" s="2"/>
      <c r="HB85" s="2"/>
      <c r="HC85" s="2"/>
      <c r="HD85" s="2"/>
      <c r="HE85" s="2"/>
      <c r="HF85" s="2"/>
      <c r="HG85" s="2"/>
      <c r="HH85" s="2"/>
      <c r="HI85" s="2"/>
      <c r="HJ85" s="2"/>
      <c r="HK85" s="2"/>
      <c r="HL85" s="2"/>
      <c r="HM85" s="2"/>
      <c r="HN85" s="2"/>
      <c r="HO85" s="2"/>
      <c r="HP85" s="2"/>
      <c r="HQ85" s="2"/>
      <c r="HR85" s="2"/>
      <c r="HS85" s="2"/>
      <c r="HT85" s="2"/>
      <c r="HU85" s="2"/>
      <c r="HV85" s="2"/>
      <c r="HW85" s="2"/>
      <c r="HX85" s="2"/>
      <c r="HY85" s="2"/>
      <c r="HZ85" s="2"/>
      <c r="IA85" s="2"/>
      <c r="IB85" s="2"/>
      <c r="IC85" s="2"/>
      <c r="ID85" s="2"/>
      <c r="IE85" s="2"/>
      <c r="IF85" s="2"/>
      <c r="IG85" s="2"/>
      <c r="IH85" s="2"/>
      <c r="II85" s="2"/>
      <c r="IJ85" s="2"/>
      <c r="IK85" s="2"/>
      <c r="IL85" s="2"/>
      <c r="IM85" s="2"/>
      <c r="IN85" s="2"/>
      <c r="IO85" s="2"/>
      <c r="IP85" s="2"/>
      <c r="IQ85" s="2"/>
      <c r="IR85" s="2"/>
      <c r="IS85" s="2"/>
    </row>
    <row r="86" spans="1:253" s="6" customFormat="1" ht="15.75" customHeight="1" x14ac:dyDescent="0.25">
      <c r="A86" s="1"/>
      <c r="B86" s="40" t="s">
        <v>1436</v>
      </c>
      <c r="C86" s="46">
        <f>cebu!$D$638</f>
        <v>19770</v>
      </c>
      <c r="D86" s="51"/>
      <c r="E86" s="5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  <c r="DP86" s="2"/>
      <c r="DQ86" s="2"/>
      <c r="DR86" s="2"/>
      <c r="DS86" s="2"/>
      <c r="DT86" s="2"/>
      <c r="DU86" s="2"/>
      <c r="DV86" s="2"/>
      <c r="DW86" s="2"/>
      <c r="DX86" s="2"/>
      <c r="DY86" s="2"/>
      <c r="DZ86" s="2"/>
      <c r="EA86" s="2"/>
      <c r="EB86" s="2"/>
      <c r="EC86" s="2"/>
      <c r="ED86" s="2"/>
      <c r="EE86" s="2"/>
      <c r="EF86" s="2"/>
      <c r="EG86" s="2"/>
      <c r="EH86" s="2"/>
      <c r="EI86" s="2"/>
      <c r="EJ86" s="2"/>
      <c r="EK86" s="2"/>
      <c r="EL86" s="2"/>
      <c r="EM86" s="2"/>
      <c r="EN86" s="2"/>
      <c r="EO86" s="2"/>
      <c r="EP86" s="2"/>
      <c r="EQ86" s="2"/>
      <c r="ER86" s="2"/>
      <c r="ES86" s="2"/>
      <c r="ET86" s="2"/>
      <c r="EU86" s="2"/>
      <c r="EV86" s="2"/>
      <c r="EW86" s="2"/>
      <c r="EX86" s="2"/>
      <c r="EY86" s="2"/>
      <c r="EZ86" s="2"/>
      <c r="FA86" s="2"/>
      <c r="FB86" s="2"/>
      <c r="FC86" s="2"/>
      <c r="FD86" s="2"/>
      <c r="FE86" s="2"/>
      <c r="FF86" s="2"/>
      <c r="FG86" s="2"/>
      <c r="FH86" s="2"/>
      <c r="FI86" s="2"/>
      <c r="FJ86" s="2"/>
      <c r="FK86" s="2"/>
      <c r="FL86" s="2"/>
      <c r="FM86" s="2"/>
      <c r="FN86" s="2"/>
      <c r="FO86" s="2"/>
      <c r="FP86" s="2"/>
      <c r="FQ86" s="2"/>
      <c r="FR86" s="2"/>
      <c r="FS86" s="2"/>
      <c r="FT86" s="2"/>
      <c r="FU86" s="2"/>
      <c r="FV86" s="2"/>
      <c r="FW86" s="2"/>
      <c r="FX86" s="2"/>
      <c r="FY86" s="2"/>
      <c r="FZ86" s="2"/>
      <c r="GA86" s="2"/>
      <c r="GB86" s="2"/>
      <c r="GC86" s="2"/>
      <c r="GD86" s="2"/>
      <c r="GE86" s="2"/>
      <c r="GF86" s="2"/>
      <c r="GG86" s="2"/>
      <c r="GH86" s="2"/>
      <c r="GI86" s="2"/>
      <c r="GJ86" s="2"/>
      <c r="GK86" s="2"/>
      <c r="GL86" s="2"/>
      <c r="GM86" s="2"/>
      <c r="GN86" s="2"/>
      <c r="GO86" s="2"/>
      <c r="GP86" s="2"/>
      <c r="GQ86" s="2"/>
      <c r="GR86" s="2"/>
      <c r="GS86" s="2"/>
      <c r="GT86" s="2"/>
      <c r="GU86" s="2"/>
      <c r="GV86" s="2"/>
      <c r="GW86" s="2"/>
      <c r="GX86" s="2"/>
      <c r="GY86" s="2"/>
      <c r="GZ86" s="2"/>
      <c r="HA86" s="2"/>
      <c r="HB86" s="2"/>
      <c r="HC86" s="2"/>
      <c r="HD86" s="2"/>
      <c r="HE86" s="2"/>
      <c r="HF86" s="2"/>
      <c r="HG86" s="2"/>
      <c r="HH86" s="2"/>
      <c r="HI86" s="2"/>
      <c r="HJ86" s="2"/>
      <c r="HK86" s="2"/>
      <c r="HL86" s="2"/>
      <c r="HM86" s="2"/>
      <c r="HN86" s="2"/>
      <c r="HO86" s="2"/>
      <c r="HP86" s="2"/>
      <c r="HQ86" s="2"/>
      <c r="HR86" s="2"/>
      <c r="HS86" s="2"/>
      <c r="HT86" s="2"/>
      <c r="HU86" s="2"/>
      <c r="HV86" s="2"/>
      <c r="HW86" s="2"/>
      <c r="HX86" s="2"/>
      <c r="HY86" s="2"/>
      <c r="HZ86" s="2"/>
      <c r="IA86" s="2"/>
      <c r="IB86" s="2"/>
      <c r="IC86" s="2"/>
      <c r="ID86" s="2"/>
      <c r="IE86" s="2"/>
      <c r="IF86" s="2"/>
      <c r="IG86" s="2"/>
      <c r="IH86" s="2"/>
      <c r="II86" s="2"/>
      <c r="IJ86" s="2"/>
      <c r="IK86" s="2"/>
      <c r="IL86" s="2"/>
      <c r="IM86" s="2"/>
      <c r="IN86" s="2"/>
      <c r="IO86" s="2"/>
      <c r="IP86" s="2"/>
      <c r="IQ86" s="2"/>
      <c r="IR86" s="2"/>
      <c r="IS86" s="2"/>
    </row>
    <row r="87" spans="1:253" s="6" customFormat="1" ht="15.75" customHeight="1" x14ac:dyDescent="0.25">
      <c r="A87" s="1"/>
      <c r="B87" s="40" t="s">
        <v>1447</v>
      </c>
      <c r="C87" s="46">
        <f>cebu!$D$655</f>
        <v>59605</v>
      </c>
      <c r="D87" s="51"/>
      <c r="E87" s="5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  <c r="DP87" s="2"/>
      <c r="DQ87" s="2"/>
      <c r="DR87" s="2"/>
      <c r="DS87" s="2"/>
      <c r="DT87" s="2"/>
      <c r="DU87" s="2"/>
      <c r="DV87" s="2"/>
      <c r="DW87" s="2"/>
      <c r="DX87" s="2"/>
      <c r="DY87" s="2"/>
      <c r="DZ87" s="2"/>
      <c r="EA87" s="2"/>
      <c r="EB87" s="2"/>
      <c r="EC87" s="2"/>
      <c r="ED87" s="2"/>
      <c r="EE87" s="2"/>
      <c r="EF87" s="2"/>
      <c r="EG87" s="2"/>
      <c r="EH87" s="2"/>
      <c r="EI87" s="2"/>
      <c r="EJ87" s="2"/>
      <c r="EK87" s="2"/>
      <c r="EL87" s="2"/>
      <c r="EM87" s="2"/>
      <c r="EN87" s="2"/>
      <c r="EO87" s="2"/>
      <c r="EP87" s="2"/>
      <c r="EQ87" s="2"/>
      <c r="ER87" s="2"/>
      <c r="ES87" s="2"/>
      <c r="ET87" s="2"/>
      <c r="EU87" s="2"/>
      <c r="EV87" s="2"/>
      <c r="EW87" s="2"/>
      <c r="EX87" s="2"/>
      <c r="EY87" s="2"/>
      <c r="EZ87" s="2"/>
      <c r="FA87" s="2"/>
      <c r="FB87" s="2"/>
      <c r="FC87" s="2"/>
      <c r="FD87" s="2"/>
      <c r="FE87" s="2"/>
      <c r="FF87" s="2"/>
      <c r="FG87" s="2"/>
      <c r="FH87" s="2"/>
      <c r="FI87" s="2"/>
      <c r="FJ87" s="2"/>
      <c r="FK87" s="2"/>
      <c r="FL87" s="2"/>
      <c r="FM87" s="2"/>
      <c r="FN87" s="2"/>
      <c r="FO87" s="2"/>
      <c r="FP87" s="2"/>
      <c r="FQ87" s="2"/>
      <c r="FR87" s="2"/>
      <c r="FS87" s="2"/>
      <c r="FT87" s="2"/>
      <c r="FU87" s="2"/>
      <c r="FV87" s="2"/>
      <c r="FW87" s="2"/>
      <c r="FX87" s="2"/>
      <c r="FY87" s="2"/>
      <c r="FZ87" s="2"/>
      <c r="GA87" s="2"/>
      <c r="GB87" s="2"/>
      <c r="GC87" s="2"/>
      <c r="GD87" s="2"/>
      <c r="GE87" s="2"/>
      <c r="GF87" s="2"/>
      <c r="GG87" s="2"/>
      <c r="GH87" s="2"/>
      <c r="GI87" s="2"/>
      <c r="GJ87" s="2"/>
      <c r="GK87" s="2"/>
      <c r="GL87" s="2"/>
      <c r="GM87" s="2"/>
      <c r="GN87" s="2"/>
      <c r="GO87" s="2"/>
      <c r="GP87" s="2"/>
      <c r="GQ87" s="2"/>
      <c r="GR87" s="2"/>
      <c r="GS87" s="2"/>
      <c r="GT87" s="2"/>
      <c r="GU87" s="2"/>
      <c r="GV87" s="2"/>
      <c r="GW87" s="2"/>
      <c r="GX87" s="2"/>
      <c r="GY87" s="2"/>
      <c r="GZ87" s="2"/>
      <c r="HA87" s="2"/>
      <c r="HB87" s="2"/>
      <c r="HC87" s="2"/>
      <c r="HD87" s="2"/>
      <c r="HE87" s="2"/>
      <c r="HF87" s="2"/>
      <c r="HG87" s="2"/>
      <c r="HH87" s="2"/>
      <c r="HI87" s="2"/>
      <c r="HJ87" s="2"/>
      <c r="HK87" s="2"/>
      <c r="HL87" s="2"/>
      <c r="HM87" s="2"/>
      <c r="HN87" s="2"/>
      <c r="HO87" s="2"/>
      <c r="HP87" s="2"/>
      <c r="HQ87" s="2"/>
      <c r="HR87" s="2"/>
      <c r="HS87" s="2"/>
      <c r="HT87" s="2"/>
      <c r="HU87" s="2"/>
      <c r="HV87" s="2"/>
      <c r="HW87" s="2"/>
      <c r="HX87" s="2"/>
      <c r="HY87" s="2"/>
      <c r="HZ87" s="2"/>
      <c r="IA87" s="2"/>
      <c r="IB87" s="2"/>
      <c r="IC87" s="2"/>
      <c r="ID87" s="2"/>
      <c r="IE87" s="2"/>
      <c r="IF87" s="2"/>
      <c r="IG87" s="2"/>
      <c r="IH87" s="2"/>
      <c r="II87" s="2"/>
      <c r="IJ87" s="2"/>
      <c r="IK87" s="2"/>
      <c r="IL87" s="2"/>
      <c r="IM87" s="2"/>
      <c r="IN87" s="2"/>
      <c r="IO87" s="2"/>
      <c r="IP87" s="2"/>
      <c r="IQ87" s="2"/>
      <c r="IR87" s="2"/>
      <c r="IS87" s="2"/>
    </row>
    <row r="88" spans="1:253" s="6" customFormat="1" ht="15.75" customHeight="1" x14ac:dyDescent="0.25">
      <c r="A88" s="1"/>
      <c r="B88" s="40" t="s">
        <v>1464</v>
      </c>
      <c r="C88" s="46">
        <f>cebu!$D$676</f>
        <v>151002</v>
      </c>
      <c r="D88" s="51"/>
      <c r="E88" s="5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  <c r="DP88" s="2"/>
      <c r="DQ88" s="2"/>
      <c r="DR88" s="2"/>
      <c r="DS88" s="2"/>
      <c r="DT88" s="2"/>
      <c r="DU88" s="2"/>
      <c r="DV88" s="2"/>
      <c r="DW88" s="2"/>
      <c r="DX88" s="2"/>
      <c r="DY88" s="2"/>
      <c r="DZ88" s="2"/>
      <c r="EA88" s="2"/>
      <c r="EB88" s="2"/>
      <c r="EC88" s="2"/>
      <c r="ED88" s="2"/>
      <c r="EE88" s="2"/>
      <c r="EF88" s="2"/>
      <c r="EG88" s="2"/>
      <c r="EH88" s="2"/>
      <c r="EI88" s="2"/>
      <c r="EJ88" s="2"/>
      <c r="EK88" s="2"/>
      <c r="EL88" s="2"/>
      <c r="EM88" s="2"/>
      <c r="EN88" s="2"/>
      <c r="EO88" s="2"/>
      <c r="EP88" s="2"/>
      <c r="EQ88" s="2"/>
      <c r="ER88" s="2"/>
      <c r="ES88" s="2"/>
      <c r="ET88" s="2"/>
      <c r="EU88" s="2"/>
      <c r="EV88" s="2"/>
      <c r="EW88" s="2"/>
      <c r="EX88" s="2"/>
      <c r="EY88" s="2"/>
      <c r="EZ88" s="2"/>
      <c r="FA88" s="2"/>
      <c r="FB88" s="2"/>
      <c r="FC88" s="2"/>
      <c r="FD88" s="2"/>
      <c r="FE88" s="2"/>
      <c r="FF88" s="2"/>
      <c r="FG88" s="2"/>
      <c r="FH88" s="2"/>
      <c r="FI88" s="2"/>
      <c r="FJ88" s="2"/>
      <c r="FK88" s="2"/>
      <c r="FL88" s="2"/>
      <c r="FM88" s="2"/>
      <c r="FN88" s="2"/>
      <c r="FO88" s="2"/>
      <c r="FP88" s="2"/>
      <c r="FQ88" s="2"/>
      <c r="FR88" s="2"/>
      <c r="FS88" s="2"/>
      <c r="FT88" s="2"/>
      <c r="FU88" s="2"/>
      <c r="FV88" s="2"/>
      <c r="FW88" s="2"/>
      <c r="FX88" s="2"/>
      <c r="FY88" s="2"/>
      <c r="FZ88" s="2"/>
      <c r="GA88" s="2"/>
      <c r="GB88" s="2"/>
      <c r="GC88" s="2"/>
      <c r="GD88" s="2"/>
      <c r="GE88" s="2"/>
      <c r="GF88" s="2"/>
      <c r="GG88" s="2"/>
      <c r="GH88" s="2"/>
      <c r="GI88" s="2"/>
      <c r="GJ88" s="2"/>
      <c r="GK88" s="2"/>
      <c r="GL88" s="2"/>
      <c r="GM88" s="2"/>
      <c r="GN88" s="2"/>
      <c r="GO88" s="2"/>
      <c r="GP88" s="2"/>
      <c r="GQ88" s="2"/>
      <c r="GR88" s="2"/>
      <c r="GS88" s="2"/>
      <c r="GT88" s="2"/>
      <c r="GU88" s="2"/>
      <c r="GV88" s="2"/>
      <c r="GW88" s="2"/>
      <c r="GX88" s="2"/>
      <c r="GY88" s="2"/>
      <c r="GZ88" s="2"/>
      <c r="HA88" s="2"/>
      <c r="HB88" s="2"/>
      <c r="HC88" s="2"/>
      <c r="HD88" s="2"/>
      <c r="HE88" s="2"/>
      <c r="HF88" s="2"/>
      <c r="HG88" s="2"/>
      <c r="HH88" s="2"/>
      <c r="HI88" s="2"/>
      <c r="HJ88" s="2"/>
      <c r="HK88" s="2"/>
      <c r="HL88" s="2"/>
      <c r="HM88" s="2"/>
      <c r="HN88" s="2"/>
      <c r="HO88" s="2"/>
      <c r="HP88" s="2"/>
      <c r="HQ88" s="2"/>
      <c r="HR88" s="2"/>
      <c r="HS88" s="2"/>
      <c r="HT88" s="2"/>
      <c r="HU88" s="2"/>
      <c r="HV88" s="2"/>
      <c r="HW88" s="2"/>
      <c r="HX88" s="2"/>
      <c r="HY88" s="2"/>
      <c r="HZ88" s="2"/>
      <c r="IA88" s="2"/>
      <c r="IB88" s="2"/>
      <c r="IC88" s="2"/>
      <c r="ID88" s="2"/>
      <c r="IE88" s="2"/>
      <c r="IF88" s="2"/>
      <c r="IG88" s="2"/>
      <c r="IH88" s="2"/>
      <c r="II88" s="2"/>
      <c r="IJ88" s="2"/>
      <c r="IK88" s="2"/>
      <c r="IL88" s="2"/>
      <c r="IM88" s="2"/>
      <c r="IN88" s="2"/>
      <c r="IO88" s="2"/>
      <c r="IP88" s="2"/>
      <c r="IQ88" s="2"/>
      <c r="IR88" s="2"/>
      <c r="IS88" s="2"/>
    </row>
    <row r="89" spans="1:253" s="6" customFormat="1" ht="15.75" customHeight="1" x14ac:dyDescent="0.25">
      <c r="A89" s="1"/>
      <c r="B89" s="40" t="s">
        <v>1481</v>
      </c>
      <c r="C89" s="46">
        <f>cebu!$D$697</f>
        <v>36930</v>
      </c>
      <c r="D89" s="51"/>
      <c r="E89" s="5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  <c r="DP89" s="2"/>
      <c r="DQ89" s="2"/>
      <c r="DR89" s="2"/>
      <c r="DS89" s="2"/>
      <c r="DT89" s="2"/>
      <c r="DU89" s="2"/>
      <c r="DV89" s="2"/>
      <c r="DW89" s="2"/>
      <c r="DX89" s="2"/>
      <c r="DY89" s="2"/>
      <c r="DZ89" s="2"/>
      <c r="EA89" s="2"/>
      <c r="EB89" s="2"/>
      <c r="EC89" s="2"/>
      <c r="ED89" s="2"/>
      <c r="EE89" s="2"/>
      <c r="EF89" s="2"/>
      <c r="EG89" s="2"/>
      <c r="EH89" s="2"/>
      <c r="EI89" s="2"/>
      <c r="EJ89" s="2"/>
      <c r="EK89" s="2"/>
      <c r="EL89" s="2"/>
      <c r="EM89" s="2"/>
      <c r="EN89" s="2"/>
      <c r="EO89" s="2"/>
      <c r="EP89" s="2"/>
      <c r="EQ89" s="2"/>
      <c r="ER89" s="2"/>
      <c r="ES89" s="2"/>
      <c r="ET89" s="2"/>
      <c r="EU89" s="2"/>
      <c r="EV89" s="2"/>
      <c r="EW89" s="2"/>
      <c r="EX89" s="2"/>
      <c r="EY89" s="2"/>
      <c r="EZ89" s="2"/>
      <c r="FA89" s="2"/>
      <c r="FB89" s="2"/>
      <c r="FC89" s="2"/>
      <c r="FD89" s="2"/>
      <c r="FE89" s="2"/>
      <c r="FF89" s="2"/>
      <c r="FG89" s="2"/>
      <c r="FH89" s="2"/>
      <c r="FI89" s="2"/>
      <c r="FJ89" s="2"/>
      <c r="FK89" s="2"/>
      <c r="FL89" s="2"/>
      <c r="FM89" s="2"/>
      <c r="FN89" s="2"/>
      <c r="FO89" s="2"/>
      <c r="FP89" s="2"/>
      <c r="FQ89" s="2"/>
      <c r="FR89" s="2"/>
      <c r="FS89" s="2"/>
      <c r="FT89" s="2"/>
      <c r="FU89" s="2"/>
      <c r="FV89" s="2"/>
      <c r="FW89" s="2"/>
      <c r="FX89" s="2"/>
      <c r="FY89" s="2"/>
      <c r="FZ89" s="2"/>
      <c r="GA89" s="2"/>
      <c r="GB89" s="2"/>
      <c r="GC89" s="2"/>
      <c r="GD89" s="2"/>
      <c r="GE89" s="2"/>
      <c r="GF89" s="2"/>
      <c r="GG89" s="2"/>
      <c r="GH89" s="2"/>
      <c r="GI89" s="2"/>
      <c r="GJ89" s="2"/>
      <c r="GK89" s="2"/>
      <c r="GL89" s="2"/>
      <c r="GM89" s="2"/>
      <c r="GN89" s="2"/>
      <c r="GO89" s="2"/>
      <c r="GP89" s="2"/>
      <c r="GQ89" s="2"/>
      <c r="GR89" s="2"/>
      <c r="GS89" s="2"/>
      <c r="GT89" s="2"/>
      <c r="GU89" s="2"/>
      <c r="GV89" s="2"/>
      <c r="GW89" s="2"/>
      <c r="GX89" s="2"/>
      <c r="GY89" s="2"/>
      <c r="GZ89" s="2"/>
      <c r="HA89" s="2"/>
      <c r="HB89" s="2"/>
      <c r="HC89" s="2"/>
      <c r="HD89" s="2"/>
      <c r="HE89" s="2"/>
      <c r="HF89" s="2"/>
      <c r="HG89" s="2"/>
      <c r="HH89" s="2"/>
      <c r="HI89" s="2"/>
      <c r="HJ89" s="2"/>
      <c r="HK89" s="2"/>
      <c r="HL89" s="2"/>
      <c r="HM89" s="2"/>
      <c r="HN89" s="2"/>
      <c r="HO89" s="2"/>
      <c r="HP89" s="2"/>
      <c r="HQ89" s="2"/>
      <c r="HR89" s="2"/>
      <c r="HS89" s="2"/>
      <c r="HT89" s="2"/>
      <c r="HU89" s="2"/>
      <c r="HV89" s="2"/>
      <c r="HW89" s="2"/>
      <c r="HX89" s="2"/>
      <c r="HY89" s="2"/>
      <c r="HZ89" s="2"/>
      <c r="IA89" s="2"/>
      <c r="IB89" s="2"/>
      <c r="IC89" s="2"/>
      <c r="ID89" s="2"/>
      <c r="IE89" s="2"/>
      <c r="IF89" s="2"/>
      <c r="IG89" s="2"/>
      <c r="IH89" s="2"/>
      <c r="II89" s="2"/>
      <c r="IJ89" s="2"/>
      <c r="IK89" s="2"/>
      <c r="IL89" s="2"/>
      <c r="IM89" s="2"/>
      <c r="IN89" s="2"/>
      <c r="IO89" s="2"/>
      <c r="IP89" s="2"/>
      <c r="IQ89" s="2"/>
      <c r="IR89" s="2"/>
      <c r="IS89" s="2"/>
    </row>
    <row r="90" spans="1:253" s="6" customFormat="1" ht="15.75" customHeight="1" x14ac:dyDescent="0.25">
      <c r="A90" s="1"/>
      <c r="B90" s="40" t="s">
        <v>1945</v>
      </c>
      <c r="C90" s="46">
        <f>cebu!$D$714</f>
        <v>133184</v>
      </c>
      <c r="D90" s="51"/>
      <c r="E90" s="5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  <c r="DP90" s="2"/>
      <c r="DQ90" s="2"/>
      <c r="DR90" s="2"/>
      <c r="DS90" s="2"/>
      <c r="DT90" s="2"/>
      <c r="DU90" s="2"/>
      <c r="DV90" s="2"/>
      <c r="DW90" s="2"/>
      <c r="DX90" s="2"/>
      <c r="DY90" s="2"/>
      <c r="DZ90" s="2"/>
      <c r="EA90" s="2"/>
      <c r="EB90" s="2"/>
      <c r="EC90" s="2"/>
      <c r="ED90" s="2"/>
      <c r="EE90" s="2"/>
      <c r="EF90" s="2"/>
      <c r="EG90" s="2"/>
      <c r="EH90" s="2"/>
      <c r="EI90" s="2"/>
      <c r="EJ90" s="2"/>
      <c r="EK90" s="2"/>
      <c r="EL90" s="2"/>
      <c r="EM90" s="2"/>
      <c r="EN90" s="2"/>
      <c r="EO90" s="2"/>
      <c r="EP90" s="2"/>
      <c r="EQ90" s="2"/>
      <c r="ER90" s="2"/>
      <c r="ES90" s="2"/>
      <c r="ET90" s="2"/>
      <c r="EU90" s="2"/>
      <c r="EV90" s="2"/>
      <c r="EW90" s="2"/>
      <c r="EX90" s="2"/>
      <c r="EY90" s="2"/>
      <c r="EZ90" s="2"/>
      <c r="FA90" s="2"/>
      <c r="FB90" s="2"/>
      <c r="FC90" s="2"/>
      <c r="FD90" s="2"/>
      <c r="FE90" s="2"/>
      <c r="FF90" s="2"/>
      <c r="FG90" s="2"/>
      <c r="FH90" s="2"/>
      <c r="FI90" s="2"/>
      <c r="FJ90" s="2"/>
      <c r="FK90" s="2"/>
      <c r="FL90" s="2"/>
      <c r="FM90" s="2"/>
      <c r="FN90" s="2"/>
      <c r="FO90" s="2"/>
      <c r="FP90" s="2"/>
      <c r="FQ90" s="2"/>
      <c r="FR90" s="2"/>
      <c r="FS90" s="2"/>
      <c r="FT90" s="2"/>
      <c r="FU90" s="2"/>
      <c r="FV90" s="2"/>
      <c r="FW90" s="2"/>
      <c r="FX90" s="2"/>
      <c r="FY90" s="2"/>
      <c r="FZ90" s="2"/>
      <c r="GA90" s="2"/>
      <c r="GB90" s="2"/>
      <c r="GC90" s="2"/>
      <c r="GD90" s="2"/>
      <c r="GE90" s="2"/>
      <c r="GF90" s="2"/>
      <c r="GG90" s="2"/>
      <c r="GH90" s="2"/>
      <c r="GI90" s="2"/>
      <c r="GJ90" s="2"/>
      <c r="GK90" s="2"/>
      <c r="GL90" s="2"/>
      <c r="GM90" s="2"/>
      <c r="GN90" s="2"/>
      <c r="GO90" s="2"/>
      <c r="GP90" s="2"/>
      <c r="GQ90" s="2"/>
      <c r="GR90" s="2"/>
      <c r="GS90" s="2"/>
      <c r="GT90" s="2"/>
      <c r="GU90" s="2"/>
      <c r="GV90" s="2"/>
      <c r="GW90" s="2"/>
      <c r="GX90" s="2"/>
      <c r="GY90" s="2"/>
      <c r="GZ90" s="2"/>
      <c r="HA90" s="2"/>
      <c r="HB90" s="2"/>
      <c r="HC90" s="2"/>
      <c r="HD90" s="2"/>
      <c r="HE90" s="2"/>
      <c r="HF90" s="2"/>
      <c r="HG90" s="2"/>
      <c r="HH90" s="2"/>
      <c r="HI90" s="2"/>
      <c r="HJ90" s="2"/>
      <c r="HK90" s="2"/>
      <c r="HL90" s="2"/>
      <c r="HM90" s="2"/>
      <c r="HN90" s="2"/>
      <c r="HO90" s="2"/>
      <c r="HP90" s="2"/>
      <c r="HQ90" s="2"/>
      <c r="HR90" s="2"/>
      <c r="HS90" s="2"/>
      <c r="HT90" s="2"/>
      <c r="HU90" s="2"/>
      <c r="HV90" s="2"/>
      <c r="HW90" s="2"/>
      <c r="HX90" s="2"/>
      <c r="HY90" s="2"/>
      <c r="HZ90" s="2"/>
      <c r="IA90" s="2"/>
      <c r="IB90" s="2"/>
      <c r="IC90" s="2"/>
      <c r="ID90" s="2"/>
      <c r="IE90" s="2"/>
      <c r="IF90" s="2"/>
      <c r="IG90" s="2"/>
      <c r="IH90" s="2"/>
      <c r="II90" s="2"/>
      <c r="IJ90" s="2"/>
      <c r="IK90" s="2"/>
      <c r="IL90" s="2"/>
      <c r="IM90" s="2"/>
      <c r="IN90" s="2"/>
      <c r="IO90" s="2"/>
      <c r="IP90" s="2"/>
      <c r="IQ90" s="2"/>
      <c r="IR90" s="2"/>
      <c r="IS90" s="2"/>
    </row>
    <row r="91" spans="1:253" s="6" customFormat="1" ht="15.75" customHeight="1" x14ac:dyDescent="0.25">
      <c r="A91" s="1"/>
      <c r="B91" s="40" t="s">
        <v>1506</v>
      </c>
      <c r="C91" s="46">
        <f>cebu!$D$744</f>
        <v>29264</v>
      </c>
      <c r="D91" s="51"/>
      <c r="E91" s="5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  <c r="DP91" s="2"/>
      <c r="DQ91" s="2"/>
      <c r="DR91" s="2"/>
      <c r="DS91" s="2"/>
      <c r="DT91" s="2"/>
      <c r="DU91" s="2"/>
      <c r="DV91" s="2"/>
      <c r="DW91" s="2"/>
      <c r="DX91" s="2"/>
      <c r="DY91" s="2"/>
      <c r="DZ91" s="2"/>
      <c r="EA91" s="2"/>
      <c r="EB91" s="2"/>
      <c r="EC91" s="2"/>
      <c r="ED91" s="2"/>
      <c r="EE91" s="2"/>
      <c r="EF91" s="2"/>
      <c r="EG91" s="2"/>
      <c r="EH91" s="2"/>
      <c r="EI91" s="2"/>
      <c r="EJ91" s="2"/>
      <c r="EK91" s="2"/>
      <c r="EL91" s="2"/>
      <c r="EM91" s="2"/>
      <c r="EN91" s="2"/>
      <c r="EO91" s="2"/>
      <c r="EP91" s="2"/>
      <c r="EQ91" s="2"/>
      <c r="ER91" s="2"/>
      <c r="ES91" s="2"/>
      <c r="ET91" s="2"/>
      <c r="EU91" s="2"/>
      <c r="EV91" s="2"/>
      <c r="EW91" s="2"/>
      <c r="EX91" s="2"/>
      <c r="EY91" s="2"/>
      <c r="EZ91" s="2"/>
      <c r="FA91" s="2"/>
      <c r="FB91" s="2"/>
      <c r="FC91" s="2"/>
      <c r="FD91" s="2"/>
      <c r="FE91" s="2"/>
      <c r="FF91" s="2"/>
      <c r="FG91" s="2"/>
      <c r="FH91" s="2"/>
      <c r="FI91" s="2"/>
      <c r="FJ91" s="2"/>
      <c r="FK91" s="2"/>
      <c r="FL91" s="2"/>
      <c r="FM91" s="2"/>
      <c r="FN91" s="2"/>
      <c r="FO91" s="2"/>
      <c r="FP91" s="2"/>
      <c r="FQ91" s="2"/>
      <c r="FR91" s="2"/>
      <c r="FS91" s="2"/>
      <c r="FT91" s="2"/>
      <c r="FU91" s="2"/>
      <c r="FV91" s="2"/>
      <c r="FW91" s="2"/>
      <c r="FX91" s="2"/>
      <c r="FY91" s="2"/>
      <c r="FZ91" s="2"/>
      <c r="GA91" s="2"/>
      <c r="GB91" s="2"/>
      <c r="GC91" s="2"/>
      <c r="GD91" s="2"/>
      <c r="GE91" s="2"/>
      <c r="GF91" s="2"/>
      <c r="GG91" s="2"/>
      <c r="GH91" s="2"/>
      <c r="GI91" s="2"/>
      <c r="GJ91" s="2"/>
      <c r="GK91" s="2"/>
      <c r="GL91" s="2"/>
      <c r="GM91" s="2"/>
      <c r="GN91" s="2"/>
      <c r="GO91" s="2"/>
      <c r="GP91" s="2"/>
      <c r="GQ91" s="2"/>
      <c r="GR91" s="2"/>
      <c r="GS91" s="2"/>
      <c r="GT91" s="2"/>
      <c r="GU91" s="2"/>
      <c r="GV91" s="2"/>
      <c r="GW91" s="2"/>
      <c r="GX91" s="2"/>
      <c r="GY91" s="2"/>
      <c r="GZ91" s="2"/>
      <c r="HA91" s="2"/>
      <c r="HB91" s="2"/>
      <c r="HC91" s="2"/>
      <c r="HD91" s="2"/>
      <c r="HE91" s="2"/>
      <c r="HF91" s="2"/>
      <c r="HG91" s="2"/>
      <c r="HH91" s="2"/>
      <c r="HI91" s="2"/>
      <c r="HJ91" s="2"/>
      <c r="HK91" s="2"/>
      <c r="HL91" s="2"/>
      <c r="HM91" s="2"/>
      <c r="HN91" s="2"/>
      <c r="HO91" s="2"/>
      <c r="HP91" s="2"/>
      <c r="HQ91" s="2"/>
      <c r="HR91" s="2"/>
      <c r="HS91" s="2"/>
      <c r="HT91" s="2"/>
      <c r="HU91" s="2"/>
      <c r="HV91" s="2"/>
      <c r="HW91" s="2"/>
      <c r="HX91" s="2"/>
      <c r="HY91" s="2"/>
      <c r="HZ91" s="2"/>
      <c r="IA91" s="2"/>
      <c r="IB91" s="2"/>
      <c r="IC91" s="2"/>
      <c r="ID91" s="2"/>
      <c r="IE91" s="2"/>
      <c r="IF91" s="2"/>
      <c r="IG91" s="2"/>
      <c r="IH91" s="2"/>
      <c r="II91" s="2"/>
      <c r="IJ91" s="2"/>
      <c r="IK91" s="2"/>
      <c r="IL91" s="2"/>
      <c r="IM91" s="2"/>
      <c r="IN91" s="2"/>
      <c r="IO91" s="2"/>
      <c r="IP91" s="2"/>
      <c r="IQ91" s="2"/>
      <c r="IR91" s="2"/>
      <c r="IS91" s="2"/>
    </row>
    <row r="92" spans="1:253" s="8" customFormat="1" ht="15.75" customHeight="1" x14ac:dyDescent="0.25">
      <c r="A92" s="1"/>
      <c r="B92" s="40" t="s">
        <v>1519</v>
      </c>
      <c r="C92" s="46">
        <f>cebu!$D$767</f>
        <v>12506</v>
      </c>
      <c r="D92" s="51"/>
      <c r="E92" s="5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  <c r="DP92" s="2"/>
      <c r="DQ92" s="2"/>
      <c r="DR92" s="2"/>
      <c r="DS92" s="2"/>
      <c r="DT92" s="2"/>
      <c r="DU92" s="2"/>
      <c r="DV92" s="2"/>
      <c r="DW92" s="2"/>
      <c r="DX92" s="2"/>
      <c r="DY92" s="2"/>
      <c r="DZ92" s="2"/>
      <c r="EA92" s="2"/>
      <c r="EB92" s="2"/>
      <c r="EC92" s="2"/>
      <c r="ED92" s="2"/>
      <c r="EE92" s="2"/>
      <c r="EF92" s="2"/>
      <c r="EG92" s="2"/>
      <c r="EH92" s="2"/>
      <c r="EI92" s="2"/>
      <c r="EJ92" s="2"/>
      <c r="EK92" s="2"/>
      <c r="EL92" s="2"/>
      <c r="EM92" s="2"/>
      <c r="EN92" s="2"/>
      <c r="EO92" s="2"/>
      <c r="EP92" s="2"/>
      <c r="EQ92" s="2"/>
      <c r="ER92" s="2"/>
      <c r="ES92" s="2"/>
      <c r="ET92" s="2"/>
      <c r="EU92" s="2"/>
      <c r="EV92" s="2"/>
      <c r="EW92" s="2"/>
      <c r="EX92" s="2"/>
      <c r="EY92" s="2"/>
      <c r="EZ92" s="2"/>
      <c r="FA92" s="2"/>
      <c r="FB92" s="2"/>
      <c r="FC92" s="2"/>
      <c r="FD92" s="2"/>
      <c r="FE92" s="2"/>
      <c r="FF92" s="2"/>
      <c r="FG92" s="2"/>
      <c r="FH92" s="2"/>
      <c r="FI92" s="2"/>
      <c r="FJ92" s="2"/>
      <c r="FK92" s="2"/>
      <c r="FL92" s="2"/>
      <c r="FM92" s="2"/>
      <c r="FN92" s="2"/>
      <c r="FO92" s="2"/>
      <c r="FP92" s="2"/>
      <c r="FQ92" s="2"/>
      <c r="FR92" s="2"/>
      <c r="FS92" s="2"/>
      <c r="FT92" s="2"/>
      <c r="FU92" s="2"/>
      <c r="FV92" s="2"/>
      <c r="FW92" s="2"/>
      <c r="FX92" s="2"/>
      <c r="FY92" s="2"/>
      <c r="FZ92" s="2"/>
      <c r="GA92" s="2"/>
      <c r="GB92" s="2"/>
      <c r="GC92" s="2"/>
      <c r="GD92" s="2"/>
      <c r="GE92" s="2"/>
      <c r="GF92" s="2"/>
      <c r="GG92" s="2"/>
      <c r="GH92" s="2"/>
      <c r="GI92" s="2"/>
      <c r="GJ92" s="2"/>
      <c r="GK92" s="2"/>
      <c r="GL92" s="2"/>
      <c r="GM92" s="2"/>
      <c r="GN92" s="2"/>
      <c r="GO92" s="2"/>
      <c r="GP92" s="2"/>
      <c r="GQ92" s="2"/>
      <c r="GR92" s="2"/>
      <c r="GS92" s="2"/>
      <c r="GT92" s="2"/>
      <c r="GU92" s="2"/>
      <c r="GV92" s="2"/>
      <c r="GW92" s="2"/>
      <c r="GX92" s="2"/>
      <c r="GY92" s="2"/>
      <c r="GZ92" s="2"/>
      <c r="HA92" s="2"/>
      <c r="HB92" s="2"/>
      <c r="HC92" s="2"/>
      <c r="HD92" s="2"/>
      <c r="HE92" s="2"/>
      <c r="HF92" s="2"/>
      <c r="HG92" s="2"/>
      <c r="HH92" s="2"/>
      <c r="HI92" s="2"/>
      <c r="HJ92" s="2"/>
      <c r="HK92" s="2"/>
      <c r="HL92" s="2"/>
      <c r="HM92" s="2"/>
      <c r="HN92" s="2"/>
      <c r="HO92" s="2"/>
      <c r="HP92" s="2"/>
      <c r="HQ92" s="2"/>
      <c r="HR92" s="2"/>
      <c r="HS92" s="2"/>
      <c r="HT92" s="2"/>
      <c r="HU92" s="2"/>
      <c r="HV92" s="2"/>
      <c r="HW92" s="2"/>
      <c r="HX92" s="2"/>
      <c r="HY92" s="2"/>
      <c r="HZ92" s="2"/>
      <c r="IA92" s="2"/>
      <c r="IB92" s="2"/>
      <c r="IC92" s="2"/>
      <c r="ID92" s="2"/>
      <c r="IE92" s="2"/>
      <c r="IF92" s="2"/>
      <c r="IG92" s="2"/>
      <c r="IH92" s="2"/>
      <c r="II92" s="2"/>
      <c r="IJ92" s="2"/>
      <c r="IK92" s="2"/>
      <c r="IL92" s="2"/>
      <c r="IM92" s="2"/>
      <c r="IN92" s="2"/>
      <c r="IO92" s="2"/>
      <c r="IP92" s="2"/>
      <c r="IQ92" s="2"/>
      <c r="IR92" s="2"/>
      <c r="IS92" s="2"/>
    </row>
    <row r="93" spans="1:253" s="6" customFormat="1" ht="15.75" customHeight="1" x14ac:dyDescent="0.25">
      <c r="A93" s="1"/>
      <c r="B93" s="40" t="s">
        <v>2410</v>
      </c>
      <c r="C93" s="46">
        <f>cebu!$D$782</f>
        <v>75131</v>
      </c>
      <c r="D93" s="51"/>
      <c r="E93" s="5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  <c r="DP93" s="2"/>
      <c r="DQ93" s="2"/>
      <c r="DR93" s="2"/>
      <c r="DS93" s="2"/>
      <c r="DT93" s="2"/>
      <c r="DU93" s="2"/>
      <c r="DV93" s="2"/>
      <c r="DW93" s="2"/>
      <c r="DX93" s="2"/>
      <c r="DY93" s="2"/>
      <c r="DZ93" s="2"/>
      <c r="EA93" s="2"/>
      <c r="EB93" s="2"/>
      <c r="EC93" s="2"/>
      <c r="ED93" s="2"/>
      <c r="EE93" s="2"/>
      <c r="EF93" s="2"/>
      <c r="EG93" s="2"/>
      <c r="EH93" s="2"/>
      <c r="EI93" s="2"/>
      <c r="EJ93" s="2"/>
      <c r="EK93" s="2"/>
      <c r="EL93" s="2"/>
      <c r="EM93" s="2"/>
      <c r="EN93" s="2"/>
      <c r="EO93" s="2"/>
      <c r="EP93" s="2"/>
      <c r="EQ93" s="2"/>
      <c r="ER93" s="2"/>
      <c r="ES93" s="2"/>
      <c r="ET93" s="2"/>
      <c r="EU93" s="2"/>
      <c r="EV93" s="2"/>
      <c r="EW93" s="2"/>
      <c r="EX93" s="2"/>
      <c r="EY93" s="2"/>
      <c r="EZ93" s="2"/>
      <c r="FA93" s="2"/>
      <c r="FB93" s="2"/>
      <c r="FC93" s="2"/>
      <c r="FD93" s="2"/>
      <c r="FE93" s="2"/>
      <c r="FF93" s="2"/>
      <c r="FG93" s="2"/>
      <c r="FH93" s="2"/>
      <c r="FI93" s="2"/>
      <c r="FJ93" s="2"/>
      <c r="FK93" s="2"/>
      <c r="FL93" s="2"/>
      <c r="FM93" s="2"/>
      <c r="FN93" s="2"/>
      <c r="FO93" s="2"/>
      <c r="FP93" s="2"/>
      <c r="FQ93" s="2"/>
      <c r="FR93" s="2"/>
      <c r="FS93" s="2"/>
      <c r="FT93" s="2"/>
      <c r="FU93" s="2"/>
      <c r="FV93" s="2"/>
      <c r="FW93" s="2"/>
      <c r="FX93" s="2"/>
      <c r="FY93" s="2"/>
      <c r="FZ93" s="2"/>
      <c r="GA93" s="2"/>
      <c r="GB93" s="2"/>
      <c r="GC93" s="2"/>
      <c r="GD93" s="2"/>
      <c r="GE93" s="2"/>
      <c r="GF93" s="2"/>
      <c r="GG93" s="2"/>
      <c r="GH93" s="2"/>
      <c r="GI93" s="2"/>
      <c r="GJ93" s="2"/>
      <c r="GK93" s="2"/>
      <c r="GL93" s="2"/>
      <c r="GM93" s="2"/>
      <c r="GN93" s="2"/>
      <c r="GO93" s="2"/>
      <c r="GP93" s="2"/>
      <c r="GQ93" s="2"/>
      <c r="GR93" s="2"/>
      <c r="GS93" s="2"/>
      <c r="GT93" s="2"/>
      <c r="GU93" s="2"/>
      <c r="GV93" s="2"/>
      <c r="GW93" s="2"/>
      <c r="GX93" s="2"/>
      <c r="GY93" s="2"/>
      <c r="GZ93" s="2"/>
      <c r="HA93" s="2"/>
      <c r="HB93" s="2"/>
      <c r="HC93" s="2"/>
      <c r="HD93" s="2"/>
      <c r="HE93" s="2"/>
      <c r="HF93" s="2"/>
      <c r="HG93" s="2"/>
      <c r="HH93" s="2"/>
      <c r="HI93" s="2"/>
      <c r="HJ93" s="2"/>
      <c r="HK93" s="2"/>
      <c r="HL93" s="2"/>
      <c r="HM93" s="2"/>
      <c r="HN93" s="2"/>
      <c r="HO93" s="2"/>
      <c r="HP93" s="2"/>
      <c r="HQ93" s="2"/>
      <c r="HR93" s="2"/>
      <c r="HS93" s="2"/>
      <c r="HT93" s="2"/>
      <c r="HU93" s="2"/>
      <c r="HV93" s="2"/>
      <c r="HW93" s="2"/>
      <c r="HX93" s="2"/>
      <c r="HY93" s="2"/>
      <c r="HZ93" s="2"/>
      <c r="IA93" s="2"/>
      <c r="IB93" s="2"/>
      <c r="IC93" s="2"/>
      <c r="ID93" s="2"/>
      <c r="IE93" s="2"/>
      <c r="IF93" s="2"/>
      <c r="IG93" s="2"/>
      <c r="IH93" s="2"/>
      <c r="II93" s="2"/>
      <c r="IJ93" s="2"/>
      <c r="IK93" s="2"/>
      <c r="IL93" s="2"/>
      <c r="IM93" s="2"/>
      <c r="IN93" s="2"/>
      <c r="IO93" s="2"/>
      <c r="IP93" s="2"/>
      <c r="IQ93" s="2"/>
      <c r="IR93" s="2"/>
      <c r="IS93" s="2"/>
    </row>
    <row r="94" spans="1:253" s="7" customFormat="1" ht="15.75" customHeight="1" x14ac:dyDescent="0.25">
      <c r="A94" s="1"/>
      <c r="B94" s="40" t="s">
        <v>1538</v>
      </c>
      <c r="C94" s="46">
        <f>cebu!$D$810</f>
        <v>26232</v>
      </c>
      <c r="D94" s="51"/>
      <c r="E94" s="5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  <c r="DP94" s="2"/>
      <c r="DQ94" s="2"/>
      <c r="DR94" s="2"/>
      <c r="DS94" s="2"/>
      <c r="DT94" s="2"/>
      <c r="DU94" s="2"/>
      <c r="DV94" s="2"/>
      <c r="DW94" s="2"/>
      <c r="DX94" s="2"/>
      <c r="DY94" s="2"/>
      <c r="DZ94" s="2"/>
      <c r="EA94" s="2"/>
      <c r="EB94" s="2"/>
      <c r="EC94" s="2"/>
      <c r="ED94" s="2"/>
      <c r="EE94" s="2"/>
      <c r="EF94" s="2"/>
      <c r="EG94" s="2"/>
      <c r="EH94" s="2"/>
      <c r="EI94" s="2"/>
      <c r="EJ94" s="2"/>
      <c r="EK94" s="2"/>
      <c r="EL94" s="2"/>
      <c r="EM94" s="2"/>
      <c r="EN94" s="2"/>
      <c r="EO94" s="2"/>
      <c r="EP94" s="2"/>
      <c r="EQ94" s="2"/>
      <c r="ER94" s="2"/>
      <c r="ES94" s="2"/>
      <c r="ET94" s="2"/>
      <c r="EU94" s="2"/>
      <c r="EV94" s="2"/>
      <c r="EW94" s="2"/>
      <c r="EX94" s="2"/>
      <c r="EY94" s="2"/>
      <c r="EZ94" s="2"/>
      <c r="FA94" s="2"/>
      <c r="FB94" s="2"/>
      <c r="FC94" s="2"/>
      <c r="FD94" s="2"/>
      <c r="FE94" s="2"/>
      <c r="FF94" s="2"/>
      <c r="FG94" s="2"/>
      <c r="FH94" s="2"/>
      <c r="FI94" s="2"/>
      <c r="FJ94" s="2"/>
      <c r="FK94" s="2"/>
      <c r="FL94" s="2"/>
      <c r="FM94" s="2"/>
      <c r="FN94" s="2"/>
      <c r="FO94" s="2"/>
      <c r="FP94" s="2"/>
      <c r="FQ94" s="2"/>
      <c r="FR94" s="2"/>
      <c r="FS94" s="2"/>
      <c r="FT94" s="2"/>
      <c r="FU94" s="2"/>
      <c r="FV94" s="2"/>
      <c r="FW94" s="2"/>
      <c r="FX94" s="2"/>
      <c r="FY94" s="2"/>
      <c r="FZ94" s="2"/>
      <c r="GA94" s="2"/>
      <c r="GB94" s="2"/>
      <c r="GC94" s="2"/>
      <c r="GD94" s="2"/>
      <c r="GE94" s="2"/>
      <c r="GF94" s="2"/>
      <c r="GG94" s="2"/>
      <c r="GH94" s="2"/>
      <c r="GI94" s="2"/>
      <c r="GJ94" s="2"/>
      <c r="GK94" s="2"/>
      <c r="GL94" s="2"/>
      <c r="GM94" s="2"/>
      <c r="GN94" s="2"/>
      <c r="GO94" s="2"/>
      <c r="GP94" s="2"/>
      <c r="GQ94" s="2"/>
      <c r="GR94" s="2"/>
      <c r="GS94" s="2"/>
      <c r="GT94" s="2"/>
      <c r="GU94" s="2"/>
      <c r="GV94" s="2"/>
      <c r="GW94" s="2"/>
      <c r="GX94" s="2"/>
      <c r="GY94" s="2"/>
      <c r="GZ94" s="2"/>
      <c r="HA94" s="2"/>
      <c r="HB94" s="2"/>
      <c r="HC94" s="2"/>
      <c r="HD94" s="2"/>
      <c r="HE94" s="2"/>
      <c r="HF94" s="2"/>
      <c r="HG94" s="2"/>
      <c r="HH94" s="2"/>
      <c r="HI94" s="2"/>
      <c r="HJ94" s="2"/>
      <c r="HK94" s="2"/>
      <c r="HL94" s="2"/>
      <c r="HM94" s="2"/>
      <c r="HN94" s="2"/>
      <c r="HO94" s="2"/>
      <c r="HP94" s="2"/>
      <c r="HQ94" s="2"/>
      <c r="HR94" s="2"/>
      <c r="HS94" s="2"/>
      <c r="HT94" s="2"/>
      <c r="HU94" s="2"/>
      <c r="HV94" s="2"/>
      <c r="HW94" s="2"/>
      <c r="HX94" s="2"/>
      <c r="HY94" s="2"/>
      <c r="HZ94" s="2"/>
      <c r="IA94" s="2"/>
      <c r="IB94" s="2"/>
      <c r="IC94" s="2"/>
      <c r="ID94" s="2"/>
      <c r="IE94" s="2"/>
      <c r="IF94" s="2"/>
      <c r="IG94" s="2"/>
      <c r="IH94" s="2"/>
      <c r="II94" s="2"/>
      <c r="IJ94" s="2"/>
      <c r="IK94" s="2"/>
      <c r="IL94" s="2"/>
      <c r="IM94" s="2"/>
      <c r="IN94" s="2"/>
      <c r="IO94" s="2"/>
      <c r="IP94" s="2"/>
      <c r="IQ94" s="2"/>
      <c r="IR94" s="2"/>
      <c r="IS94" s="2"/>
    </row>
    <row r="95" spans="1:253" s="3" customFormat="1" ht="15.75" customHeight="1" x14ac:dyDescent="0.25">
      <c r="A95" s="1"/>
      <c r="B95" s="40" t="s">
        <v>1547</v>
      </c>
      <c r="C95" s="46">
        <f>cebu!$D$829</f>
        <v>21005</v>
      </c>
      <c r="D95" s="51"/>
      <c r="E95" s="5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  <c r="DP95" s="2"/>
      <c r="DQ95" s="2"/>
      <c r="DR95" s="2"/>
      <c r="DS95" s="2"/>
      <c r="DT95" s="2"/>
      <c r="DU95" s="2"/>
      <c r="DV95" s="2"/>
      <c r="DW95" s="2"/>
      <c r="DX95" s="2"/>
      <c r="DY95" s="2"/>
      <c r="DZ95" s="2"/>
      <c r="EA95" s="2"/>
      <c r="EB95" s="2"/>
      <c r="EC95" s="2"/>
      <c r="ED95" s="2"/>
      <c r="EE95" s="2"/>
      <c r="EF95" s="2"/>
      <c r="EG95" s="2"/>
      <c r="EH95" s="2"/>
      <c r="EI95" s="2"/>
      <c r="EJ95" s="2"/>
      <c r="EK95" s="2"/>
      <c r="EL95" s="2"/>
      <c r="EM95" s="2"/>
      <c r="EN95" s="2"/>
      <c r="EO95" s="2"/>
      <c r="EP95" s="2"/>
      <c r="EQ95" s="2"/>
      <c r="ER95" s="2"/>
      <c r="ES95" s="2"/>
      <c r="ET95" s="2"/>
      <c r="EU95" s="2"/>
      <c r="EV95" s="2"/>
      <c r="EW95" s="2"/>
      <c r="EX95" s="2"/>
      <c r="EY95" s="2"/>
      <c r="EZ95" s="2"/>
      <c r="FA95" s="2"/>
      <c r="FB95" s="2"/>
      <c r="FC95" s="2"/>
      <c r="FD95" s="2"/>
      <c r="FE95" s="2"/>
      <c r="FF95" s="2"/>
      <c r="FG95" s="2"/>
      <c r="FH95" s="2"/>
      <c r="FI95" s="2"/>
      <c r="FJ95" s="2"/>
      <c r="FK95" s="2"/>
      <c r="FL95" s="2"/>
      <c r="FM95" s="2"/>
      <c r="FN95" s="2"/>
      <c r="FO95" s="2"/>
      <c r="FP95" s="2"/>
      <c r="FQ95" s="2"/>
      <c r="FR95" s="2"/>
      <c r="FS95" s="2"/>
      <c r="FT95" s="2"/>
      <c r="FU95" s="2"/>
      <c r="FV95" s="2"/>
      <c r="FW95" s="2"/>
      <c r="FX95" s="2"/>
      <c r="FY95" s="2"/>
      <c r="FZ95" s="2"/>
      <c r="GA95" s="2"/>
      <c r="GB95" s="2"/>
      <c r="GC95" s="2"/>
      <c r="GD95" s="2"/>
      <c r="GE95" s="2"/>
      <c r="GF95" s="2"/>
      <c r="GG95" s="2"/>
      <c r="GH95" s="2"/>
      <c r="GI95" s="2"/>
      <c r="GJ95" s="2"/>
      <c r="GK95" s="2"/>
      <c r="GL95" s="2"/>
      <c r="GM95" s="2"/>
      <c r="GN95" s="2"/>
      <c r="GO95" s="2"/>
      <c r="GP95" s="2"/>
      <c r="GQ95" s="2"/>
      <c r="GR95" s="2"/>
      <c r="GS95" s="2"/>
      <c r="GT95" s="2"/>
      <c r="GU95" s="2"/>
      <c r="GV95" s="2"/>
      <c r="GW95" s="2"/>
      <c r="GX95" s="2"/>
      <c r="GY95" s="2"/>
      <c r="GZ95" s="2"/>
      <c r="HA95" s="2"/>
      <c r="HB95" s="2"/>
      <c r="HC95" s="2"/>
      <c r="HD95" s="2"/>
      <c r="HE95" s="2"/>
      <c r="HF95" s="2"/>
      <c r="HG95" s="2"/>
      <c r="HH95" s="2"/>
      <c r="HI95" s="2"/>
      <c r="HJ95" s="2"/>
      <c r="HK95" s="2"/>
      <c r="HL95" s="2"/>
      <c r="HM95" s="2"/>
      <c r="HN95" s="2"/>
      <c r="HO95" s="2"/>
      <c r="HP95" s="2"/>
      <c r="HQ95" s="2"/>
      <c r="HR95" s="2"/>
      <c r="HS95" s="2"/>
      <c r="HT95" s="2"/>
      <c r="HU95" s="2"/>
      <c r="HV95" s="2"/>
      <c r="HW95" s="2"/>
      <c r="HX95" s="2"/>
      <c r="HY95" s="2"/>
      <c r="HZ95" s="2"/>
      <c r="IA95" s="2"/>
      <c r="IB95" s="2"/>
      <c r="IC95" s="2"/>
      <c r="ID95" s="2"/>
      <c r="IE95" s="2"/>
      <c r="IF95" s="2"/>
      <c r="IG95" s="2"/>
      <c r="IH95" s="2"/>
      <c r="II95" s="2"/>
      <c r="IJ95" s="2"/>
      <c r="IK95" s="2"/>
      <c r="IL95" s="2"/>
      <c r="IM95" s="2"/>
      <c r="IN95" s="2"/>
      <c r="IO95" s="2"/>
      <c r="IP95" s="2"/>
      <c r="IQ95" s="2"/>
      <c r="IR95" s="2"/>
      <c r="IS95" s="2"/>
    </row>
    <row r="96" spans="1:253" s="6" customFormat="1" ht="15.75" customHeight="1" x14ac:dyDescent="0.25">
      <c r="A96" s="1"/>
      <c r="B96" s="40" t="s">
        <v>1555</v>
      </c>
      <c r="C96" s="46">
        <f>cebu!$D$845</f>
        <v>20373</v>
      </c>
      <c r="D96" s="51"/>
      <c r="E96" s="5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  <c r="DP96" s="2"/>
      <c r="DQ96" s="2"/>
      <c r="DR96" s="2"/>
      <c r="DS96" s="2"/>
      <c r="DT96" s="2"/>
      <c r="DU96" s="2"/>
      <c r="DV96" s="2"/>
      <c r="DW96" s="2"/>
      <c r="DX96" s="2"/>
      <c r="DY96" s="2"/>
      <c r="DZ96" s="2"/>
      <c r="EA96" s="2"/>
      <c r="EB96" s="2"/>
      <c r="EC96" s="2"/>
      <c r="ED96" s="2"/>
      <c r="EE96" s="2"/>
      <c r="EF96" s="2"/>
      <c r="EG96" s="2"/>
      <c r="EH96" s="2"/>
      <c r="EI96" s="2"/>
      <c r="EJ96" s="2"/>
      <c r="EK96" s="2"/>
      <c r="EL96" s="2"/>
      <c r="EM96" s="2"/>
      <c r="EN96" s="2"/>
      <c r="EO96" s="2"/>
      <c r="EP96" s="2"/>
      <c r="EQ96" s="2"/>
      <c r="ER96" s="2"/>
      <c r="ES96" s="2"/>
      <c r="ET96" s="2"/>
      <c r="EU96" s="2"/>
      <c r="EV96" s="2"/>
      <c r="EW96" s="2"/>
      <c r="EX96" s="2"/>
      <c r="EY96" s="2"/>
      <c r="EZ96" s="2"/>
      <c r="FA96" s="2"/>
      <c r="FB96" s="2"/>
      <c r="FC96" s="2"/>
      <c r="FD96" s="2"/>
      <c r="FE96" s="2"/>
      <c r="FF96" s="2"/>
      <c r="FG96" s="2"/>
      <c r="FH96" s="2"/>
      <c r="FI96" s="2"/>
      <c r="FJ96" s="2"/>
      <c r="FK96" s="2"/>
      <c r="FL96" s="2"/>
      <c r="FM96" s="2"/>
      <c r="FN96" s="2"/>
      <c r="FO96" s="2"/>
      <c r="FP96" s="2"/>
      <c r="FQ96" s="2"/>
      <c r="FR96" s="2"/>
      <c r="FS96" s="2"/>
      <c r="FT96" s="2"/>
      <c r="FU96" s="2"/>
      <c r="FV96" s="2"/>
      <c r="FW96" s="2"/>
      <c r="FX96" s="2"/>
      <c r="FY96" s="2"/>
      <c r="FZ96" s="2"/>
      <c r="GA96" s="2"/>
      <c r="GB96" s="2"/>
      <c r="GC96" s="2"/>
      <c r="GD96" s="2"/>
      <c r="GE96" s="2"/>
      <c r="GF96" s="2"/>
      <c r="GG96" s="2"/>
      <c r="GH96" s="2"/>
      <c r="GI96" s="2"/>
      <c r="GJ96" s="2"/>
      <c r="GK96" s="2"/>
      <c r="GL96" s="2"/>
      <c r="GM96" s="2"/>
      <c r="GN96" s="2"/>
      <c r="GO96" s="2"/>
      <c r="GP96" s="2"/>
      <c r="GQ96" s="2"/>
      <c r="GR96" s="2"/>
      <c r="GS96" s="2"/>
      <c r="GT96" s="2"/>
      <c r="GU96" s="2"/>
      <c r="GV96" s="2"/>
      <c r="GW96" s="2"/>
      <c r="GX96" s="2"/>
      <c r="GY96" s="2"/>
      <c r="GZ96" s="2"/>
      <c r="HA96" s="2"/>
      <c r="HB96" s="2"/>
      <c r="HC96" s="2"/>
      <c r="HD96" s="2"/>
      <c r="HE96" s="2"/>
      <c r="HF96" s="2"/>
      <c r="HG96" s="2"/>
      <c r="HH96" s="2"/>
      <c r="HI96" s="2"/>
      <c r="HJ96" s="2"/>
      <c r="HK96" s="2"/>
      <c r="HL96" s="2"/>
      <c r="HM96" s="2"/>
      <c r="HN96" s="2"/>
      <c r="HO96" s="2"/>
      <c r="HP96" s="2"/>
      <c r="HQ96" s="2"/>
      <c r="HR96" s="2"/>
      <c r="HS96" s="2"/>
      <c r="HT96" s="2"/>
      <c r="HU96" s="2"/>
      <c r="HV96" s="2"/>
      <c r="HW96" s="2"/>
      <c r="HX96" s="2"/>
      <c r="HY96" s="2"/>
      <c r="HZ96" s="2"/>
      <c r="IA96" s="2"/>
      <c r="IB96" s="2"/>
      <c r="IC96" s="2"/>
      <c r="ID96" s="2"/>
      <c r="IE96" s="2"/>
      <c r="IF96" s="2"/>
      <c r="IG96" s="2"/>
      <c r="IH96" s="2"/>
      <c r="II96" s="2"/>
      <c r="IJ96" s="2"/>
      <c r="IK96" s="2"/>
      <c r="IL96" s="2"/>
      <c r="IM96" s="2"/>
      <c r="IN96" s="2"/>
      <c r="IO96" s="2"/>
      <c r="IP96" s="2"/>
      <c r="IQ96" s="2"/>
      <c r="IR96" s="2"/>
      <c r="IS96" s="2"/>
    </row>
    <row r="97" spans="1:253" s="6" customFormat="1" ht="15.75" customHeight="1" x14ac:dyDescent="0.25">
      <c r="A97" s="1"/>
      <c r="B97" s="40" t="s">
        <v>1565</v>
      </c>
      <c r="C97" s="46">
        <f>cebu!$D$862</f>
        <v>72224</v>
      </c>
      <c r="D97" s="51"/>
      <c r="E97" s="5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  <c r="DP97" s="2"/>
      <c r="DQ97" s="2"/>
      <c r="DR97" s="2"/>
      <c r="DS97" s="2"/>
      <c r="DT97" s="2"/>
      <c r="DU97" s="2"/>
      <c r="DV97" s="2"/>
      <c r="DW97" s="2"/>
      <c r="DX97" s="2"/>
      <c r="DY97" s="2"/>
      <c r="DZ97" s="2"/>
      <c r="EA97" s="2"/>
      <c r="EB97" s="2"/>
      <c r="EC97" s="2"/>
      <c r="ED97" s="2"/>
      <c r="EE97" s="2"/>
      <c r="EF97" s="2"/>
      <c r="EG97" s="2"/>
      <c r="EH97" s="2"/>
      <c r="EI97" s="2"/>
      <c r="EJ97" s="2"/>
      <c r="EK97" s="2"/>
      <c r="EL97" s="2"/>
      <c r="EM97" s="2"/>
      <c r="EN97" s="2"/>
      <c r="EO97" s="2"/>
      <c r="EP97" s="2"/>
      <c r="EQ97" s="2"/>
      <c r="ER97" s="2"/>
      <c r="ES97" s="2"/>
      <c r="ET97" s="2"/>
      <c r="EU97" s="2"/>
      <c r="EV97" s="2"/>
      <c r="EW97" s="2"/>
      <c r="EX97" s="2"/>
      <c r="EY97" s="2"/>
      <c r="EZ97" s="2"/>
      <c r="FA97" s="2"/>
      <c r="FB97" s="2"/>
      <c r="FC97" s="2"/>
      <c r="FD97" s="2"/>
      <c r="FE97" s="2"/>
      <c r="FF97" s="2"/>
      <c r="FG97" s="2"/>
      <c r="FH97" s="2"/>
      <c r="FI97" s="2"/>
      <c r="FJ97" s="2"/>
      <c r="FK97" s="2"/>
      <c r="FL97" s="2"/>
      <c r="FM97" s="2"/>
      <c r="FN97" s="2"/>
      <c r="FO97" s="2"/>
      <c r="FP97" s="2"/>
      <c r="FQ97" s="2"/>
      <c r="FR97" s="2"/>
      <c r="FS97" s="2"/>
      <c r="FT97" s="2"/>
      <c r="FU97" s="2"/>
      <c r="FV97" s="2"/>
      <c r="FW97" s="2"/>
      <c r="FX97" s="2"/>
      <c r="FY97" s="2"/>
      <c r="FZ97" s="2"/>
      <c r="GA97" s="2"/>
      <c r="GB97" s="2"/>
      <c r="GC97" s="2"/>
      <c r="GD97" s="2"/>
      <c r="GE97" s="2"/>
      <c r="GF97" s="2"/>
      <c r="GG97" s="2"/>
      <c r="GH97" s="2"/>
      <c r="GI97" s="2"/>
      <c r="GJ97" s="2"/>
      <c r="GK97" s="2"/>
      <c r="GL97" s="2"/>
      <c r="GM97" s="2"/>
      <c r="GN97" s="2"/>
      <c r="GO97" s="2"/>
      <c r="GP97" s="2"/>
      <c r="GQ97" s="2"/>
      <c r="GR97" s="2"/>
      <c r="GS97" s="2"/>
      <c r="GT97" s="2"/>
      <c r="GU97" s="2"/>
      <c r="GV97" s="2"/>
      <c r="GW97" s="2"/>
      <c r="GX97" s="2"/>
      <c r="GY97" s="2"/>
      <c r="GZ97" s="2"/>
      <c r="HA97" s="2"/>
      <c r="HB97" s="2"/>
      <c r="HC97" s="2"/>
      <c r="HD97" s="2"/>
      <c r="HE97" s="2"/>
      <c r="HF97" s="2"/>
      <c r="HG97" s="2"/>
      <c r="HH97" s="2"/>
      <c r="HI97" s="2"/>
      <c r="HJ97" s="2"/>
      <c r="HK97" s="2"/>
      <c r="HL97" s="2"/>
      <c r="HM97" s="2"/>
      <c r="HN97" s="2"/>
      <c r="HO97" s="2"/>
      <c r="HP97" s="2"/>
      <c r="HQ97" s="2"/>
      <c r="HR97" s="2"/>
      <c r="HS97" s="2"/>
      <c r="HT97" s="2"/>
      <c r="HU97" s="2"/>
      <c r="HV97" s="2"/>
      <c r="HW97" s="2"/>
      <c r="HX97" s="2"/>
      <c r="HY97" s="2"/>
      <c r="HZ97" s="2"/>
      <c r="IA97" s="2"/>
      <c r="IB97" s="2"/>
      <c r="IC97" s="2"/>
      <c r="ID97" s="2"/>
      <c r="IE97" s="2"/>
      <c r="IF97" s="2"/>
      <c r="IG97" s="2"/>
      <c r="IH97" s="2"/>
      <c r="II97" s="2"/>
      <c r="IJ97" s="2"/>
      <c r="IK97" s="2"/>
      <c r="IL97" s="2"/>
      <c r="IM97" s="2"/>
      <c r="IN97" s="2"/>
      <c r="IO97" s="2"/>
      <c r="IP97" s="2"/>
      <c r="IQ97" s="2"/>
      <c r="IR97" s="2"/>
      <c r="IS97" s="2"/>
    </row>
    <row r="98" spans="1:253" s="6" customFormat="1" ht="15.75" customHeight="1" x14ac:dyDescent="0.25">
      <c r="A98" s="1"/>
      <c r="B98" s="40" t="s">
        <v>1576</v>
      </c>
      <c r="C98" s="46">
        <f>cebu!$D$885</f>
        <v>59236</v>
      </c>
      <c r="D98" s="51"/>
      <c r="E98" s="5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  <c r="DP98" s="2"/>
      <c r="DQ98" s="2"/>
      <c r="DR98" s="2"/>
      <c r="DS98" s="2"/>
      <c r="DT98" s="2"/>
      <c r="DU98" s="2"/>
      <c r="DV98" s="2"/>
      <c r="DW98" s="2"/>
      <c r="DX98" s="2"/>
      <c r="DY98" s="2"/>
      <c r="DZ98" s="2"/>
      <c r="EA98" s="2"/>
      <c r="EB98" s="2"/>
      <c r="EC98" s="2"/>
      <c r="ED98" s="2"/>
      <c r="EE98" s="2"/>
      <c r="EF98" s="2"/>
      <c r="EG98" s="2"/>
      <c r="EH98" s="2"/>
      <c r="EI98" s="2"/>
      <c r="EJ98" s="2"/>
      <c r="EK98" s="2"/>
      <c r="EL98" s="2"/>
      <c r="EM98" s="2"/>
      <c r="EN98" s="2"/>
      <c r="EO98" s="2"/>
      <c r="EP98" s="2"/>
      <c r="EQ98" s="2"/>
      <c r="ER98" s="2"/>
      <c r="ES98" s="2"/>
      <c r="ET98" s="2"/>
      <c r="EU98" s="2"/>
      <c r="EV98" s="2"/>
      <c r="EW98" s="2"/>
      <c r="EX98" s="2"/>
      <c r="EY98" s="2"/>
      <c r="EZ98" s="2"/>
      <c r="FA98" s="2"/>
      <c r="FB98" s="2"/>
      <c r="FC98" s="2"/>
      <c r="FD98" s="2"/>
      <c r="FE98" s="2"/>
      <c r="FF98" s="2"/>
      <c r="FG98" s="2"/>
      <c r="FH98" s="2"/>
      <c r="FI98" s="2"/>
      <c r="FJ98" s="2"/>
      <c r="FK98" s="2"/>
      <c r="FL98" s="2"/>
      <c r="FM98" s="2"/>
      <c r="FN98" s="2"/>
      <c r="FO98" s="2"/>
      <c r="FP98" s="2"/>
      <c r="FQ98" s="2"/>
      <c r="FR98" s="2"/>
      <c r="FS98" s="2"/>
      <c r="FT98" s="2"/>
      <c r="FU98" s="2"/>
      <c r="FV98" s="2"/>
      <c r="FW98" s="2"/>
      <c r="FX98" s="2"/>
      <c r="FY98" s="2"/>
      <c r="FZ98" s="2"/>
      <c r="GA98" s="2"/>
      <c r="GB98" s="2"/>
      <c r="GC98" s="2"/>
      <c r="GD98" s="2"/>
      <c r="GE98" s="2"/>
      <c r="GF98" s="2"/>
      <c r="GG98" s="2"/>
      <c r="GH98" s="2"/>
      <c r="GI98" s="2"/>
      <c r="GJ98" s="2"/>
      <c r="GK98" s="2"/>
      <c r="GL98" s="2"/>
      <c r="GM98" s="2"/>
      <c r="GN98" s="2"/>
      <c r="GO98" s="2"/>
      <c r="GP98" s="2"/>
      <c r="GQ98" s="2"/>
      <c r="GR98" s="2"/>
      <c r="GS98" s="2"/>
      <c r="GT98" s="2"/>
      <c r="GU98" s="2"/>
      <c r="GV98" s="2"/>
      <c r="GW98" s="2"/>
      <c r="GX98" s="2"/>
      <c r="GY98" s="2"/>
      <c r="GZ98" s="2"/>
      <c r="HA98" s="2"/>
      <c r="HB98" s="2"/>
      <c r="HC98" s="2"/>
      <c r="HD98" s="2"/>
      <c r="HE98" s="2"/>
      <c r="HF98" s="2"/>
      <c r="HG98" s="2"/>
      <c r="HH98" s="2"/>
      <c r="HI98" s="2"/>
      <c r="HJ98" s="2"/>
      <c r="HK98" s="2"/>
      <c r="HL98" s="2"/>
      <c r="HM98" s="2"/>
      <c r="HN98" s="2"/>
      <c r="HO98" s="2"/>
      <c r="HP98" s="2"/>
      <c r="HQ98" s="2"/>
      <c r="HR98" s="2"/>
      <c r="HS98" s="2"/>
      <c r="HT98" s="2"/>
      <c r="HU98" s="2"/>
      <c r="HV98" s="2"/>
      <c r="HW98" s="2"/>
      <c r="HX98" s="2"/>
      <c r="HY98" s="2"/>
      <c r="HZ98" s="2"/>
      <c r="IA98" s="2"/>
      <c r="IB98" s="2"/>
      <c r="IC98" s="2"/>
      <c r="ID98" s="2"/>
      <c r="IE98" s="2"/>
      <c r="IF98" s="2"/>
      <c r="IG98" s="2"/>
      <c r="IH98" s="2"/>
      <c r="II98" s="2"/>
      <c r="IJ98" s="2"/>
      <c r="IK98" s="2"/>
      <c r="IL98" s="2"/>
      <c r="IM98" s="2"/>
      <c r="IN98" s="2"/>
      <c r="IO98" s="2"/>
      <c r="IP98" s="2"/>
      <c r="IQ98" s="2"/>
      <c r="IR98" s="2"/>
      <c r="IS98" s="2"/>
    </row>
    <row r="99" spans="1:253" s="6" customFormat="1" ht="15.75" customHeight="1" x14ac:dyDescent="0.25">
      <c r="A99" s="1"/>
      <c r="B99" s="40" t="s">
        <v>147</v>
      </c>
      <c r="C99" s="46">
        <f>cebu!$D$902</f>
        <v>65744</v>
      </c>
      <c r="D99" s="51"/>
      <c r="E99" s="5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  <c r="DP99" s="2"/>
      <c r="DQ99" s="2"/>
      <c r="DR99" s="2"/>
      <c r="DS99" s="2"/>
      <c r="DT99" s="2"/>
      <c r="DU99" s="2"/>
      <c r="DV99" s="2"/>
      <c r="DW99" s="2"/>
      <c r="DX99" s="2"/>
      <c r="DY99" s="2"/>
      <c r="DZ99" s="2"/>
      <c r="EA99" s="2"/>
      <c r="EB99" s="2"/>
      <c r="EC99" s="2"/>
      <c r="ED99" s="2"/>
      <c r="EE99" s="2"/>
      <c r="EF99" s="2"/>
      <c r="EG99" s="2"/>
      <c r="EH99" s="2"/>
      <c r="EI99" s="2"/>
      <c r="EJ99" s="2"/>
      <c r="EK99" s="2"/>
      <c r="EL99" s="2"/>
      <c r="EM99" s="2"/>
      <c r="EN99" s="2"/>
      <c r="EO99" s="2"/>
      <c r="EP99" s="2"/>
      <c r="EQ99" s="2"/>
      <c r="ER99" s="2"/>
      <c r="ES99" s="2"/>
      <c r="ET99" s="2"/>
      <c r="EU99" s="2"/>
      <c r="EV99" s="2"/>
      <c r="EW99" s="2"/>
      <c r="EX99" s="2"/>
      <c r="EY99" s="2"/>
      <c r="EZ99" s="2"/>
      <c r="FA99" s="2"/>
      <c r="FB99" s="2"/>
      <c r="FC99" s="2"/>
      <c r="FD99" s="2"/>
      <c r="FE99" s="2"/>
      <c r="FF99" s="2"/>
      <c r="FG99" s="2"/>
      <c r="FH99" s="2"/>
      <c r="FI99" s="2"/>
      <c r="FJ99" s="2"/>
      <c r="FK99" s="2"/>
      <c r="FL99" s="2"/>
      <c r="FM99" s="2"/>
      <c r="FN99" s="2"/>
      <c r="FO99" s="2"/>
      <c r="FP99" s="2"/>
      <c r="FQ99" s="2"/>
      <c r="FR99" s="2"/>
      <c r="FS99" s="2"/>
      <c r="FT99" s="2"/>
      <c r="FU99" s="2"/>
      <c r="FV99" s="2"/>
      <c r="FW99" s="2"/>
      <c r="FX99" s="2"/>
      <c r="FY99" s="2"/>
      <c r="FZ99" s="2"/>
      <c r="GA99" s="2"/>
      <c r="GB99" s="2"/>
      <c r="GC99" s="2"/>
      <c r="GD99" s="2"/>
      <c r="GE99" s="2"/>
      <c r="GF99" s="2"/>
      <c r="GG99" s="2"/>
      <c r="GH99" s="2"/>
      <c r="GI99" s="2"/>
      <c r="GJ99" s="2"/>
      <c r="GK99" s="2"/>
      <c r="GL99" s="2"/>
      <c r="GM99" s="2"/>
      <c r="GN99" s="2"/>
      <c r="GO99" s="2"/>
      <c r="GP99" s="2"/>
      <c r="GQ99" s="2"/>
      <c r="GR99" s="2"/>
      <c r="GS99" s="2"/>
      <c r="GT99" s="2"/>
      <c r="GU99" s="2"/>
      <c r="GV99" s="2"/>
      <c r="GW99" s="2"/>
      <c r="GX99" s="2"/>
      <c r="GY99" s="2"/>
      <c r="GZ99" s="2"/>
      <c r="HA99" s="2"/>
      <c r="HB99" s="2"/>
      <c r="HC99" s="2"/>
      <c r="HD99" s="2"/>
      <c r="HE99" s="2"/>
      <c r="HF99" s="2"/>
      <c r="HG99" s="2"/>
      <c r="HH99" s="2"/>
      <c r="HI99" s="2"/>
      <c r="HJ99" s="2"/>
      <c r="HK99" s="2"/>
      <c r="HL99" s="2"/>
      <c r="HM99" s="2"/>
      <c r="HN99" s="2"/>
      <c r="HO99" s="2"/>
      <c r="HP99" s="2"/>
      <c r="HQ99" s="2"/>
      <c r="HR99" s="2"/>
      <c r="HS99" s="2"/>
      <c r="HT99" s="2"/>
      <c r="HU99" s="2"/>
      <c r="HV99" s="2"/>
      <c r="HW99" s="2"/>
      <c r="HX99" s="2"/>
      <c r="HY99" s="2"/>
      <c r="HZ99" s="2"/>
      <c r="IA99" s="2"/>
      <c r="IB99" s="2"/>
      <c r="IC99" s="2"/>
      <c r="ID99" s="2"/>
      <c r="IE99" s="2"/>
      <c r="IF99" s="2"/>
      <c r="IG99" s="2"/>
      <c r="IH99" s="2"/>
      <c r="II99" s="2"/>
      <c r="IJ99" s="2"/>
      <c r="IK99" s="2"/>
      <c r="IL99" s="2"/>
      <c r="IM99" s="2"/>
      <c r="IN99" s="2"/>
      <c r="IO99" s="2"/>
      <c r="IP99" s="2"/>
      <c r="IQ99" s="2"/>
      <c r="IR99" s="2"/>
      <c r="IS99" s="2"/>
    </row>
    <row r="100" spans="1:253" s="6" customFormat="1" ht="15.75" customHeight="1" x14ac:dyDescent="0.25">
      <c r="A100" s="1"/>
      <c r="B100" s="40" t="s">
        <v>1599</v>
      </c>
      <c r="C100" s="46">
        <f>cebu!$D$931</f>
        <v>34471</v>
      </c>
      <c r="D100" s="51"/>
      <c r="E100" s="5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  <c r="DP100" s="2"/>
      <c r="DQ100" s="2"/>
      <c r="DR100" s="2"/>
      <c r="DS100" s="2"/>
      <c r="DT100" s="2"/>
      <c r="DU100" s="2"/>
      <c r="DV100" s="2"/>
      <c r="DW100" s="2"/>
      <c r="DX100" s="2"/>
      <c r="DY100" s="2"/>
      <c r="DZ100" s="2"/>
      <c r="EA100" s="2"/>
      <c r="EB100" s="2"/>
      <c r="EC100" s="2"/>
      <c r="ED100" s="2"/>
      <c r="EE100" s="2"/>
      <c r="EF100" s="2"/>
      <c r="EG100" s="2"/>
      <c r="EH100" s="2"/>
      <c r="EI100" s="2"/>
      <c r="EJ100" s="2"/>
      <c r="EK100" s="2"/>
      <c r="EL100" s="2"/>
      <c r="EM100" s="2"/>
      <c r="EN100" s="2"/>
      <c r="EO100" s="2"/>
      <c r="EP100" s="2"/>
      <c r="EQ100" s="2"/>
      <c r="ER100" s="2"/>
      <c r="ES100" s="2"/>
      <c r="ET100" s="2"/>
      <c r="EU100" s="2"/>
      <c r="EV100" s="2"/>
      <c r="EW100" s="2"/>
      <c r="EX100" s="2"/>
      <c r="EY100" s="2"/>
      <c r="EZ100" s="2"/>
      <c r="FA100" s="2"/>
      <c r="FB100" s="2"/>
      <c r="FC100" s="2"/>
      <c r="FD100" s="2"/>
      <c r="FE100" s="2"/>
      <c r="FF100" s="2"/>
      <c r="FG100" s="2"/>
      <c r="FH100" s="2"/>
      <c r="FI100" s="2"/>
      <c r="FJ100" s="2"/>
      <c r="FK100" s="2"/>
      <c r="FL100" s="2"/>
      <c r="FM100" s="2"/>
      <c r="FN100" s="2"/>
      <c r="FO100" s="2"/>
      <c r="FP100" s="2"/>
      <c r="FQ100" s="2"/>
      <c r="FR100" s="2"/>
      <c r="FS100" s="2"/>
      <c r="FT100" s="2"/>
      <c r="FU100" s="2"/>
      <c r="FV100" s="2"/>
      <c r="FW100" s="2"/>
      <c r="FX100" s="2"/>
      <c r="FY100" s="2"/>
      <c r="FZ100" s="2"/>
      <c r="GA100" s="2"/>
      <c r="GB100" s="2"/>
      <c r="GC100" s="2"/>
      <c r="GD100" s="2"/>
      <c r="GE100" s="2"/>
      <c r="GF100" s="2"/>
      <c r="GG100" s="2"/>
      <c r="GH100" s="2"/>
      <c r="GI100" s="2"/>
      <c r="GJ100" s="2"/>
      <c r="GK100" s="2"/>
      <c r="GL100" s="2"/>
      <c r="GM100" s="2"/>
      <c r="GN100" s="2"/>
      <c r="GO100" s="2"/>
      <c r="GP100" s="2"/>
      <c r="GQ100" s="2"/>
      <c r="GR100" s="2"/>
      <c r="GS100" s="2"/>
      <c r="GT100" s="2"/>
      <c r="GU100" s="2"/>
      <c r="GV100" s="2"/>
      <c r="GW100" s="2"/>
      <c r="GX100" s="2"/>
      <c r="GY100" s="2"/>
      <c r="GZ100" s="2"/>
      <c r="HA100" s="2"/>
      <c r="HB100" s="2"/>
      <c r="HC100" s="2"/>
      <c r="HD100" s="2"/>
      <c r="HE100" s="2"/>
      <c r="HF100" s="2"/>
      <c r="HG100" s="2"/>
      <c r="HH100" s="2"/>
      <c r="HI100" s="2"/>
      <c r="HJ100" s="2"/>
      <c r="HK100" s="2"/>
      <c r="HL100" s="2"/>
      <c r="HM100" s="2"/>
      <c r="HN100" s="2"/>
      <c r="HO100" s="2"/>
      <c r="HP100" s="2"/>
      <c r="HQ100" s="2"/>
      <c r="HR100" s="2"/>
      <c r="HS100" s="2"/>
      <c r="HT100" s="2"/>
      <c r="HU100" s="2"/>
      <c r="HV100" s="2"/>
      <c r="HW100" s="2"/>
      <c r="HX100" s="2"/>
      <c r="HY100" s="2"/>
      <c r="HZ100" s="2"/>
      <c r="IA100" s="2"/>
      <c r="IB100" s="2"/>
      <c r="IC100" s="2"/>
      <c r="ID100" s="2"/>
      <c r="IE100" s="2"/>
      <c r="IF100" s="2"/>
      <c r="IG100" s="2"/>
      <c r="IH100" s="2"/>
      <c r="II100" s="2"/>
      <c r="IJ100" s="2"/>
      <c r="IK100" s="2"/>
      <c r="IL100" s="2"/>
      <c r="IM100" s="2"/>
      <c r="IN100" s="2"/>
      <c r="IO100" s="2"/>
      <c r="IP100" s="2"/>
      <c r="IQ100" s="2"/>
      <c r="IR100" s="2"/>
      <c r="IS100" s="2"/>
    </row>
    <row r="101" spans="1:253" s="6" customFormat="1" ht="15.75" customHeight="1" x14ac:dyDescent="0.25">
      <c r="A101" s="1"/>
      <c r="B101" s="40" t="s">
        <v>1606</v>
      </c>
      <c r="C101" s="46">
        <f>cebu!$D$943</f>
        <v>18527</v>
      </c>
      <c r="D101" s="51"/>
      <c r="E101" s="5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  <c r="DP101" s="2"/>
      <c r="DQ101" s="2"/>
      <c r="DR101" s="2"/>
      <c r="DS101" s="2"/>
      <c r="DT101" s="2"/>
      <c r="DU101" s="2"/>
      <c r="DV101" s="2"/>
      <c r="DW101" s="2"/>
      <c r="DX101" s="2"/>
      <c r="DY101" s="2"/>
      <c r="DZ101" s="2"/>
      <c r="EA101" s="2"/>
      <c r="EB101" s="2"/>
      <c r="EC101" s="2"/>
      <c r="ED101" s="2"/>
      <c r="EE101" s="2"/>
      <c r="EF101" s="2"/>
      <c r="EG101" s="2"/>
      <c r="EH101" s="2"/>
      <c r="EI101" s="2"/>
      <c r="EJ101" s="2"/>
      <c r="EK101" s="2"/>
      <c r="EL101" s="2"/>
      <c r="EM101" s="2"/>
      <c r="EN101" s="2"/>
      <c r="EO101" s="2"/>
      <c r="EP101" s="2"/>
      <c r="EQ101" s="2"/>
      <c r="ER101" s="2"/>
      <c r="ES101" s="2"/>
      <c r="ET101" s="2"/>
      <c r="EU101" s="2"/>
      <c r="EV101" s="2"/>
      <c r="EW101" s="2"/>
      <c r="EX101" s="2"/>
      <c r="EY101" s="2"/>
      <c r="EZ101" s="2"/>
      <c r="FA101" s="2"/>
      <c r="FB101" s="2"/>
      <c r="FC101" s="2"/>
      <c r="FD101" s="2"/>
      <c r="FE101" s="2"/>
      <c r="FF101" s="2"/>
      <c r="FG101" s="2"/>
      <c r="FH101" s="2"/>
      <c r="FI101" s="2"/>
      <c r="FJ101" s="2"/>
      <c r="FK101" s="2"/>
      <c r="FL101" s="2"/>
      <c r="FM101" s="2"/>
      <c r="FN101" s="2"/>
      <c r="FO101" s="2"/>
      <c r="FP101" s="2"/>
      <c r="FQ101" s="2"/>
      <c r="FR101" s="2"/>
      <c r="FS101" s="2"/>
      <c r="FT101" s="2"/>
      <c r="FU101" s="2"/>
      <c r="FV101" s="2"/>
      <c r="FW101" s="2"/>
      <c r="FX101" s="2"/>
      <c r="FY101" s="2"/>
      <c r="FZ101" s="2"/>
      <c r="GA101" s="2"/>
      <c r="GB101" s="2"/>
      <c r="GC101" s="2"/>
      <c r="GD101" s="2"/>
      <c r="GE101" s="2"/>
      <c r="GF101" s="2"/>
      <c r="GG101" s="2"/>
      <c r="GH101" s="2"/>
      <c r="GI101" s="2"/>
      <c r="GJ101" s="2"/>
      <c r="GK101" s="2"/>
      <c r="GL101" s="2"/>
      <c r="GM101" s="2"/>
      <c r="GN101" s="2"/>
      <c r="GO101" s="2"/>
      <c r="GP101" s="2"/>
      <c r="GQ101" s="2"/>
      <c r="GR101" s="2"/>
      <c r="GS101" s="2"/>
      <c r="GT101" s="2"/>
      <c r="GU101" s="2"/>
      <c r="GV101" s="2"/>
      <c r="GW101" s="2"/>
      <c r="GX101" s="2"/>
      <c r="GY101" s="2"/>
      <c r="GZ101" s="2"/>
      <c r="HA101" s="2"/>
      <c r="HB101" s="2"/>
      <c r="HC101" s="2"/>
      <c r="HD101" s="2"/>
      <c r="HE101" s="2"/>
      <c r="HF101" s="2"/>
      <c r="HG101" s="2"/>
      <c r="HH101" s="2"/>
      <c r="HI101" s="2"/>
      <c r="HJ101" s="2"/>
      <c r="HK101" s="2"/>
      <c r="HL101" s="2"/>
      <c r="HM101" s="2"/>
      <c r="HN101" s="2"/>
      <c r="HO101" s="2"/>
      <c r="HP101" s="2"/>
      <c r="HQ101" s="2"/>
      <c r="HR101" s="2"/>
      <c r="HS101" s="2"/>
      <c r="HT101" s="2"/>
      <c r="HU101" s="2"/>
      <c r="HV101" s="2"/>
      <c r="HW101" s="2"/>
      <c r="HX101" s="2"/>
      <c r="HY101" s="2"/>
      <c r="HZ101" s="2"/>
      <c r="IA101" s="2"/>
      <c r="IB101" s="2"/>
      <c r="IC101" s="2"/>
      <c r="ID101" s="2"/>
      <c r="IE101" s="2"/>
      <c r="IF101" s="2"/>
      <c r="IG101" s="2"/>
      <c r="IH101" s="2"/>
      <c r="II101" s="2"/>
      <c r="IJ101" s="2"/>
      <c r="IK101" s="2"/>
      <c r="IL101" s="2"/>
      <c r="IM101" s="2"/>
      <c r="IN101" s="2"/>
      <c r="IO101" s="2"/>
      <c r="IP101" s="2"/>
      <c r="IQ101" s="2"/>
      <c r="IR101" s="2"/>
      <c r="IS101" s="2"/>
    </row>
    <row r="102" spans="1:253" s="6" customFormat="1" ht="15.75" customHeight="1" x14ac:dyDescent="0.25">
      <c r="A102" s="1"/>
      <c r="B102" s="40" t="s">
        <v>1612</v>
      </c>
      <c r="C102" s="46">
        <f>cebu!$D$955</f>
        <v>53424</v>
      </c>
      <c r="D102" s="51"/>
      <c r="E102" s="5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  <c r="DP102" s="2"/>
      <c r="DQ102" s="2"/>
      <c r="DR102" s="2"/>
      <c r="DS102" s="2"/>
      <c r="DT102" s="2"/>
      <c r="DU102" s="2"/>
      <c r="DV102" s="2"/>
      <c r="DW102" s="2"/>
      <c r="DX102" s="2"/>
      <c r="DY102" s="2"/>
      <c r="DZ102" s="2"/>
      <c r="EA102" s="2"/>
      <c r="EB102" s="2"/>
      <c r="EC102" s="2"/>
      <c r="ED102" s="2"/>
      <c r="EE102" s="2"/>
      <c r="EF102" s="2"/>
      <c r="EG102" s="2"/>
      <c r="EH102" s="2"/>
      <c r="EI102" s="2"/>
      <c r="EJ102" s="2"/>
      <c r="EK102" s="2"/>
      <c r="EL102" s="2"/>
      <c r="EM102" s="2"/>
      <c r="EN102" s="2"/>
      <c r="EO102" s="2"/>
      <c r="EP102" s="2"/>
      <c r="EQ102" s="2"/>
      <c r="ER102" s="2"/>
      <c r="ES102" s="2"/>
      <c r="ET102" s="2"/>
      <c r="EU102" s="2"/>
      <c r="EV102" s="2"/>
      <c r="EW102" s="2"/>
      <c r="EX102" s="2"/>
      <c r="EY102" s="2"/>
      <c r="EZ102" s="2"/>
      <c r="FA102" s="2"/>
      <c r="FB102" s="2"/>
      <c r="FC102" s="2"/>
      <c r="FD102" s="2"/>
      <c r="FE102" s="2"/>
      <c r="FF102" s="2"/>
      <c r="FG102" s="2"/>
      <c r="FH102" s="2"/>
      <c r="FI102" s="2"/>
      <c r="FJ102" s="2"/>
      <c r="FK102" s="2"/>
      <c r="FL102" s="2"/>
      <c r="FM102" s="2"/>
      <c r="FN102" s="2"/>
      <c r="FO102" s="2"/>
      <c r="FP102" s="2"/>
      <c r="FQ102" s="2"/>
      <c r="FR102" s="2"/>
      <c r="FS102" s="2"/>
      <c r="FT102" s="2"/>
      <c r="FU102" s="2"/>
      <c r="FV102" s="2"/>
      <c r="FW102" s="2"/>
      <c r="FX102" s="2"/>
      <c r="FY102" s="2"/>
      <c r="FZ102" s="2"/>
      <c r="GA102" s="2"/>
      <c r="GB102" s="2"/>
      <c r="GC102" s="2"/>
      <c r="GD102" s="2"/>
      <c r="GE102" s="2"/>
      <c r="GF102" s="2"/>
      <c r="GG102" s="2"/>
      <c r="GH102" s="2"/>
      <c r="GI102" s="2"/>
      <c r="GJ102" s="2"/>
      <c r="GK102" s="2"/>
      <c r="GL102" s="2"/>
      <c r="GM102" s="2"/>
      <c r="GN102" s="2"/>
      <c r="GO102" s="2"/>
      <c r="GP102" s="2"/>
      <c r="GQ102" s="2"/>
      <c r="GR102" s="2"/>
      <c r="GS102" s="2"/>
      <c r="GT102" s="2"/>
      <c r="GU102" s="2"/>
      <c r="GV102" s="2"/>
      <c r="GW102" s="2"/>
      <c r="GX102" s="2"/>
      <c r="GY102" s="2"/>
      <c r="GZ102" s="2"/>
      <c r="HA102" s="2"/>
      <c r="HB102" s="2"/>
      <c r="HC102" s="2"/>
      <c r="HD102" s="2"/>
      <c r="HE102" s="2"/>
      <c r="HF102" s="2"/>
      <c r="HG102" s="2"/>
      <c r="HH102" s="2"/>
      <c r="HI102" s="2"/>
      <c r="HJ102" s="2"/>
      <c r="HK102" s="2"/>
      <c r="HL102" s="2"/>
      <c r="HM102" s="2"/>
      <c r="HN102" s="2"/>
      <c r="HO102" s="2"/>
      <c r="HP102" s="2"/>
      <c r="HQ102" s="2"/>
      <c r="HR102" s="2"/>
      <c r="HS102" s="2"/>
      <c r="HT102" s="2"/>
      <c r="HU102" s="2"/>
      <c r="HV102" s="2"/>
      <c r="HW102" s="2"/>
      <c r="HX102" s="2"/>
      <c r="HY102" s="2"/>
      <c r="HZ102" s="2"/>
      <c r="IA102" s="2"/>
      <c r="IB102" s="2"/>
      <c r="IC102" s="2"/>
      <c r="ID102" s="2"/>
      <c r="IE102" s="2"/>
      <c r="IF102" s="2"/>
      <c r="IG102" s="2"/>
      <c r="IH102" s="2"/>
      <c r="II102" s="2"/>
      <c r="IJ102" s="2"/>
      <c r="IK102" s="2"/>
      <c r="IL102" s="2"/>
      <c r="IM102" s="2"/>
      <c r="IN102" s="2"/>
      <c r="IO102" s="2"/>
      <c r="IP102" s="2"/>
      <c r="IQ102" s="2"/>
      <c r="IR102" s="2"/>
      <c r="IS102" s="2"/>
    </row>
    <row r="103" spans="1:253" s="6" customFormat="1" ht="15.75" customHeight="1" x14ac:dyDescent="0.25">
      <c r="A103" s="1"/>
      <c r="B103" s="40" t="s">
        <v>1630</v>
      </c>
      <c r="C103" s="46">
        <f>cebu!$D$982</f>
        <v>39447</v>
      </c>
      <c r="D103" s="51"/>
      <c r="E103" s="5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  <c r="DP103" s="2"/>
      <c r="DQ103" s="2"/>
      <c r="DR103" s="2"/>
      <c r="DS103" s="2"/>
      <c r="DT103" s="2"/>
      <c r="DU103" s="2"/>
      <c r="DV103" s="2"/>
      <c r="DW103" s="2"/>
      <c r="DX103" s="2"/>
      <c r="DY103" s="2"/>
      <c r="DZ103" s="2"/>
      <c r="EA103" s="2"/>
      <c r="EB103" s="2"/>
      <c r="EC103" s="2"/>
      <c r="ED103" s="2"/>
      <c r="EE103" s="2"/>
      <c r="EF103" s="2"/>
      <c r="EG103" s="2"/>
      <c r="EH103" s="2"/>
      <c r="EI103" s="2"/>
      <c r="EJ103" s="2"/>
      <c r="EK103" s="2"/>
      <c r="EL103" s="2"/>
      <c r="EM103" s="2"/>
      <c r="EN103" s="2"/>
      <c r="EO103" s="2"/>
      <c r="EP103" s="2"/>
      <c r="EQ103" s="2"/>
      <c r="ER103" s="2"/>
      <c r="ES103" s="2"/>
      <c r="ET103" s="2"/>
      <c r="EU103" s="2"/>
      <c r="EV103" s="2"/>
      <c r="EW103" s="2"/>
      <c r="EX103" s="2"/>
      <c r="EY103" s="2"/>
      <c r="EZ103" s="2"/>
      <c r="FA103" s="2"/>
      <c r="FB103" s="2"/>
      <c r="FC103" s="2"/>
      <c r="FD103" s="2"/>
      <c r="FE103" s="2"/>
      <c r="FF103" s="2"/>
      <c r="FG103" s="2"/>
      <c r="FH103" s="2"/>
      <c r="FI103" s="2"/>
      <c r="FJ103" s="2"/>
      <c r="FK103" s="2"/>
      <c r="FL103" s="2"/>
      <c r="FM103" s="2"/>
      <c r="FN103" s="2"/>
      <c r="FO103" s="2"/>
      <c r="FP103" s="2"/>
      <c r="FQ103" s="2"/>
      <c r="FR103" s="2"/>
      <c r="FS103" s="2"/>
      <c r="FT103" s="2"/>
      <c r="FU103" s="2"/>
      <c r="FV103" s="2"/>
      <c r="FW103" s="2"/>
      <c r="FX103" s="2"/>
      <c r="FY103" s="2"/>
      <c r="FZ103" s="2"/>
      <c r="GA103" s="2"/>
      <c r="GB103" s="2"/>
      <c r="GC103" s="2"/>
      <c r="GD103" s="2"/>
      <c r="GE103" s="2"/>
      <c r="GF103" s="2"/>
      <c r="GG103" s="2"/>
      <c r="GH103" s="2"/>
      <c r="GI103" s="2"/>
      <c r="GJ103" s="2"/>
      <c r="GK103" s="2"/>
      <c r="GL103" s="2"/>
      <c r="GM103" s="2"/>
      <c r="GN103" s="2"/>
      <c r="GO103" s="2"/>
      <c r="GP103" s="2"/>
      <c r="GQ103" s="2"/>
      <c r="GR103" s="2"/>
      <c r="GS103" s="2"/>
      <c r="GT103" s="2"/>
      <c r="GU103" s="2"/>
      <c r="GV103" s="2"/>
      <c r="GW103" s="2"/>
      <c r="GX103" s="2"/>
      <c r="GY103" s="2"/>
      <c r="GZ103" s="2"/>
      <c r="HA103" s="2"/>
      <c r="HB103" s="2"/>
      <c r="HC103" s="2"/>
      <c r="HD103" s="2"/>
      <c r="HE103" s="2"/>
      <c r="HF103" s="2"/>
      <c r="HG103" s="2"/>
      <c r="HH103" s="2"/>
      <c r="HI103" s="2"/>
      <c r="HJ103" s="2"/>
      <c r="HK103" s="2"/>
      <c r="HL103" s="2"/>
      <c r="HM103" s="2"/>
      <c r="HN103" s="2"/>
      <c r="HO103" s="2"/>
      <c r="HP103" s="2"/>
      <c r="HQ103" s="2"/>
      <c r="HR103" s="2"/>
      <c r="HS103" s="2"/>
      <c r="HT103" s="2"/>
      <c r="HU103" s="2"/>
      <c r="HV103" s="2"/>
      <c r="HW103" s="2"/>
      <c r="HX103" s="2"/>
      <c r="HY103" s="2"/>
      <c r="HZ103" s="2"/>
      <c r="IA103" s="2"/>
      <c r="IB103" s="2"/>
      <c r="IC103" s="2"/>
      <c r="ID103" s="2"/>
      <c r="IE103" s="2"/>
      <c r="IF103" s="2"/>
      <c r="IG103" s="2"/>
      <c r="IH103" s="2"/>
      <c r="II103" s="2"/>
      <c r="IJ103" s="2"/>
      <c r="IK103" s="2"/>
      <c r="IL103" s="2"/>
      <c r="IM103" s="2"/>
      <c r="IN103" s="2"/>
      <c r="IO103" s="2"/>
      <c r="IP103" s="2"/>
      <c r="IQ103" s="2"/>
      <c r="IR103" s="2"/>
      <c r="IS103" s="2"/>
    </row>
    <row r="104" spans="1:253" s="6" customFormat="1" ht="15.75" customHeight="1" x14ac:dyDescent="0.25">
      <c r="A104" s="1"/>
      <c r="B104" s="40" t="s">
        <v>1641</v>
      </c>
      <c r="C104" s="46">
        <f>cebu!$D$1002</f>
        <v>41432</v>
      </c>
      <c r="D104" s="51"/>
      <c r="E104" s="5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  <c r="DP104" s="2"/>
      <c r="DQ104" s="2"/>
      <c r="DR104" s="2"/>
      <c r="DS104" s="2"/>
      <c r="DT104" s="2"/>
      <c r="DU104" s="2"/>
      <c r="DV104" s="2"/>
      <c r="DW104" s="2"/>
      <c r="DX104" s="2"/>
      <c r="DY104" s="2"/>
      <c r="DZ104" s="2"/>
      <c r="EA104" s="2"/>
      <c r="EB104" s="2"/>
      <c r="EC104" s="2"/>
      <c r="ED104" s="2"/>
      <c r="EE104" s="2"/>
      <c r="EF104" s="2"/>
      <c r="EG104" s="2"/>
      <c r="EH104" s="2"/>
      <c r="EI104" s="2"/>
      <c r="EJ104" s="2"/>
      <c r="EK104" s="2"/>
      <c r="EL104" s="2"/>
      <c r="EM104" s="2"/>
      <c r="EN104" s="2"/>
      <c r="EO104" s="2"/>
      <c r="EP104" s="2"/>
      <c r="EQ104" s="2"/>
      <c r="ER104" s="2"/>
      <c r="ES104" s="2"/>
      <c r="ET104" s="2"/>
      <c r="EU104" s="2"/>
      <c r="EV104" s="2"/>
      <c r="EW104" s="2"/>
      <c r="EX104" s="2"/>
      <c r="EY104" s="2"/>
      <c r="EZ104" s="2"/>
      <c r="FA104" s="2"/>
      <c r="FB104" s="2"/>
      <c r="FC104" s="2"/>
      <c r="FD104" s="2"/>
      <c r="FE104" s="2"/>
      <c r="FF104" s="2"/>
      <c r="FG104" s="2"/>
      <c r="FH104" s="2"/>
      <c r="FI104" s="2"/>
      <c r="FJ104" s="2"/>
      <c r="FK104" s="2"/>
      <c r="FL104" s="2"/>
      <c r="FM104" s="2"/>
      <c r="FN104" s="2"/>
      <c r="FO104" s="2"/>
      <c r="FP104" s="2"/>
      <c r="FQ104" s="2"/>
      <c r="FR104" s="2"/>
      <c r="FS104" s="2"/>
      <c r="FT104" s="2"/>
      <c r="FU104" s="2"/>
      <c r="FV104" s="2"/>
      <c r="FW104" s="2"/>
      <c r="FX104" s="2"/>
      <c r="FY104" s="2"/>
      <c r="FZ104" s="2"/>
      <c r="GA104" s="2"/>
      <c r="GB104" s="2"/>
      <c r="GC104" s="2"/>
      <c r="GD104" s="2"/>
      <c r="GE104" s="2"/>
      <c r="GF104" s="2"/>
      <c r="GG104" s="2"/>
      <c r="GH104" s="2"/>
      <c r="GI104" s="2"/>
      <c r="GJ104" s="2"/>
      <c r="GK104" s="2"/>
      <c r="GL104" s="2"/>
      <c r="GM104" s="2"/>
      <c r="GN104" s="2"/>
      <c r="GO104" s="2"/>
      <c r="GP104" s="2"/>
      <c r="GQ104" s="2"/>
      <c r="GR104" s="2"/>
      <c r="GS104" s="2"/>
      <c r="GT104" s="2"/>
      <c r="GU104" s="2"/>
      <c r="GV104" s="2"/>
      <c r="GW104" s="2"/>
      <c r="GX104" s="2"/>
      <c r="GY104" s="2"/>
      <c r="GZ104" s="2"/>
      <c r="HA104" s="2"/>
      <c r="HB104" s="2"/>
      <c r="HC104" s="2"/>
      <c r="HD104" s="2"/>
      <c r="HE104" s="2"/>
      <c r="HF104" s="2"/>
      <c r="HG104" s="2"/>
      <c r="HH104" s="2"/>
      <c r="HI104" s="2"/>
      <c r="HJ104" s="2"/>
      <c r="HK104" s="2"/>
      <c r="HL104" s="2"/>
      <c r="HM104" s="2"/>
      <c r="HN104" s="2"/>
      <c r="HO104" s="2"/>
      <c r="HP104" s="2"/>
      <c r="HQ104" s="2"/>
      <c r="HR104" s="2"/>
      <c r="HS104" s="2"/>
      <c r="HT104" s="2"/>
      <c r="HU104" s="2"/>
      <c r="HV104" s="2"/>
      <c r="HW104" s="2"/>
      <c r="HX104" s="2"/>
      <c r="HY104" s="2"/>
      <c r="HZ104" s="2"/>
      <c r="IA104" s="2"/>
      <c r="IB104" s="2"/>
      <c r="IC104" s="2"/>
      <c r="ID104" s="2"/>
      <c r="IE104" s="2"/>
      <c r="IF104" s="2"/>
      <c r="IG104" s="2"/>
      <c r="IH104" s="2"/>
      <c r="II104" s="2"/>
      <c r="IJ104" s="2"/>
      <c r="IK104" s="2"/>
      <c r="IL104" s="2"/>
      <c r="IM104" s="2"/>
      <c r="IN104" s="2"/>
      <c r="IO104" s="2"/>
      <c r="IP104" s="2"/>
      <c r="IQ104" s="2"/>
      <c r="IR104" s="2"/>
      <c r="IS104" s="2"/>
    </row>
    <row r="105" spans="1:253" s="6" customFormat="1" ht="15.75" customHeight="1" x14ac:dyDescent="0.25">
      <c r="A105" s="1"/>
      <c r="B105" s="40" t="s">
        <v>1658</v>
      </c>
      <c r="C105" s="46">
        <f>cebu!$D$1029</f>
        <v>28907</v>
      </c>
      <c r="D105" s="51"/>
      <c r="E105" s="5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  <c r="DP105" s="2"/>
      <c r="DQ105" s="2"/>
      <c r="DR105" s="2"/>
      <c r="DS105" s="2"/>
      <c r="DT105" s="2"/>
      <c r="DU105" s="2"/>
      <c r="DV105" s="2"/>
      <c r="DW105" s="2"/>
      <c r="DX105" s="2"/>
      <c r="DY105" s="2"/>
      <c r="DZ105" s="2"/>
      <c r="EA105" s="2"/>
      <c r="EB105" s="2"/>
      <c r="EC105" s="2"/>
      <c r="ED105" s="2"/>
      <c r="EE105" s="2"/>
      <c r="EF105" s="2"/>
      <c r="EG105" s="2"/>
      <c r="EH105" s="2"/>
      <c r="EI105" s="2"/>
      <c r="EJ105" s="2"/>
      <c r="EK105" s="2"/>
      <c r="EL105" s="2"/>
      <c r="EM105" s="2"/>
      <c r="EN105" s="2"/>
      <c r="EO105" s="2"/>
      <c r="EP105" s="2"/>
      <c r="EQ105" s="2"/>
      <c r="ER105" s="2"/>
      <c r="ES105" s="2"/>
      <c r="ET105" s="2"/>
      <c r="EU105" s="2"/>
      <c r="EV105" s="2"/>
      <c r="EW105" s="2"/>
      <c r="EX105" s="2"/>
      <c r="EY105" s="2"/>
      <c r="EZ105" s="2"/>
      <c r="FA105" s="2"/>
      <c r="FB105" s="2"/>
      <c r="FC105" s="2"/>
      <c r="FD105" s="2"/>
      <c r="FE105" s="2"/>
      <c r="FF105" s="2"/>
      <c r="FG105" s="2"/>
      <c r="FH105" s="2"/>
      <c r="FI105" s="2"/>
      <c r="FJ105" s="2"/>
      <c r="FK105" s="2"/>
      <c r="FL105" s="2"/>
      <c r="FM105" s="2"/>
      <c r="FN105" s="2"/>
      <c r="FO105" s="2"/>
      <c r="FP105" s="2"/>
      <c r="FQ105" s="2"/>
      <c r="FR105" s="2"/>
      <c r="FS105" s="2"/>
      <c r="FT105" s="2"/>
      <c r="FU105" s="2"/>
      <c r="FV105" s="2"/>
      <c r="FW105" s="2"/>
      <c r="FX105" s="2"/>
      <c r="FY105" s="2"/>
      <c r="FZ105" s="2"/>
      <c r="GA105" s="2"/>
      <c r="GB105" s="2"/>
      <c r="GC105" s="2"/>
      <c r="GD105" s="2"/>
      <c r="GE105" s="2"/>
      <c r="GF105" s="2"/>
      <c r="GG105" s="2"/>
      <c r="GH105" s="2"/>
      <c r="GI105" s="2"/>
      <c r="GJ105" s="2"/>
      <c r="GK105" s="2"/>
      <c r="GL105" s="2"/>
      <c r="GM105" s="2"/>
      <c r="GN105" s="2"/>
      <c r="GO105" s="2"/>
      <c r="GP105" s="2"/>
      <c r="GQ105" s="2"/>
      <c r="GR105" s="2"/>
      <c r="GS105" s="2"/>
      <c r="GT105" s="2"/>
      <c r="GU105" s="2"/>
      <c r="GV105" s="2"/>
      <c r="GW105" s="2"/>
      <c r="GX105" s="2"/>
      <c r="GY105" s="2"/>
      <c r="GZ105" s="2"/>
      <c r="HA105" s="2"/>
      <c r="HB105" s="2"/>
      <c r="HC105" s="2"/>
      <c r="HD105" s="2"/>
      <c r="HE105" s="2"/>
      <c r="HF105" s="2"/>
      <c r="HG105" s="2"/>
      <c r="HH105" s="2"/>
      <c r="HI105" s="2"/>
      <c r="HJ105" s="2"/>
      <c r="HK105" s="2"/>
      <c r="HL105" s="2"/>
      <c r="HM105" s="2"/>
      <c r="HN105" s="2"/>
      <c r="HO105" s="2"/>
      <c r="HP105" s="2"/>
      <c r="HQ105" s="2"/>
      <c r="HR105" s="2"/>
      <c r="HS105" s="2"/>
      <c r="HT105" s="2"/>
      <c r="HU105" s="2"/>
      <c r="HV105" s="2"/>
      <c r="HW105" s="2"/>
      <c r="HX105" s="2"/>
      <c r="HY105" s="2"/>
      <c r="HZ105" s="2"/>
      <c r="IA105" s="2"/>
      <c r="IB105" s="2"/>
      <c r="IC105" s="2"/>
      <c r="ID105" s="2"/>
      <c r="IE105" s="2"/>
      <c r="IF105" s="2"/>
      <c r="IG105" s="2"/>
      <c r="IH105" s="2"/>
      <c r="II105" s="2"/>
      <c r="IJ105" s="2"/>
      <c r="IK105" s="2"/>
      <c r="IL105" s="2"/>
      <c r="IM105" s="2"/>
      <c r="IN105" s="2"/>
      <c r="IO105" s="2"/>
      <c r="IP105" s="2"/>
      <c r="IQ105" s="2"/>
      <c r="IR105" s="2"/>
      <c r="IS105" s="2"/>
    </row>
    <row r="106" spans="1:253" s="6" customFormat="1" ht="15.75" customHeight="1" x14ac:dyDescent="0.25">
      <c r="A106" s="1"/>
      <c r="B106" s="40" t="s">
        <v>244</v>
      </c>
      <c r="C106" s="46">
        <f>cebu!$D$1043</f>
        <v>263048</v>
      </c>
      <c r="D106" s="51"/>
      <c r="E106" s="5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  <c r="DP106" s="2"/>
      <c r="DQ106" s="2"/>
      <c r="DR106" s="2"/>
      <c r="DS106" s="2"/>
      <c r="DT106" s="2"/>
      <c r="DU106" s="2"/>
      <c r="DV106" s="2"/>
      <c r="DW106" s="2"/>
      <c r="DX106" s="2"/>
      <c r="DY106" s="2"/>
      <c r="DZ106" s="2"/>
      <c r="EA106" s="2"/>
      <c r="EB106" s="2"/>
      <c r="EC106" s="2"/>
      <c r="ED106" s="2"/>
      <c r="EE106" s="2"/>
      <c r="EF106" s="2"/>
      <c r="EG106" s="2"/>
      <c r="EH106" s="2"/>
      <c r="EI106" s="2"/>
      <c r="EJ106" s="2"/>
      <c r="EK106" s="2"/>
      <c r="EL106" s="2"/>
      <c r="EM106" s="2"/>
      <c r="EN106" s="2"/>
      <c r="EO106" s="2"/>
      <c r="EP106" s="2"/>
      <c r="EQ106" s="2"/>
      <c r="ER106" s="2"/>
      <c r="ES106" s="2"/>
      <c r="ET106" s="2"/>
      <c r="EU106" s="2"/>
      <c r="EV106" s="2"/>
      <c r="EW106" s="2"/>
      <c r="EX106" s="2"/>
      <c r="EY106" s="2"/>
      <c r="EZ106" s="2"/>
      <c r="FA106" s="2"/>
      <c r="FB106" s="2"/>
      <c r="FC106" s="2"/>
      <c r="FD106" s="2"/>
      <c r="FE106" s="2"/>
      <c r="FF106" s="2"/>
      <c r="FG106" s="2"/>
      <c r="FH106" s="2"/>
      <c r="FI106" s="2"/>
      <c r="FJ106" s="2"/>
      <c r="FK106" s="2"/>
      <c r="FL106" s="2"/>
      <c r="FM106" s="2"/>
      <c r="FN106" s="2"/>
      <c r="FO106" s="2"/>
      <c r="FP106" s="2"/>
      <c r="FQ106" s="2"/>
      <c r="FR106" s="2"/>
      <c r="FS106" s="2"/>
      <c r="FT106" s="2"/>
      <c r="FU106" s="2"/>
      <c r="FV106" s="2"/>
      <c r="FW106" s="2"/>
      <c r="FX106" s="2"/>
      <c r="FY106" s="2"/>
      <c r="FZ106" s="2"/>
      <c r="GA106" s="2"/>
      <c r="GB106" s="2"/>
      <c r="GC106" s="2"/>
      <c r="GD106" s="2"/>
      <c r="GE106" s="2"/>
      <c r="GF106" s="2"/>
      <c r="GG106" s="2"/>
      <c r="GH106" s="2"/>
      <c r="GI106" s="2"/>
      <c r="GJ106" s="2"/>
      <c r="GK106" s="2"/>
      <c r="GL106" s="2"/>
      <c r="GM106" s="2"/>
      <c r="GN106" s="2"/>
      <c r="GO106" s="2"/>
      <c r="GP106" s="2"/>
      <c r="GQ106" s="2"/>
      <c r="GR106" s="2"/>
      <c r="GS106" s="2"/>
      <c r="GT106" s="2"/>
      <c r="GU106" s="2"/>
      <c r="GV106" s="2"/>
      <c r="GW106" s="2"/>
      <c r="GX106" s="2"/>
      <c r="GY106" s="2"/>
      <c r="GZ106" s="2"/>
      <c r="HA106" s="2"/>
      <c r="HB106" s="2"/>
      <c r="HC106" s="2"/>
      <c r="HD106" s="2"/>
      <c r="HE106" s="2"/>
      <c r="HF106" s="2"/>
      <c r="HG106" s="2"/>
      <c r="HH106" s="2"/>
      <c r="HI106" s="2"/>
      <c r="HJ106" s="2"/>
      <c r="HK106" s="2"/>
      <c r="HL106" s="2"/>
      <c r="HM106" s="2"/>
      <c r="HN106" s="2"/>
      <c r="HO106" s="2"/>
      <c r="HP106" s="2"/>
      <c r="HQ106" s="2"/>
      <c r="HR106" s="2"/>
      <c r="HS106" s="2"/>
      <c r="HT106" s="2"/>
      <c r="HU106" s="2"/>
      <c r="HV106" s="2"/>
      <c r="HW106" s="2"/>
      <c r="HX106" s="2"/>
      <c r="HY106" s="2"/>
      <c r="HZ106" s="2"/>
      <c r="IA106" s="2"/>
      <c r="IB106" s="2"/>
      <c r="IC106" s="2"/>
      <c r="ID106" s="2"/>
      <c r="IE106" s="2"/>
      <c r="IF106" s="2"/>
      <c r="IG106" s="2"/>
      <c r="IH106" s="2"/>
      <c r="II106" s="2"/>
      <c r="IJ106" s="2"/>
      <c r="IK106" s="2"/>
      <c r="IL106" s="2"/>
      <c r="IM106" s="2"/>
      <c r="IN106" s="2"/>
      <c r="IO106" s="2"/>
      <c r="IP106" s="2"/>
      <c r="IQ106" s="2"/>
      <c r="IR106" s="2"/>
      <c r="IS106" s="2"/>
    </row>
    <row r="107" spans="1:253" s="6" customFormat="1" ht="15.75" customHeight="1" x14ac:dyDescent="0.25">
      <c r="A107" s="1"/>
      <c r="B107" s="40" t="s">
        <v>2400</v>
      </c>
      <c r="C107" s="46">
        <f>cebu!$D$1067</f>
        <v>207314</v>
      </c>
      <c r="D107" s="51"/>
      <c r="E107" s="5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  <c r="DP107" s="2"/>
      <c r="DQ107" s="2"/>
      <c r="DR107" s="2"/>
      <c r="DS107" s="2"/>
      <c r="DT107" s="2"/>
      <c r="DU107" s="2"/>
      <c r="DV107" s="2"/>
      <c r="DW107" s="2"/>
      <c r="DX107" s="2"/>
      <c r="DY107" s="2"/>
      <c r="DZ107" s="2"/>
      <c r="EA107" s="2"/>
      <c r="EB107" s="2"/>
      <c r="EC107" s="2"/>
      <c r="ED107" s="2"/>
      <c r="EE107" s="2"/>
      <c r="EF107" s="2"/>
      <c r="EG107" s="2"/>
      <c r="EH107" s="2"/>
      <c r="EI107" s="2"/>
      <c r="EJ107" s="2"/>
      <c r="EK107" s="2"/>
      <c r="EL107" s="2"/>
      <c r="EM107" s="2"/>
      <c r="EN107" s="2"/>
      <c r="EO107" s="2"/>
      <c r="EP107" s="2"/>
      <c r="EQ107" s="2"/>
      <c r="ER107" s="2"/>
      <c r="ES107" s="2"/>
      <c r="ET107" s="2"/>
      <c r="EU107" s="2"/>
      <c r="EV107" s="2"/>
      <c r="EW107" s="2"/>
      <c r="EX107" s="2"/>
      <c r="EY107" s="2"/>
      <c r="EZ107" s="2"/>
      <c r="FA107" s="2"/>
      <c r="FB107" s="2"/>
      <c r="FC107" s="2"/>
      <c r="FD107" s="2"/>
      <c r="FE107" s="2"/>
      <c r="FF107" s="2"/>
      <c r="FG107" s="2"/>
      <c r="FH107" s="2"/>
      <c r="FI107" s="2"/>
      <c r="FJ107" s="2"/>
      <c r="FK107" s="2"/>
      <c r="FL107" s="2"/>
      <c r="FM107" s="2"/>
      <c r="FN107" s="2"/>
      <c r="FO107" s="2"/>
      <c r="FP107" s="2"/>
      <c r="FQ107" s="2"/>
      <c r="FR107" s="2"/>
      <c r="FS107" s="2"/>
      <c r="FT107" s="2"/>
      <c r="FU107" s="2"/>
      <c r="FV107" s="2"/>
      <c r="FW107" s="2"/>
      <c r="FX107" s="2"/>
      <c r="FY107" s="2"/>
      <c r="FZ107" s="2"/>
      <c r="GA107" s="2"/>
      <c r="GB107" s="2"/>
      <c r="GC107" s="2"/>
      <c r="GD107" s="2"/>
      <c r="GE107" s="2"/>
      <c r="GF107" s="2"/>
      <c r="GG107" s="2"/>
      <c r="GH107" s="2"/>
      <c r="GI107" s="2"/>
      <c r="GJ107" s="2"/>
      <c r="GK107" s="2"/>
      <c r="GL107" s="2"/>
      <c r="GM107" s="2"/>
      <c r="GN107" s="2"/>
      <c r="GO107" s="2"/>
      <c r="GP107" s="2"/>
      <c r="GQ107" s="2"/>
      <c r="GR107" s="2"/>
      <c r="GS107" s="2"/>
      <c r="GT107" s="2"/>
      <c r="GU107" s="2"/>
      <c r="GV107" s="2"/>
      <c r="GW107" s="2"/>
      <c r="GX107" s="2"/>
      <c r="GY107" s="2"/>
      <c r="GZ107" s="2"/>
      <c r="HA107" s="2"/>
      <c r="HB107" s="2"/>
      <c r="HC107" s="2"/>
      <c r="HD107" s="2"/>
      <c r="HE107" s="2"/>
      <c r="HF107" s="2"/>
      <c r="HG107" s="2"/>
      <c r="HH107" s="2"/>
      <c r="HI107" s="2"/>
      <c r="HJ107" s="2"/>
      <c r="HK107" s="2"/>
      <c r="HL107" s="2"/>
      <c r="HM107" s="2"/>
      <c r="HN107" s="2"/>
      <c r="HO107" s="2"/>
      <c r="HP107" s="2"/>
      <c r="HQ107" s="2"/>
      <c r="HR107" s="2"/>
      <c r="HS107" s="2"/>
      <c r="HT107" s="2"/>
      <c r="HU107" s="2"/>
      <c r="HV107" s="2"/>
      <c r="HW107" s="2"/>
      <c r="HX107" s="2"/>
      <c r="HY107" s="2"/>
      <c r="HZ107" s="2"/>
      <c r="IA107" s="2"/>
      <c r="IB107" s="2"/>
      <c r="IC107" s="2"/>
      <c r="ID107" s="2"/>
      <c r="IE107" s="2"/>
      <c r="IF107" s="2"/>
      <c r="IG107" s="2"/>
      <c r="IH107" s="2"/>
      <c r="II107" s="2"/>
      <c r="IJ107" s="2"/>
      <c r="IK107" s="2"/>
      <c r="IL107" s="2"/>
      <c r="IM107" s="2"/>
      <c r="IN107" s="2"/>
      <c r="IO107" s="2"/>
      <c r="IP107" s="2"/>
      <c r="IQ107" s="2"/>
      <c r="IR107" s="2"/>
      <c r="IS107" s="2"/>
    </row>
    <row r="108" spans="1:253" s="6" customFormat="1" ht="15.75" customHeight="1" x14ac:dyDescent="0.25">
      <c r="A108" s="1"/>
      <c r="B108" s="40" t="s">
        <v>1702</v>
      </c>
      <c r="C108" s="46">
        <f>cebu!$D$1107</f>
        <v>68167</v>
      </c>
      <c r="D108" s="51"/>
      <c r="E108" s="5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  <c r="DP108" s="2"/>
      <c r="DQ108" s="2"/>
      <c r="DR108" s="2"/>
      <c r="DS108" s="2"/>
      <c r="DT108" s="2"/>
      <c r="DU108" s="2"/>
      <c r="DV108" s="2"/>
      <c r="DW108" s="2"/>
      <c r="DX108" s="2"/>
      <c r="DY108" s="2"/>
      <c r="DZ108" s="2"/>
      <c r="EA108" s="2"/>
      <c r="EB108" s="2"/>
      <c r="EC108" s="2"/>
      <c r="ED108" s="2"/>
      <c r="EE108" s="2"/>
      <c r="EF108" s="2"/>
      <c r="EG108" s="2"/>
      <c r="EH108" s="2"/>
      <c r="EI108" s="2"/>
      <c r="EJ108" s="2"/>
      <c r="EK108" s="2"/>
      <c r="EL108" s="2"/>
      <c r="EM108" s="2"/>
      <c r="EN108" s="2"/>
      <c r="EO108" s="2"/>
      <c r="EP108" s="2"/>
      <c r="EQ108" s="2"/>
      <c r="ER108" s="2"/>
      <c r="ES108" s="2"/>
      <c r="ET108" s="2"/>
      <c r="EU108" s="2"/>
      <c r="EV108" s="2"/>
      <c r="EW108" s="2"/>
      <c r="EX108" s="2"/>
      <c r="EY108" s="2"/>
      <c r="EZ108" s="2"/>
      <c r="FA108" s="2"/>
      <c r="FB108" s="2"/>
      <c r="FC108" s="2"/>
      <c r="FD108" s="2"/>
      <c r="FE108" s="2"/>
      <c r="FF108" s="2"/>
      <c r="FG108" s="2"/>
      <c r="FH108" s="2"/>
      <c r="FI108" s="2"/>
      <c r="FJ108" s="2"/>
      <c r="FK108" s="2"/>
      <c r="FL108" s="2"/>
      <c r="FM108" s="2"/>
      <c r="FN108" s="2"/>
      <c r="FO108" s="2"/>
      <c r="FP108" s="2"/>
      <c r="FQ108" s="2"/>
      <c r="FR108" s="2"/>
      <c r="FS108" s="2"/>
      <c r="FT108" s="2"/>
      <c r="FU108" s="2"/>
      <c r="FV108" s="2"/>
      <c r="FW108" s="2"/>
      <c r="FX108" s="2"/>
      <c r="FY108" s="2"/>
      <c r="FZ108" s="2"/>
      <c r="GA108" s="2"/>
      <c r="GB108" s="2"/>
      <c r="GC108" s="2"/>
      <c r="GD108" s="2"/>
      <c r="GE108" s="2"/>
      <c r="GF108" s="2"/>
      <c r="GG108" s="2"/>
      <c r="GH108" s="2"/>
      <c r="GI108" s="2"/>
      <c r="GJ108" s="2"/>
      <c r="GK108" s="2"/>
      <c r="GL108" s="2"/>
      <c r="GM108" s="2"/>
      <c r="GN108" s="2"/>
      <c r="GO108" s="2"/>
      <c r="GP108" s="2"/>
      <c r="GQ108" s="2"/>
      <c r="GR108" s="2"/>
      <c r="GS108" s="2"/>
      <c r="GT108" s="2"/>
      <c r="GU108" s="2"/>
      <c r="GV108" s="2"/>
      <c r="GW108" s="2"/>
      <c r="GX108" s="2"/>
      <c r="GY108" s="2"/>
      <c r="GZ108" s="2"/>
      <c r="HA108" s="2"/>
      <c r="HB108" s="2"/>
      <c r="HC108" s="2"/>
      <c r="HD108" s="2"/>
      <c r="HE108" s="2"/>
      <c r="HF108" s="2"/>
      <c r="HG108" s="2"/>
      <c r="HH108" s="2"/>
      <c r="HI108" s="2"/>
      <c r="HJ108" s="2"/>
      <c r="HK108" s="2"/>
      <c r="HL108" s="2"/>
      <c r="HM108" s="2"/>
      <c r="HN108" s="2"/>
      <c r="HO108" s="2"/>
      <c r="HP108" s="2"/>
      <c r="HQ108" s="2"/>
      <c r="HR108" s="2"/>
      <c r="HS108" s="2"/>
      <c r="HT108" s="2"/>
      <c r="HU108" s="2"/>
      <c r="HV108" s="2"/>
      <c r="HW108" s="2"/>
      <c r="HX108" s="2"/>
      <c r="HY108" s="2"/>
      <c r="HZ108" s="2"/>
      <c r="IA108" s="2"/>
      <c r="IB108" s="2"/>
      <c r="IC108" s="2"/>
      <c r="ID108" s="2"/>
      <c r="IE108" s="2"/>
      <c r="IF108" s="2"/>
      <c r="IG108" s="2"/>
      <c r="IH108" s="2"/>
      <c r="II108" s="2"/>
      <c r="IJ108" s="2"/>
      <c r="IK108" s="2"/>
      <c r="IL108" s="2"/>
      <c r="IM108" s="2"/>
      <c r="IN108" s="2"/>
      <c r="IO108" s="2"/>
      <c r="IP108" s="2"/>
      <c r="IQ108" s="2"/>
      <c r="IR108" s="2"/>
      <c r="IS108" s="2"/>
    </row>
    <row r="109" spans="1:253" s="6" customFormat="1" ht="15.75" customHeight="1" x14ac:dyDescent="0.25">
      <c r="A109" s="1"/>
      <c r="B109" s="40" t="s">
        <v>1736</v>
      </c>
      <c r="C109" s="46">
        <f>cebu!$D$1163</f>
        <v>11304</v>
      </c>
      <c r="D109" s="51"/>
      <c r="E109" s="5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  <c r="DP109" s="2"/>
      <c r="DQ109" s="2"/>
      <c r="DR109" s="2"/>
      <c r="DS109" s="2"/>
      <c r="DT109" s="2"/>
      <c r="DU109" s="2"/>
      <c r="DV109" s="2"/>
      <c r="DW109" s="2"/>
      <c r="DX109" s="2"/>
      <c r="DY109" s="2"/>
      <c r="DZ109" s="2"/>
      <c r="EA109" s="2"/>
      <c r="EB109" s="2"/>
      <c r="EC109" s="2"/>
      <c r="ED109" s="2"/>
      <c r="EE109" s="2"/>
      <c r="EF109" s="2"/>
      <c r="EG109" s="2"/>
      <c r="EH109" s="2"/>
      <c r="EI109" s="2"/>
      <c r="EJ109" s="2"/>
      <c r="EK109" s="2"/>
      <c r="EL109" s="2"/>
      <c r="EM109" s="2"/>
      <c r="EN109" s="2"/>
      <c r="EO109" s="2"/>
      <c r="EP109" s="2"/>
      <c r="EQ109" s="2"/>
      <c r="ER109" s="2"/>
      <c r="ES109" s="2"/>
      <c r="ET109" s="2"/>
      <c r="EU109" s="2"/>
      <c r="EV109" s="2"/>
      <c r="EW109" s="2"/>
      <c r="EX109" s="2"/>
      <c r="EY109" s="2"/>
      <c r="EZ109" s="2"/>
      <c r="FA109" s="2"/>
      <c r="FB109" s="2"/>
      <c r="FC109" s="2"/>
      <c r="FD109" s="2"/>
      <c r="FE109" s="2"/>
      <c r="FF109" s="2"/>
      <c r="FG109" s="2"/>
      <c r="FH109" s="2"/>
      <c r="FI109" s="2"/>
      <c r="FJ109" s="2"/>
      <c r="FK109" s="2"/>
      <c r="FL109" s="2"/>
      <c r="FM109" s="2"/>
      <c r="FN109" s="2"/>
      <c r="FO109" s="2"/>
      <c r="FP109" s="2"/>
      <c r="FQ109" s="2"/>
      <c r="FR109" s="2"/>
      <c r="FS109" s="2"/>
      <c r="FT109" s="2"/>
      <c r="FU109" s="2"/>
      <c r="FV109" s="2"/>
      <c r="FW109" s="2"/>
      <c r="FX109" s="2"/>
      <c r="FY109" s="2"/>
      <c r="FZ109" s="2"/>
      <c r="GA109" s="2"/>
      <c r="GB109" s="2"/>
      <c r="GC109" s="2"/>
      <c r="GD109" s="2"/>
      <c r="GE109" s="2"/>
      <c r="GF109" s="2"/>
      <c r="GG109" s="2"/>
      <c r="GH109" s="2"/>
      <c r="GI109" s="2"/>
      <c r="GJ109" s="2"/>
      <c r="GK109" s="2"/>
      <c r="GL109" s="2"/>
      <c r="GM109" s="2"/>
      <c r="GN109" s="2"/>
      <c r="GO109" s="2"/>
      <c r="GP109" s="2"/>
      <c r="GQ109" s="2"/>
      <c r="GR109" s="2"/>
      <c r="GS109" s="2"/>
      <c r="GT109" s="2"/>
      <c r="GU109" s="2"/>
      <c r="GV109" s="2"/>
      <c r="GW109" s="2"/>
      <c r="GX109" s="2"/>
      <c r="GY109" s="2"/>
      <c r="GZ109" s="2"/>
      <c r="HA109" s="2"/>
      <c r="HB109" s="2"/>
      <c r="HC109" s="2"/>
      <c r="HD109" s="2"/>
      <c r="HE109" s="2"/>
      <c r="HF109" s="2"/>
      <c r="HG109" s="2"/>
      <c r="HH109" s="2"/>
      <c r="HI109" s="2"/>
      <c r="HJ109" s="2"/>
      <c r="HK109" s="2"/>
      <c r="HL109" s="2"/>
      <c r="HM109" s="2"/>
      <c r="HN109" s="2"/>
      <c r="HO109" s="2"/>
      <c r="HP109" s="2"/>
      <c r="HQ109" s="2"/>
      <c r="HR109" s="2"/>
      <c r="HS109" s="2"/>
      <c r="HT109" s="2"/>
      <c r="HU109" s="2"/>
      <c r="HV109" s="2"/>
      <c r="HW109" s="2"/>
      <c r="HX109" s="2"/>
      <c r="HY109" s="2"/>
      <c r="HZ109" s="2"/>
      <c r="IA109" s="2"/>
      <c r="IB109" s="2"/>
      <c r="IC109" s="2"/>
      <c r="ID109" s="2"/>
      <c r="IE109" s="2"/>
      <c r="IF109" s="2"/>
      <c r="IG109" s="2"/>
      <c r="IH109" s="2"/>
      <c r="II109" s="2"/>
      <c r="IJ109" s="2"/>
      <c r="IK109" s="2"/>
      <c r="IL109" s="2"/>
      <c r="IM109" s="2"/>
      <c r="IN109" s="2"/>
      <c r="IO109" s="2"/>
      <c r="IP109" s="2"/>
      <c r="IQ109" s="2"/>
      <c r="IR109" s="2"/>
      <c r="IS109" s="2"/>
    </row>
    <row r="110" spans="1:253" s="6" customFormat="1" ht="15.75" customHeight="1" x14ac:dyDescent="0.25">
      <c r="A110" s="1"/>
      <c r="B110" s="38"/>
      <c r="C110" s="47"/>
      <c r="D110" s="51"/>
      <c r="E110" s="5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  <c r="DP110" s="2"/>
      <c r="DQ110" s="2"/>
      <c r="DR110" s="2"/>
      <c r="DS110" s="2"/>
      <c r="DT110" s="2"/>
      <c r="DU110" s="2"/>
      <c r="DV110" s="2"/>
      <c r="DW110" s="2"/>
      <c r="DX110" s="2"/>
      <c r="DY110" s="2"/>
      <c r="DZ110" s="2"/>
      <c r="EA110" s="2"/>
      <c r="EB110" s="2"/>
      <c r="EC110" s="2"/>
      <c r="ED110" s="2"/>
      <c r="EE110" s="2"/>
      <c r="EF110" s="2"/>
      <c r="EG110" s="2"/>
      <c r="EH110" s="2"/>
      <c r="EI110" s="2"/>
      <c r="EJ110" s="2"/>
      <c r="EK110" s="2"/>
      <c r="EL110" s="2"/>
      <c r="EM110" s="2"/>
      <c r="EN110" s="2"/>
      <c r="EO110" s="2"/>
      <c r="EP110" s="2"/>
      <c r="EQ110" s="2"/>
      <c r="ER110" s="2"/>
      <c r="ES110" s="2"/>
      <c r="ET110" s="2"/>
      <c r="EU110" s="2"/>
      <c r="EV110" s="2"/>
      <c r="EW110" s="2"/>
      <c r="EX110" s="2"/>
      <c r="EY110" s="2"/>
      <c r="EZ110" s="2"/>
      <c r="FA110" s="2"/>
      <c r="FB110" s="2"/>
      <c r="FC110" s="2"/>
      <c r="FD110" s="2"/>
      <c r="FE110" s="2"/>
      <c r="FF110" s="2"/>
      <c r="FG110" s="2"/>
      <c r="FH110" s="2"/>
      <c r="FI110" s="2"/>
      <c r="FJ110" s="2"/>
      <c r="FK110" s="2"/>
      <c r="FL110" s="2"/>
      <c r="FM110" s="2"/>
      <c r="FN110" s="2"/>
      <c r="FO110" s="2"/>
      <c r="FP110" s="2"/>
      <c r="FQ110" s="2"/>
      <c r="FR110" s="2"/>
      <c r="FS110" s="2"/>
      <c r="FT110" s="2"/>
      <c r="FU110" s="2"/>
      <c r="FV110" s="2"/>
      <c r="FW110" s="2"/>
      <c r="FX110" s="2"/>
      <c r="FY110" s="2"/>
      <c r="FZ110" s="2"/>
      <c r="GA110" s="2"/>
      <c r="GB110" s="2"/>
      <c r="GC110" s="2"/>
      <c r="GD110" s="2"/>
      <c r="GE110" s="2"/>
      <c r="GF110" s="2"/>
      <c r="GG110" s="2"/>
      <c r="GH110" s="2"/>
      <c r="GI110" s="2"/>
      <c r="GJ110" s="2"/>
      <c r="GK110" s="2"/>
      <c r="GL110" s="2"/>
      <c r="GM110" s="2"/>
      <c r="GN110" s="2"/>
      <c r="GO110" s="2"/>
      <c r="GP110" s="2"/>
      <c r="GQ110" s="2"/>
      <c r="GR110" s="2"/>
      <c r="GS110" s="2"/>
      <c r="GT110" s="2"/>
      <c r="GU110" s="2"/>
      <c r="GV110" s="2"/>
      <c r="GW110" s="2"/>
      <c r="GX110" s="2"/>
      <c r="GY110" s="2"/>
      <c r="GZ110" s="2"/>
      <c r="HA110" s="2"/>
      <c r="HB110" s="2"/>
      <c r="HC110" s="2"/>
      <c r="HD110" s="2"/>
      <c r="HE110" s="2"/>
      <c r="HF110" s="2"/>
      <c r="HG110" s="2"/>
      <c r="HH110" s="2"/>
      <c r="HI110" s="2"/>
      <c r="HJ110" s="2"/>
      <c r="HK110" s="2"/>
      <c r="HL110" s="2"/>
      <c r="HM110" s="2"/>
      <c r="HN110" s="2"/>
      <c r="HO110" s="2"/>
      <c r="HP110" s="2"/>
      <c r="HQ110" s="2"/>
      <c r="HR110" s="2"/>
      <c r="HS110" s="2"/>
      <c r="HT110" s="2"/>
      <c r="HU110" s="2"/>
      <c r="HV110" s="2"/>
      <c r="HW110" s="2"/>
      <c r="HX110" s="2"/>
      <c r="HY110" s="2"/>
      <c r="HZ110" s="2"/>
      <c r="IA110" s="2"/>
      <c r="IB110" s="2"/>
      <c r="IC110" s="2"/>
      <c r="ID110" s="2"/>
      <c r="IE110" s="2"/>
      <c r="IF110" s="2"/>
      <c r="IG110" s="2"/>
      <c r="IH110" s="2"/>
      <c r="II110" s="2"/>
      <c r="IJ110" s="2"/>
      <c r="IK110" s="2"/>
      <c r="IL110" s="2"/>
      <c r="IM110" s="2"/>
      <c r="IN110" s="2"/>
      <c r="IO110" s="2"/>
      <c r="IP110" s="2"/>
      <c r="IQ110" s="2"/>
      <c r="IR110" s="2"/>
      <c r="IS110" s="2"/>
    </row>
    <row r="111" spans="1:253" s="6" customFormat="1" ht="15.75" customHeight="1" x14ac:dyDescent="0.25">
      <c r="A111" s="1"/>
      <c r="B111" s="38"/>
      <c r="C111" s="47"/>
      <c r="D111" s="51"/>
      <c r="E111" s="5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  <c r="DP111" s="2"/>
      <c r="DQ111" s="2"/>
      <c r="DR111" s="2"/>
      <c r="DS111" s="2"/>
      <c r="DT111" s="2"/>
      <c r="DU111" s="2"/>
      <c r="DV111" s="2"/>
      <c r="DW111" s="2"/>
      <c r="DX111" s="2"/>
      <c r="DY111" s="2"/>
      <c r="DZ111" s="2"/>
      <c r="EA111" s="2"/>
      <c r="EB111" s="2"/>
      <c r="EC111" s="2"/>
      <c r="ED111" s="2"/>
      <c r="EE111" s="2"/>
      <c r="EF111" s="2"/>
      <c r="EG111" s="2"/>
      <c r="EH111" s="2"/>
      <c r="EI111" s="2"/>
      <c r="EJ111" s="2"/>
      <c r="EK111" s="2"/>
      <c r="EL111" s="2"/>
      <c r="EM111" s="2"/>
      <c r="EN111" s="2"/>
      <c r="EO111" s="2"/>
      <c r="EP111" s="2"/>
      <c r="EQ111" s="2"/>
      <c r="ER111" s="2"/>
      <c r="ES111" s="2"/>
      <c r="ET111" s="2"/>
      <c r="EU111" s="2"/>
      <c r="EV111" s="2"/>
      <c r="EW111" s="2"/>
      <c r="EX111" s="2"/>
      <c r="EY111" s="2"/>
      <c r="EZ111" s="2"/>
      <c r="FA111" s="2"/>
      <c r="FB111" s="2"/>
      <c r="FC111" s="2"/>
      <c r="FD111" s="2"/>
      <c r="FE111" s="2"/>
      <c r="FF111" s="2"/>
      <c r="FG111" s="2"/>
      <c r="FH111" s="2"/>
      <c r="FI111" s="2"/>
      <c r="FJ111" s="2"/>
      <c r="FK111" s="2"/>
      <c r="FL111" s="2"/>
      <c r="FM111" s="2"/>
      <c r="FN111" s="2"/>
      <c r="FO111" s="2"/>
      <c r="FP111" s="2"/>
      <c r="FQ111" s="2"/>
      <c r="FR111" s="2"/>
      <c r="FS111" s="2"/>
      <c r="FT111" s="2"/>
      <c r="FU111" s="2"/>
      <c r="FV111" s="2"/>
      <c r="FW111" s="2"/>
      <c r="FX111" s="2"/>
      <c r="FY111" s="2"/>
      <c r="FZ111" s="2"/>
      <c r="GA111" s="2"/>
      <c r="GB111" s="2"/>
      <c r="GC111" s="2"/>
      <c r="GD111" s="2"/>
      <c r="GE111" s="2"/>
      <c r="GF111" s="2"/>
      <c r="GG111" s="2"/>
      <c r="GH111" s="2"/>
      <c r="GI111" s="2"/>
      <c r="GJ111" s="2"/>
      <c r="GK111" s="2"/>
      <c r="GL111" s="2"/>
      <c r="GM111" s="2"/>
      <c r="GN111" s="2"/>
      <c r="GO111" s="2"/>
      <c r="GP111" s="2"/>
      <c r="GQ111" s="2"/>
      <c r="GR111" s="2"/>
      <c r="GS111" s="2"/>
      <c r="GT111" s="2"/>
      <c r="GU111" s="2"/>
      <c r="GV111" s="2"/>
      <c r="GW111" s="2"/>
      <c r="GX111" s="2"/>
      <c r="GY111" s="2"/>
      <c r="GZ111" s="2"/>
      <c r="HA111" s="2"/>
      <c r="HB111" s="2"/>
      <c r="HC111" s="2"/>
      <c r="HD111" s="2"/>
      <c r="HE111" s="2"/>
      <c r="HF111" s="2"/>
      <c r="HG111" s="2"/>
      <c r="HH111" s="2"/>
      <c r="HI111" s="2"/>
      <c r="HJ111" s="2"/>
      <c r="HK111" s="2"/>
      <c r="HL111" s="2"/>
      <c r="HM111" s="2"/>
      <c r="HN111" s="2"/>
      <c r="HO111" s="2"/>
      <c r="HP111" s="2"/>
      <c r="HQ111" s="2"/>
      <c r="HR111" s="2"/>
      <c r="HS111" s="2"/>
      <c r="HT111" s="2"/>
      <c r="HU111" s="2"/>
      <c r="HV111" s="2"/>
      <c r="HW111" s="2"/>
      <c r="HX111" s="2"/>
      <c r="HY111" s="2"/>
      <c r="HZ111" s="2"/>
      <c r="IA111" s="2"/>
      <c r="IB111" s="2"/>
      <c r="IC111" s="2"/>
      <c r="ID111" s="2"/>
      <c r="IE111" s="2"/>
      <c r="IF111" s="2"/>
      <c r="IG111" s="2"/>
      <c r="IH111" s="2"/>
      <c r="II111" s="2"/>
      <c r="IJ111" s="2"/>
      <c r="IK111" s="2"/>
      <c r="IL111" s="2"/>
      <c r="IM111" s="2"/>
      <c r="IN111" s="2"/>
      <c r="IO111" s="2"/>
      <c r="IP111" s="2"/>
      <c r="IQ111" s="2"/>
      <c r="IR111" s="2"/>
      <c r="IS111" s="2"/>
    </row>
    <row r="112" spans="1:253" s="6" customFormat="1" ht="15.75" customHeight="1" x14ac:dyDescent="0.25">
      <c r="A112" s="1"/>
      <c r="B112" s="38"/>
      <c r="C112" s="47"/>
      <c r="D112" s="51"/>
      <c r="E112" s="5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  <c r="DP112" s="2"/>
      <c r="DQ112" s="2"/>
      <c r="DR112" s="2"/>
      <c r="DS112" s="2"/>
      <c r="DT112" s="2"/>
      <c r="DU112" s="2"/>
      <c r="DV112" s="2"/>
      <c r="DW112" s="2"/>
      <c r="DX112" s="2"/>
      <c r="DY112" s="2"/>
      <c r="DZ112" s="2"/>
      <c r="EA112" s="2"/>
      <c r="EB112" s="2"/>
      <c r="EC112" s="2"/>
      <c r="ED112" s="2"/>
      <c r="EE112" s="2"/>
      <c r="EF112" s="2"/>
      <c r="EG112" s="2"/>
      <c r="EH112" s="2"/>
      <c r="EI112" s="2"/>
      <c r="EJ112" s="2"/>
      <c r="EK112" s="2"/>
      <c r="EL112" s="2"/>
      <c r="EM112" s="2"/>
      <c r="EN112" s="2"/>
      <c r="EO112" s="2"/>
      <c r="EP112" s="2"/>
      <c r="EQ112" s="2"/>
      <c r="ER112" s="2"/>
      <c r="ES112" s="2"/>
      <c r="ET112" s="2"/>
      <c r="EU112" s="2"/>
      <c r="EV112" s="2"/>
      <c r="EW112" s="2"/>
      <c r="EX112" s="2"/>
      <c r="EY112" s="2"/>
      <c r="EZ112" s="2"/>
      <c r="FA112" s="2"/>
      <c r="FB112" s="2"/>
      <c r="FC112" s="2"/>
      <c r="FD112" s="2"/>
      <c r="FE112" s="2"/>
      <c r="FF112" s="2"/>
      <c r="FG112" s="2"/>
      <c r="FH112" s="2"/>
      <c r="FI112" s="2"/>
      <c r="FJ112" s="2"/>
      <c r="FK112" s="2"/>
      <c r="FL112" s="2"/>
      <c r="FM112" s="2"/>
      <c r="FN112" s="2"/>
      <c r="FO112" s="2"/>
      <c r="FP112" s="2"/>
      <c r="FQ112" s="2"/>
      <c r="FR112" s="2"/>
      <c r="FS112" s="2"/>
      <c r="FT112" s="2"/>
      <c r="FU112" s="2"/>
      <c r="FV112" s="2"/>
      <c r="FW112" s="2"/>
      <c r="FX112" s="2"/>
      <c r="FY112" s="2"/>
      <c r="FZ112" s="2"/>
      <c r="GA112" s="2"/>
      <c r="GB112" s="2"/>
      <c r="GC112" s="2"/>
      <c r="GD112" s="2"/>
      <c r="GE112" s="2"/>
      <c r="GF112" s="2"/>
      <c r="GG112" s="2"/>
      <c r="GH112" s="2"/>
      <c r="GI112" s="2"/>
      <c r="GJ112" s="2"/>
      <c r="GK112" s="2"/>
      <c r="GL112" s="2"/>
      <c r="GM112" s="2"/>
      <c r="GN112" s="2"/>
      <c r="GO112" s="2"/>
      <c r="GP112" s="2"/>
      <c r="GQ112" s="2"/>
      <c r="GR112" s="2"/>
      <c r="GS112" s="2"/>
      <c r="GT112" s="2"/>
      <c r="GU112" s="2"/>
      <c r="GV112" s="2"/>
      <c r="GW112" s="2"/>
      <c r="GX112" s="2"/>
      <c r="GY112" s="2"/>
      <c r="GZ112" s="2"/>
      <c r="HA112" s="2"/>
      <c r="HB112" s="2"/>
      <c r="HC112" s="2"/>
      <c r="HD112" s="2"/>
      <c r="HE112" s="2"/>
      <c r="HF112" s="2"/>
      <c r="HG112" s="2"/>
      <c r="HH112" s="2"/>
      <c r="HI112" s="2"/>
      <c r="HJ112" s="2"/>
      <c r="HK112" s="2"/>
      <c r="HL112" s="2"/>
      <c r="HM112" s="2"/>
      <c r="HN112" s="2"/>
      <c r="HO112" s="2"/>
      <c r="HP112" s="2"/>
      <c r="HQ112" s="2"/>
      <c r="HR112" s="2"/>
      <c r="HS112" s="2"/>
      <c r="HT112" s="2"/>
      <c r="HU112" s="2"/>
      <c r="HV112" s="2"/>
      <c r="HW112" s="2"/>
      <c r="HX112" s="2"/>
      <c r="HY112" s="2"/>
      <c r="HZ112" s="2"/>
      <c r="IA112" s="2"/>
      <c r="IB112" s="2"/>
      <c r="IC112" s="2"/>
      <c r="ID112" s="2"/>
      <c r="IE112" s="2"/>
      <c r="IF112" s="2"/>
      <c r="IG112" s="2"/>
      <c r="IH112" s="2"/>
      <c r="II112" s="2"/>
      <c r="IJ112" s="2"/>
      <c r="IK112" s="2"/>
      <c r="IL112" s="2"/>
      <c r="IM112" s="2"/>
      <c r="IN112" s="2"/>
      <c r="IO112" s="2"/>
      <c r="IP112" s="2"/>
      <c r="IQ112" s="2"/>
      <c r="IR112" s="2"/>
      <c r="IS112" s="2"/>
    </row>
    <row r="113" spans="1:253" s="6" customFormat="1" ht="15.75" customHeight="1" x14ac:dyDescent="0.25">
      <c r="A113" s="1"/>
      <c r="B113" s="38"/>
      <c r="C113" s="47"/>
      <c r="D113" s="51"/>
      <c r="E113" s="5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  <c r="DP113" s="2"/>
      <c r="DQ113" s="2"/>
      <c r="DR113" s="2"/>
      <c r="DS113" s="2"/>
      <c r="DT113" s="2"/>
      <c r="DU113" s="2"/>
      <c r="DV113" s="2"/>
      <c r="DW113" s="2"/>
      <c r="DX113" s="2"/>
      <c r="DY113" s="2"/>
      <c r="DZ113" s="2"/>
      <c r="EA113" s="2"/>
      <c r="EB113" s="2"/>
      <c r="EC113" s="2"/>
      <c r="ED113" s="2"/>
      <c r="EE113" s="2"/>
      <c r="EF113" s="2"/>
      <c r="EG113" s="2"/>
      <c r="EH113" s="2"/>
      <c r="EI113" s="2"/>
      <c r="EJ113" s="2"/>
      <c r="EK113" s="2"/>
      <c r="EL113" s="2"/>
      <c r="EM113" s="2"/>
      <c r="EN113" s="2"/>
      <c r="EO113" s="2"/>
      <c r="EP113" s="2"/>
      <c r="EQ113" s="2"/>
      <c r="ER113" s="2"/>
      <c r="ES113" s="2"/>
      <c r="ET113" s="2"/>
      <c r="EU113" s="2"/>
      <c r="EV113" s="2"/>
      <c r="EW113" s="2"/>
      <c r="EX113" s="2"/>
      <c r="EY113" s="2"/>
      <c r="EZ113" s="2"/>
      <c r="FA113" s="2"/>
      <c r="FB113" s="2"/>
      <c r="FC113" s="2"/>
      <c r="FD113" s="2"/>
      <c r="FE113" s="2"/>
      <c r="FF113" s="2"/>
      <c r="FG113" s="2"/>
      <c r="FH113" s="2"/>
      <c r="FI113" s="2"/>
      <c r="FJ113" s="2"/>
      <c r="FK113" s="2"/>
      <c r="FL113" s="2"/>
      <c r="FM113" s="2"/>
      <c r="FN113" s="2"/>
      <c r="FO113" s="2"/>
      <c r="FP113" s="2"/>
      <c r="FQ113" s="2"/>
      <c r="FR113" s="2"/>
      <c r="FS113" s="2"/>
      <c r="FT113" s="2"/>
      <c r="FU113" s="2"/>
      <c r="FV113" s="2"/>
      <c r="FW113" s="2"/>
      <c r="FX113" s="2"/>
      <c r="FY113" s="2"/>
      <c r="FZ113" s="2"/>
      <c r="GA113" s="2"/>
      <c r="GB113" s="2"/>
      <c r="GC113" s="2"/>
      <c r="GD113" s="2"/>
      <c r="GE113" s="2"/>
      <c r="GF113" s="2"/>
      <c r="GG113" s="2"/>
      <c r="GH113" s="2"/>
      <c r="GI113" s="2"/>
      <c r="GJ113" s="2"/>
      <c r="GK113" s="2"/>
      <c r="GL113" s="2"/>
      <c r="GM113" s="2"/>
      <c r="GN113" s="2"/>
      <c r="GO113" s="2"/>
      <c r="GP113" s="2"/>
      <c r="GQ113" s="2"/>
      <c r="GR113" s="2"/>
      <c r="GS113" s="2"/>
      <c r="GT113" s="2"/>
      <c r="GU113" s="2"/>
      <c r="GV113" s="2"/>
      <c r="GW113" s="2"/>
      <c r="GX113" s="2"/>
      <c r="GY113" s="2"/>
      <c r="GZ113" s="2"/>
      <c r="HA113" s="2"/>
      <c r="HB113" s="2"/>
      <c r="HC113" s="2"/>
      <c r="HD113" s="2"/>
      <c r="HE113" s="2"/>
      <c r="HF113" s="2"/>
      <c r="HG113" s="2"/>
      <c r="HH113" s="2"/>
      <c r="HI113" s="2"/>
      <c r="HJ113" s="2"/>
      <c r="HK113" s="2"/>
      <c r="HL113" s="2"/>
      <c r="HM113" s="2"/>
      <c r="HN113" s="2"/>
      <c r="HO113" s="2"/>
      <c r="HP113" s="2"/>
      <c r="HQ113" s="2"/>
      <c r="HR113" s="2"/>
      <c r="HS113" s="2"/>
      <c r="HT113" s="2"/>
      <c r="HU113" s="2"/>
      <c r="HV113" s="2"/>
      <c r="HW113" s="2"/>
      <c r="HX113" s="2"/>
      <c r="HY113" s="2"/>
      <c r="HZ113" s="2"/>
      <c r="IA113" s="2"/>
      <c r="IB113" s="2"/>
      <c r="IC113" s="2"/>
      <c r="ID113" s="2"/>
      <c r="IE113" s="2"/>
      <c r="IF113" s="2"/>
      <c r="IG113" s="2"/>
      <c r="IH113" s="2"/>
      <c r="II113" s="2"/>
      <c r="IJ113" s="2"/>
      <c r="IK113" s="2"/>
      <c r="IL113" s="2"/>
      <c r="IM113" s="2"/>
      <c r="IN113" s="2"/>
      <c r="IO113" s="2"/>
      <c r="IP113" s="2"/>
      <c r="IQ113" s="2"/>
      <c r="IR113" s="2"/>
      <c r="IS113" s="2"/>
    </row>
    <row r="114" spans="1:253" s="6" customFormat="1" ht="15.75" customHeight="1" x14ac:dyDescent="0.25">
      <c r="A114" s="1"/>
      <c r="B114" s="38"/>
      <c r="C114" s="47"/>
      <c r="D114" s="51"/>
      <c r="E114" s="5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  <c r="DP114" s="2"/>
      <c r="DQ114" s="2"/>
      <c r="DR114" s="2"/>
      <c r="DS114" s="2"/>
      <c r="DT114" s="2"/>
      <c r="DU114" s="2"/>
      <c r="DV114" s="2"/>
      <c r="DW114" s="2"/>
      <c r="DX114" s="2"/>
      <c r="DY114" s="2"/>
      <c r="DZ114" s="2"/>
      <c r="EA114" s="2"/>
      <c r="EB114" s="2"/>
      <c r="EC114" s="2"/>
      <c r="ED114" s="2"/>
      <c r="EE114" s="2"/>
      <c r="EF114" s="2"/>
      <c r="EG114" s="2"/>
      <c r="EH114" s="2"/>
      <c r="EI114" s="2"/>
      <c r="EJ114" s="2"/>
      <c r="EK114" s="2"/>
      <c r="EL114" s="2"/>
      <c r="EM114" s="2"/>
      <c r="EN114" s="2"/>
      <c r="EO114" s="2"/>
      <c r="EP114" s="2"/>
      <c r="EQ114" s="2"/>
      <c r="ER114" s="2"/>
      <c r="ES114" s="2"/>
      <c r="ET114" s="2"/>
      <c r="EU114" s="2"/>
      <c r="EV114" s="2"/>
      <c r="EW114" s="2"/>
      <c r="EX114" s="2"/>
      <c r="EY114" s="2"/>
      <c r="EZ114" s="2"/>
      <c r="FA114" s="2"/>
      <c r="FB114" s="2"/>
      <c r="FC114" s="2"/>
      <c r="FD114" s="2"/>
      <c r="FE114" s="2"/>
      <c r="FF114" s="2"/>
      <c r="FG114" s="2"/>
      <c r="FH114" s="2"/>
      <c r="FI114" s="2"/>
      <c r="FJ114" s="2"/>
      <c r="FK114" s="2"/>
      <c r="FL114" s="2"/>
      <c r="FM114" s="2"/>
      <c r="FN114" s="2"/>
      <c r="FO114" s="2"/>
      <c r="FP114" s="2"/>
      <c r="FQ114" s="2"/>
      <c r="FR114" s="2"/>
      <c r="FS114" s="2"/>
      <c r="FT114" s="2"/>
      <c r="FU114" s="2"/>
      <c r="FV114" s="2"/>
      <c r="FW114" s="2"/>
      <c r="FX114" s="2"/>
      <c r="FY114" s="2"/>
      <c r="FZ114" s="2"/>
      <c r="GA114" s="2"/>
      <c r="GB114" s="2"/>
      <c r="GC114" s="2"/>
      <c r="GD114" s="2"/>
      <c r="GE114" s="2"/>
      <c r="GF114" s="2"/>
      <c r="GG114" s="2"/>
      <c r="GH114" s="2"/>
      <c r="GI114" s="2"/>
      <c r="GJ114" s="2"/>
      <c r="GK114" s="2"/>
      <c r="GL114" s="2"/>
      <c r="GM114" s="2"/>
      <c r="GN114" s="2"/>
      <c r="GO114" s="2"/>
      <c r="GP114" s="2"/>
      <c r="GQ114" s="2"/>
      <c r="GR114" s="2"/>
      <c r="GS114" s="2"/>
      <c r="GT114" s="2"/>
      <c r="GU114" s="2"/>
      <c r="GV114" s="2"/>
      <c r="GW114" s="2"/>
      <c r="GX114" s="2"/>
      <c r="GY114" s="2"/>
      <c r="GZ114" s="2"/>
      <c r="HA114" s="2"/>
      <c r="HB114" s="2"/>
      <c r="HC114" s="2"/>
      <c r="HD114" s="2"/>
      <c r="HE114" s="2"/>
      <c r="HF114" s="2"/>
      <c r="HG114" s="2"/>
      <c r="HH114" s="2"/>
      <c r="HI114" s="2"/>
      <c r="HJ114" s="2"/>
      <c r="HK114" s="2"/>
      <c r="HL114" s="2"/>
      <c r="HM114" s="2"/>
      <c r="HN114" s="2"/>
      <c r="HO114" s="2"/>
      <c r="HP114" s="2"/>
      <c r="HQ114" s="2"/>
      <c r="HR114" s="2"/>
      <c r="HS114" s="2"/>
      <c r="HT114" s="2"/>
      <c r="HU114" s="2"/>
      <c r="HV114" s="2"/>
      <c r="HW114" s="2"/>
      <c r="HX114" s="2"/>
      <c r="HY114" s="2"/>
      <c r="HZ114" s="2"/>
      <c r="IA114" s="2"/>
      <c r="IB114" s="2"/>
      <c r="IC114" s="2"/>
      <c r="ID114" s="2"/>
      <c r="IE114" s="2"/>
      <c r="IF114" s="2"/>
      <c r="IG114" s="2"/>
      <c r="IH114" s="2"/>
      <c r="II114" s="2"/>
      <c r="IJ114" s="2"/>
      <c r="IK114" s="2"/>
      <c r="IL114" s="2"/>
      <c r="IM114" s="2"/>
      <c r="IN114" s="2"/>
      <c r="IO114" s="2"/>
      <c r="IP114" s="2"/>
      <c r="IQ114" s="2"/>
      <c r="IR114" s="2"/>
      <c r="IS114" s="2"/>
    </row>
    <row r="115" spans="1:253" s="6" customFormat="1" ht="15.75" customHeight="1" x14ac:dyDescent="0.25">
      <c r="A115" s="1"/>
      <c r="B115" s="41" t="s">
        <v>2409</v>
      </c>
      <c r="C115" s="44">
        <f>'city of cebu'!D7</f>
        <v>964169</v>
      </c>
      <c r="D115" s="51"/>
      <c r="E115" s="52"/>
      <c r="F115" s="2"/>
      <c r="H115" s="2"/>
      <c r="I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  <c r="DP115" s="2"/>
      <c r="DQ115" s="2"/>
      <c r="DR115" s="2"/>
      <c r="DS115" s="2"/>
      <c r="DT115" s="2"/>
      <c r="DU115" s="2"/>
      <c r="DV115" s="2"/>
      <c r="DW115" s="2"/>
      <c r="DX115" s="2"/>
      <c r="DY115" s="2"/>
      <c r="DZ115" s="2"/>
      <c r="EA115" s="2"/>
      <c r="EB115" s="2"/>
      <c r="EC115" s="2"/>
      <c r="ED115" s="2"/>
      <c r="EE115" s="2"/>
      <c r="EF115" s="2"/>
      <c r="EG115" s="2"/>
      <c r="EH115" s="2"/>
      <c r="EI115" s="2"/>
      <c r="EJ115" s="2"/>
      <c r="EK115" s="2"/>
      <c r="EL115" s="2"/>
      <c r="EM115" s="2"/>
      <c r="EN115" s="2"/>
      <c r="EO115" s="2"/>
      <c r="EP115" s="2"/>
      <c r="EQ115" s="2"/>
      <c r="ER115" s="2"/>
      <c r="ES115" s="2"/>
      <c r="ET115" s="2"/>
      <c r="EU115" s="2"/>
      <c r="EV115" s="2"/>
      <c r="EW115" s="2"/>
      <c r="EX115" s="2"/>
      <c r="EY115" s="2"/>
      <c r="EZ115" s="2"/>
      <c r="FA115" s="2"/>
      <c r="FB115" s="2"/>
      <c r="FC115" s="2"/>
      <c r="FD115" s="2"/>
      <c r="FE115" s="2"/>
      <c r="FF115" s="2"/>
      <c r="FG115" s="2"/>
      <c r="FH115" s="2"/>
      <c r="FI115" s="2"/>
      <c r="FJ115" s="2"/>
      <c r="FK115" s="2"/>
      <c r="FL115" s="2"/>
      <c r="FM115" s="2"/>
      <c r="FN115" s="2"/>
      <c r="FO115" s="2"/>
      <c r="FP115" s="2"/>
      <c r="FQ115" s="2"/>
      <c r="FR115" s="2"/>
      <c r="FS115" s="2"/>
      <c r="FT115" s="2"/>
      <c r="FU115" s="2"/>
      <c r="FV115" s="2"/>
      <c r="FW115" s="2"/>
      <c r="FX115" s="2"/>
      <c r="FY115" s="2"/>
      <c r="FZ115" s="2"/>
      <c r="GA115" s="2"/>
      <c r="GB115" s="2"/>
      <c r="GC115" s="2"/>
      <c r="GD115" s="2"/>
      <c r="GE115" s="2"/>
      <c r="GF115" s="2"/>
      <c r="GG115" s="2"/>
      <c r="GH115" s="2"/>
      <c r="GI115" s="2"/>
      <c r="GJ115" s="2"/>
      <c r="GK115" s="2"/>
      <c r="GL115" s="2"/>
      <c r="GM115" s="2"/>
      <c r="GN115" s="2"/>
      <c r="GO115" s="2"/>
      <c r="GP115" s="2"/>
      <c r="GQ115" s="2"/>
      <c r="GR115" s="2"/>
      <c r="GS115" s="2"/>
      <c r="GT115" s="2"/>
      <c r="GU115" s="2"/>
      <c r="GV115" s="2"/>
      <c r="GW115" s="2"/>
      <c r="GX115" s="2"/>
      <c r="GY115" s="2"/>
      <c r="GZ115" s="2"/>
      <c r="HA115" s="2"/>
      <c r="HB115" s="2"/>
      <c r="HC115" s="2"/>
      <c r="HD115" s="2"/>
      <c r="HE115" s="2"/>
      <c r="HF115" s="2"/>
      <c r="HG115" s="2"/>
      <c r="HH115" s="2"/>
      <c r="HI115" s="2"/>
      <c r="HJ115" s="2"/>
      <c r="HK115" s="2"/>
      <c r="HL115" s="2"/>
      <c r="HM115" s="2"/>
      <c r="HN115" s="2"/>
      <c r="HO115" s="2"/>
      <c r="HP115" s="2"/>
      <c r="HQ115" s="2"/>
      <c r="HR115" s="2"/>
      <c r="HS115" s="2"/>
      <c r="HT115" s="2"/>
      <c r="HU115" s="2"/>
      <c r="HV115" s="2"/>
      <c r="HW115" s="2"/>
      <c r="HX115" s="2"/>
      <c r="HY115" s="2"/>
      <c r="HZ115" s="2"/>
      <c r="IA115" s="2"/>
      <c r="IB115" s="2"/>
      <c r="IC115" s="2"/>
      <c r="ID115" s="2"/>
      <c r="IE115" s="2"/>
      <c r="IF115" s="2"/>
      <c r="IG115" s="2"/>
      <c r="IH115" s="2"/>
      <c r="II115" s="2"/>
      <c r="IJ115" s="2"/>
      <c r="IK115" s="2"/>
      <c r="IL115" s="2"/>
      <c r="IM115" s="2"/>
      <c r="IN115" s="2"/>
      <c r="IO115" s="2"/>
      <c r="IP115" s="2"/>
      <c r="IQ115" s="2"/>
      <c r="IR115" s="2"/>
      <c r="IS115" s="2"/>
    </row>
    <row r="116" spans="1:253" s="7" customFormat="1" ht="15.75" customHeight="1" x14ac:dyDescent="0.25">
      <c r="A116" s="1"/>
      <c r="B116" s="38"/>
      <c r="C116" s="45"/>
      <c r="D116" s="51"/>
      <c r="E116" s="5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  <c r="DP116" s="2"/>
      <c r="DQ116" s="2"/>
      <c r="DR116" s="2"/>
      <c r="DS116" s="2"/>
      <c r="DT116" s="2"/>
      <c r="DU116" s="2"/>
      <c r="DV116" s="2"/>
      <c r="DW116" s="2"/>
      <c r="DX116" s="2"/>
      <c r="DY116" s="2"/>
      <c r="DZ116" s="2"/>
      <c r="EA116" s="2"/>
      <c r="EB116" s="2"/>
      <c r="EC116" s="2"/>
      <c r="ED116" s="2"/>
      <c r="EE116" s="2"/>
      <c r="EF116" s="2"/>
      <c r="EG116" s="2"/>
      <c r="EH116" s="2"/>
      <c r="EI116" s="2"/>
      <c r="EJ116" s="2"/>
      <c r="EK116" s="2"/>
      <c r="EL116" s="2"/>
      <c r="EM116" s="2"/>
      <c r="EN116" s="2"/>
      <c r="EO116" s="2"/>
      <c r="EP116" s="2"/>
      <c r="EQ116" s="2"/>
      <c r="ER116" s="2"/>
      <c r="ES116" s="2"/>
      <c r="ET116" s="2"/>
      <c r="EU116" s="2"/>
      <c r="EV116" s="2"/>
      <c r="EW116" s="2"/>
      <c r="EX116" s="2"/>
      <c r="EY116" s="2"/>
      <c r="EZ116" s="2"/>
      <c r="FA116" s="2"/>
      <c r="FB116" s="2"/>
      <c r="FC116" s="2"/>
      <c r="FD116" s="2"/>
      <c r="FE116" s="2"/>
      <c r="FF116" s="2"/>
      <c r="FG116" s="2"/>
      <c r="FH116" s="2"/>
      <c r="FI116" s="2"/>
      <c r="FJ116" s="2"/>
      <c r="FK116" s="2"/>
      <c r="FL116" s="2"/>
      <c r="FM116" s="2"/>
      <c r="FN116" s="2"/>
      <c r="FO116" s="2"/>
      <c r="FP116" s="2"/>
      <c r="FQ116" s="2"/>
      <c r="FR116" s="2"/>
      <c r="FS116" s="2"/>
      <c r="FT116" s="2"/>
      <c r="FU116" s="2"/>
      <c r="FV116" s="2"/>
      <c r="FW116" s="2"/>
      <c r="FX116" s="2"/>
      <c r="FY116" s="2"/>
      <c r="FZ116" s="2"/>
      <c r="GA116" s="2"/>
      <c r="GB116" s="2"/>
      <c r="GC116" s="2"/>
      <c r="GD116" s="2"/>
      <c r="GE116" s="2"/>
      <c r="GF116" s="2"/>
      <c r="GG116" s="2"/>
      <c r="GH116" s="2"/>
      <c r="GI116" s="2"/>
      <c r="GJ116" s="2"/>
      <c r="GK116" s="2"/>
      <c r="GL116" s="2"/>
      <c r="GM116" s="2"/>
      <c r="GN116" s="2"/>
      <c r="GO116" s="2"/>
      <c r="GP116" s="2"/>
      <c r="GQ116" s="2"/>
      <c r="GR116" s="2"/>
      <c r="GS116" s="2"/>
      <c r="GT116" s="2"/>
      <c r="GU116" s="2"/>
      <c r="GV116" s="2"/>
      <c r="GW116" s="2"/>
      <c r="GX116" s="2"/>
      <c r="GY116" s="2"/>
      <c r="GZ116" s="2"/>
      <c r="HA116" s="2"/>
      <c r="HB116" s="2"/>
      <c r="HC116" s="2"/>
      <c r="HD116" s="2"/>
      <c r="HE116" s="2"/>
      <c r="HF116" s="2"/>
      <c r="HG116" s="2"/>
      <c r="HH116" s="2"/>
      <c r="HI116" s="2"/>
      <c r="HJ116" s="2"/>
      <c r="HK116" s="2"/>
      <c r="HL116" s="2"/>
      <c r="HM116" s="2"/>
      <c r="HN116" s="2"/>
      <c r="HO116" s="2"/>
      <c r="HP116" s="2"/>
      <c r="HQ116" s="2"/>
      <c r="HR116" s="2"/>
      <c r="HS116" s="2"/>
      <c r="HT116" s="2"/>
      <c r="HU116" s="2"/>
      <c r="HV116" s="2"/>
      <c r="HW116" s="2"/>
      <c r="HX116" s="2"/>
      <c r="HY116" s="2"/>
      <c r="HZ116" s="2"/>
      <c r="IA116" s="2"/>
      <c r="IB116" s="2"/>
      <c r="IC116" s="2"/>
      <c r="ID116" s="2"/>
      <c r="IE116" s="2"/>
      <c r="IF116" s="2"/>
      <c r="IG116" s="2"/>
      <c r="IH116" s="2"/>
      <c r="II116" s="2"/>
      <c r="IJ116" s="2"/>
      <c r="IK116" s="2"/>
      <c r="IL116" s="2"/>
      <c r="IM116" s="2"/>
      <c r="IN116" s="2"/>
      <c r="IO116" s="2"/>
      <c r="IP116" s="2"/>
      <c r="IQ116" s="2"/>
      <c r="IR116" s="2"/>
      <c r="IS116" s="2"/>
    </row>
    <row r="117" spans="1:253" s="3" customFormat="1" ht="15.75" customHeight="1" x14ac:dyDescent="0.25">
      <c r="A117" s="1"/>
      <c r="B117" s="41" t="s">
        <v>2402</v>
      </c>
      <c r="C117" s="44">
        <f>'city of lapu lapu'!D7</f>
        <v>497604</v>
      </c>
      <c r="D117" s="51"/>
      <c r="E117" s="52"/>
      <c r="F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  <c r="DP117" s="2"/>
      <c r="DQ117" s="2"/>
      <c r="DR117" s="2"/>
      <c r="DS117" s="2"/>
      <c r="DT117" s="2"/>
      <c r="DU117" s="2"/>
      <c r="DV117" s="2"/>
      <c r="DW117" s="2"/>
      <c r="DX117" s="2"/>
      <c r="DY117" s="2"/>
      <c r="DZ117" s="2"/>
      <c r="EA117" s="2"/>
      <c r="EB117" s="2"/>
      <c r="EC117" s="2"/>
      <c r="ED117" s="2"/>
      <c r="EE117" s="2"/>
      <c r="EF117" s="2"/>
      <c r="EG117" s="2"/>
      <c r="EH117" s="2"/>
      <c r="EI117" s="2"/>
      <c r="EJ117" s="2"/>
      <c r="EK117" s="2"/>
      <c r="EL117" s="2"/>
      <c r="EM117" s="2"/>
      <c r="EN117" s="2"/>
      <c r="EO117" s="2"/>
      <c r="EP117" s="2"/>
      <c r="EQ117" s="2"/>
      <c r="ER117" s="2"/>
      <c r="ES117" s="2"/>
      <c r="ET117" s="2"/>
      <c r="EU117" s="2"/>
      <c r="EV117" s="2"/>
      <c r="EW117" s="2"/>
      <c r="EX117" s="2"/>
      <c r="EY117" s="2"/>
      <c r="EZ117" s="2"/>
      <c r="FA117" s="2"/>
      <c r="FB117" s="2"/>
      <c r="FC117" s="2"/>
      <c r="FD117" s="2"/>
      <c r="FE117" s="2"/>
      <c r="FF117" s="2"/>
      <c r="FG117" s="2"/>
      <c r="FH117" s="2"/>
      <c r="FI117" s="2"/>
      <c r="FJ117" s="2"/>
      <c r="FK117" s="2"/>
      <c r="FL117" s="2"/>
      <c r="FM117" s="2"/>
      <c r="FN117" s="2"/>
      <c r="FO117" s="2"/>
      <c r="FP117" s="2"/>
      <c r="FQ117" s="2"/>
      <c r="FR117" s="2"/>
      <c r="FS117" s="2"/>
      <c r="FT117" s="2"/>
      <c r="FU117" s="2"/>
      <c r="FV117" s="2"/>
      <c r="FW117" s="2"/>
      <c r="FX117" s="2"/>
      <c r="FY117" s="2"/>
      <c r="FZ117" s="2"/>
      <c r="GA117" s="2"/>
      <c r="GB117" s="2"/>
      <c r="GC117" s="2"/>
      <c r="GD117" s="2"/>
      <c r="GE117" s="2"/>
      <c r="GF117" s="2"/>
      <c r="GG117" s="2"/>
      <c r="GH117" s="2"/>
      <c r="GI117" s="2"/>
      <c r="GJ117" s="2"/>
      <c r="GK117" s="2"/>
      <c r="GL117" s="2"/>
      <c r="GM117" s="2"/>
      <c r="GN117" s="2"/>
      <c r="GO117" s="2"/>
      <c r="GP117" s="2"/>
      <c r="GQ117" s="2"/>
      <c r="GR117" s="2"/>
      <c r="GS117" s="2"/>
      <c r="GT117" s="2"/>
      <c r="GU117" s="2"/>
      <c r="GV117" s="2"/>
      <c r="GW117" s="2"/>
      <c r="GX117" s="2"/>
      <c r="GY117" s="2"/>
      <c r="GZ117" s="2"/>
      <c r="HA117" s="2"/>
      <c r="HB117" s="2"/>
      <c r="HC117" s="2"/>
      <c r="HD117" s="2"/>
      <c r="HE117" s="2"/>
      <c r="HF117" s="2"/>
      <c r="HG117" s="2"/>
      <c r="HH117" s="2"/>
      <c r="HI117" s="2"/>
      <c r="HJ117" s="2"/>
      <c r="HK117" s="2"/>
      <c r="HL117" s="2"/>
      <c r="HM117" s="2"/>
      <c r="HN117" s="2"/>
      <c r="HO117" s="2"/>
      <c r="HP117" s="2"/>
      <c r="HQ117" s="2"/>
      <c r="HR117" s="2"/>
      <c r="HS117" s="2"/>
      <c r="HT117" s="2"/>
      <c r="HU117" s="2"/>
      <c r="HV117" s="2"/>
      <c r="HW117" s="2"/>
      <c r="HX117" s="2"/>
      <c r="HY117" s="2"/>
      <c r="HZ117" s="2"/>
      <c r="IA117" s="2"/>
      <c r="IB117" s="2"/>
      <c r="IC117" s="2"/>
      <c r="ID117" s="2"/>
      <c r="IE117" s="2"/>
      <c r="IF117" s="2"/>
      <c r="IG117" s="2"/>
      <c r="IH117" s="2"/>
      <c r="II117" s="2"/>
      <c r="IJ117" s="2"/>
      <c r="IK117" s="2"/>
      <c r="IL117" s="2"/>
      <c r="IM117" s="2"/>
      <c r="IN117" s="2"/>
      <c r="IO117" s="2"/>
      <c r="IP117" s="2"/>
      <c r="IQ117" s="2"/>
      <c r="IR117" s="2"/>
      <c r="IS117" s="2"/>
    </row>
    <row r="118" spans="1:253" s="6" customFormat="1" ht="15.75" customHeight="1" x14ac:dyDescent="0.25">
      <c r="A118" s="1"/>
      <c r="B118" s="38"/>
      <c r="C118" s="45"/>
      <c r="D118" s="51"/>
      <c r="E118" s="5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  <c r="DP118" s="2"/>
      <c r="DQ118" s="2"/>
      <c r="DR118" s="2"/>
      <c r="DS118" s="2"/>
      <c r="DT118" s="2"/>
      <c r="DU118" s="2"/>
      <c r="DV118" s="2"/>
      <c r="DW118" s="2"/>
      <c r="DX118" s="2"/>
      <c r="DY118" s="2"/>
      <c r="DZ118" s="2"/>
      <c r="EA118" s="2"/>
      <c r="EB118" s="2"/>
      <c r="EC118" s="2"/>
      <c r="ED118" s="2"/>
      <c r="EE118" s="2"/>
      <c r="EF118" s="2"/>
      <c r="EG118" s="2"/>
      <c r="EH118" s="2"/>
      <c r="EI118" s="2"/>
      <c r="EJ118" s="2"/>
      <c r="EK118" s="2"/>
      <c r="EL118" s="2"/>
      <c r="EM118" s="2"/>
      <c r="EN118" s="2"/>
      <c r="EO118" s="2"/>
      <c r="EP118" s="2"/>
      <c r="EQ118" s="2"/>
      <c r="ER118" s="2"/>
      <c r="ES118" s="2"/>
      <c r="ET118" s="2"/>
      <c r="EU118" s="2"/>
      <c r="EV118" s="2"/>
      <c r="EW118" s="2"/>
      <c r="EX118" s="2"/>
      <c r="EY118" s="2"/>
      <c r="EZ118" s="2"/>
      <c r="FA118" s="2"/>
      <c r="FB118" s="2"/>
      <c r="FC118" s="2"/>
      <c r="FD118" s="2"/>
      <c r="FE118" s="2"/>
      <c r="FF118" s="2"/>
      <c r="FG118" s="2"/>
      <c r="FH118" s="2"/>
      <c r="FI118" s="2"/>
      <c r="FJ118" s="2"/>
      <c r="FK118" s="2"/>
      <c r="FL118" s="2"/>
      <c r="FM118" s="2"/>
      <c r="FN118" s="2"/>
      <c r="FO118" s="2"/>
      <c r="FP118" s="2"/>
      <c r="FQ118" s="2"/>
      <c r="FR118" s="2"/>
      <c r="FS118" s="2"/>
      <c r="FT118" s="2"/>
      <c r="FU118" s="2"/>
      <c r="FV118" s="2"/>
      <c r="FW118" s="2"/>
      <c r="FX118" s="2"/>
      <c r="FY118" s="2"/>
      <c r="FZ118" s="2"/>
      <c r="GA118" s="2"/>
      <c r="GB118" s="2"/>
      <c r="GC118" s="2"/>
      <c r="GD118" s="2"/>
      <c r="GE118" s="2"/>
      <c r="GF118" s="2"/>
      <c r="GG118" s="2"/>
      <c r="GH118" s="2"/>
      <c r="GI118" s="2"/>
      <c r="GJ118" s="2"/>
      <c r="GK118" s="2"/>
      <c r="GL118" s="2"/>
      <c r="GM118" s="2"/>
      <c r="GN118" s="2"/>
      <c r="GO118" s="2"/>
      <c r="GP118" s="2"/>
      <c r="GQ118" s="2"/>
      <c r="GR118" s="2"/>
      <c r="GS118" s="2"/>
      <c r="GT118" s="2"/>
      <c r="GU118" s="2"/>
      <c r="GV118" s="2"/>
      <c r="GW118" s="2"/>
      <c r="GX118" s="2"/>
      <c r="GY118" s="2"/>
      <c r="GZ118" s="2"/>
      <c r="HA118" s="2"/>
      <c r="HB118" s="2"/>
      <c r="HC118" s="2"/>
      <c r="HD118" s="2"/>
      <c r="HE118" s="2"/>
      <c r="HF118" s="2"/>
      <c r="HG118" s="2"/>
      <c r="HH118" s="2"/>
      <c r="HI118" s="2"/>
      <c r="HJ118" s="2"/>
      <c r="HK118" s="2"/>
      <c r="HL118" s="2"/>
      <c r="HM118" s="2"/>
      <c r="HN118" s="2"/>
      <c r="HO118" s="2"/>
      <c r="HP118" s="2"/>
      <c r="HQ118" s="2"/>
      <c r="HR118" s="2"/>
      <c r="HS118" s="2"/>
      <c r="HT118" s="2"/>
      <c r="HU118" s="2"/>
      <c r="HV118" s="2"/>
      <c r="HW118" s="2"/>
      <c r="HX118" s="2"/>
      <c r="HY118" s="2"/>
      <c r="HZ118" s="2"/>
      <c r="IA118" s="2"/>
      <c r="IB118" s="2"/>
      <c r="IC118" s="2"/>
      <c r="ID118" s="2"/>
      <c r="IE118" s="2"/>
      <c r="IF118" s="2"/>
      <c r="IG118" s="2"/>
      <c r="IH118" s="2"/>
      <c r="II118" s="2"/>
      <c r="IJ118" s="2"/>
      <c r="IK118" s="2"/>
      <c r="IL118" s="2"/>
      <c r="IM118" s="2"/>
      <c r="IN118" s="2"/>
      <c r="IO118" s="2"/>
      <c r="IP118" s="2"/>
      <c r="IQ118" s="2"/>
      <c r="IR118" s="2"/>
      <c r="IS118" s="2"/>
    </row>
    <row r="119" spans="1:253" s="8" customFormat="1" ht="15.75" customHeight="1" x14ac:dyDescent="0.25">
      <c r="A119" s="1"/>
      <c r="B119" s="41" t="s">
        <v>2403</v>
      </c>
      <c r="C119" s="44">
        <f>'city of mandaue'!D7</f>
        <v>364116</v>
      </c>
      <c r="D119" s="51"/>
      <c r="E119" s="5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  <c r="DP119" s="2"/>
      <c r="DQ119" s="2"/>
      <c r="DR119" s="2"/>
      <c r="DS119" s="2"/>
      <c r="DT119" s="2"/>
      <c r="DU119" s="2"/>
      <c r="DV119" s="2"/>
      <c r="DW119" s="2"/>
      <c r="DX119" s="2"/>
      <c r="DY119" s="2"/>
      <c r="DZ119" s="2"/>
      <c r="EA119" s="2"/>
      <c r="EB119" s="2"/>
      <c r="EC119" s="2"/>
      <c r="ED119" s="2"/>
      <c r="EE119" s="2"/>
      <c r="EF119" s="2"/>
      <c r="EG119" s="2"/>
      <c r="EH119" s="2"/>
      <c r="EI119" s="2"/>
      <c r="EJ119" s="2"/>
      <c r="EK119" s="2"/>
      <c r="EL119" s="2"/>
      <c r="EM119" s="2"/>
      <c r="EN119" s="2"/>
      <c r="EO119" s="2"/>
      <c r="EP119" s="2"/>
      <c r="EQ119" s="2"/>
      <c r="ER119" s="2"/>
      <c r="ES119" s="2"/>
      <c r="ET119" s="2"/>
      <c r="EU119" s="2"/>
      <c r="EV119" s="2"/>
      <c r="EW119" s="2"/>
      <c r="EX119" s="2"/>
      <c r="EY119" s="2"/>
      <c r="EZ119" s="2"/>
      <c r="FA119" s="2"/>
      <c r="FB119" s="2"/>
      <c r="FC119" s="2"/>
      <c r="FD119" s="2"/>
      <c r="FE119" s="2"/>
      <c r="FF119" s="2"/>
      <c r="FG119" s="2"/>
      <c r="FH119" s="2"/>
      <c r="FI119" s="2"/>
      <c r="FJ119" s="2"/>
      <c r="FK119" s="2"/>
      <c r="FL119" s="2"/>
      <c r="FM119" s="2"/>
      <c r="FN119" s="2"/>
      <c r="FO119" s="2"/>
      <c r="FP119" s="2"/>
      <c r="FQ119" s="2"/>
      <c r="FR119" s="2"/>
      <c r="FS119" s="2"/>
      <c r="FT119" s="2"/>
      <c r="FU119" s="2"/>
      <c r="FV119" s="2"/>
      <c r="FW119" s="2"/>
      <c r="FX119" s="2"/>
      <c r="FY119" s="2"/>
      <c r="FZ119" s="2"/>
      <c r="GA119" s="2"/>
      <c r="GB119" s="2"/>
      <c r="GC119" s="2"/>
      <c r="GD119" s="2"/>
      <c r="GE119" s="2"/>
      <c r="GF119" s="2"/>
      <c r="GG119" s="2"/>
      <c r="GH119" s="2"/>
      <c r="GI119" s="2"/>
      <c r="GJ119" s="2"/>
      <c r="GK119" s="2"/>
      <c r="GL119" s="2"/>
      <c r="GM119" s="2"/>
      <c r="GN119" s="2"/>
      <c r="GO119" s="2"/>
      <c r="GP119" s="2"/>
      <c r="GQ119" s="2"/>
      <c r="GR119" s="2"/>
      <c r="GS119" s="2"/>
      <c r="GT119" s="2"/>
      <c r="GU119" s="2"/>
      <c r="GV119" s="2"/>
      <c r="GW119" s="2"/>
      <c r="GX119" s="2"/>
      <c r="GY119" s="2"/>
      <c r="GZ119" s="2"/>
      <c r="HA119" s="2"/>
      <c r="HB119" s="2"/>
      <c r="HC119" s="2"/>
      <c r="HD119" s="2"/>
      <c r="HE119" s="2"/>
      <c r="HF119" s="2"/>
      <c r="HG119" s="2"/>
      <c r="HH119" s="2"/>
      <c r="HI119" s="2"/>
      <c r="HJ119" s="2"/>
      <c r="HK119" s="2"/>
      <c r="HL119" s="2"/>
      <c r="HM119" s="2"/>
      <c r="HN119" s="2"/>
      <c r="HO119" s="2"/>
      <c r="HP119" s="2"/>
      <c r="HQ119" s="2"/>
      <c r="HR119" s="2"/>
      <c r="HS119" s="2"/>
      <c r="HT119" s="2"/>
      <c r="HU119" s="2"/>
      <c r="HV119" s="2"/>
      <c r="HW119" s="2"/>
      <c r="HX119" s="2"/>
      <c r="HY119" s="2"/>
      <c r="HZ119" s="2"/>
      <c r="IA119" s="2"/>
      <c r="IB119" s="2"/>
      <c r="IC119" s="2"/>
      <c r="ID119" s="2"/>
      <c r="IE119" s="2"/>
      <c r="IF119" s="2"/>
      <c r="IG119" s="2"/>
      <c r="IH119" s="2"/>
      <c r="II119" s="2"/>
      <c r="IJ119" s="2"/>
      <c r="IK119" s="2"/>
      <c r="IL119" s="2"/>
      <c r="IM119" s="2"/>
      <c r="IN119" s="2"/>
      <c r="IO119" s="2"/>
      <c r="IP119" s="2"/>
      <c r="IQ119" s="2"/>
      <c r="IR119" s="2"/>
      <c r="IS119" s="2"/>
    </row>
    <row r="120" spans="1:253" s="6" customFormat="1" ht="15.75" customHeight="1" x14ac:dyDescent="0.25">
      <c r="A120" s="1"/>
      <c r="B120" s="38"/>
      <c r="C120" s="47"/>
      <c r="D120" s="51"/>
      <c r="E120" s="5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  <c r="DP120" s="2"/>
      <c r="DQ120" s="2"/>
      <c r="DR120" s="2"/>
      <c r="DS120" s="2"/>
      <c r="DT120" s="2"/>
      <c r="DU120" s="2"/>
      <c r="DV120" s="2"/>
      <c r="DW120" s="2"/>
      <c r="DX120" s="2"/>
      <c r="DY120" s="2"/>
      <c r="DZ120" s="2"/>
      <c r="EA120" s="2"/>
      <c r="EB120" s="2"/>
      <c r="EC120" s="2"/>
      <c r="ED120" s="2"/>
      <c r="EE120" s="2"/>
      <c r="EF120" s="2"/>
      <c r="EG120" s="2"/>
      <c r="EH120" s="2"/>
      <c r="EI120" s="2"/>
      <c r="EJ120" s="2"/>
      <c r="EK120" s="2"/>
      <c r="EL120" s="2"/>
      <c r="EM120" s="2"/>
      <c r="EN120" s="2"/>
      <c r="EO120" s="2"/>
      <c r="EP120" s="2"/>
      <c r="EQ120" s="2"/>
      <c r="ER120" s="2"/>
      <c r="ES120" s="2"/>
      <c r="ET120" s="2"/>
      <c r="EU120" s="2"/>
      <c r="EV120" s="2"/>
      <c r="EW120" s="2"/>
      <c r="EX120" s="2"/>
      <c r="EY120" s="2"/>
      <c r="EZ120" s="2"/>
      <c r="FA120" s="2"/>
      <c r="FB120" s="2"/>
      <c r="FC120" s="2"/>
      <c r="FD120" s="2"/>
      <c r="FE120" s="2"/>
      <c r="FF120" s="2"/>
      <c r="FG120" s="2"/>
      <c r="FH120" s="2"/>
      <c r="FI120" s="2"/>
      <c r="FJ120" s="2"/>
      <c r="FK120" s="2"/>
      <c r="FL120" s="2"/>
      <c r="FM120" s="2"/>
      <c r="FN120" s="2"/>
      <c r="FO120" s="2"/>
      <c r="FP120" s="2"/>
      <c r="FQ120" s="2"/>
      <c r="FR120" s="2"/>
      <c r="FS120" s="2"/>
      <c r="FT120" s="2"/>
      <c r="FU120" s="2"/>
      <c r="FV120" s="2"/>
      <c r="FW120" s="2"/>
      <c r="FX120" s="2"/>
      <c r="FY120" s="2"/>
      <c r="FZ120" s="2"/>
      <c r="GA120" s="2"/>
      <c r="GB120" s="2"/>
      <c r="GC120" s="2"/>
      <c r="GD120" s="2"/>
      <c r="GE120" s="2"/>
      <c r="GF120" s="2"/>
      <c r="GG120" s="2"/>
      <c r="GH120" s="2"/>
      <c r="GI120" s="2"/>
      <c r="GJ120" s="2"/>
      <c r="GK120" s="2"/>
      <c r="GL120" s="2"/>
      <c r="GM120" s="2"/>
      <c r="GN120" s="2"/>
      <c r="GO120" s="2"/>
      <c r="GP120" s="2"/>
      <c r="GQ120" s="2"/>
      <c r="GR120" s="2"/>
      <c r="GS120" s="2"/>
      <c r="GT120" s="2"/>
      <c r="GU120" s="2"/>
      <c r="GV120" s="2"/>
      <c r="GW120" s="2"/>
      <c r="GX120" s="2"/>
      <c r="GY120" s="2"/>
      <c r="GZ120" s="2"/>
      <c r="HA120" s="2"/>
      <c r="HB120" s="2"/>
      <c r="HC120" s="2"/>
      <c r="HD120" s="2"/>
      <c r="HE120" s="2"/>
      <c r="HF120" s="2"/>
      <c r="HG120" s="2"/>
      <c r="HH120" s="2"/>
      <c r="HI120" s="2"/>
      <c r="HJ120" s="2"/>
      <c r="HK120" s="2"/>
      <c r="HL120" s="2"/>
      <c r="HM120" s="2"/>
      <c r="HN120" s="2"/>
      <c r="HO120" s="2"/>
      <c r="HP120" s="2"/>
      <c r="HQ120" s="2"/>
      <c r="HR120" s="2"/>
      <c r="HS120" s="2"/>
      <c r="HT120" s="2"/>
      <c r="HU120" s="2"/>
      <c r="HV120" s="2"/>
      <c r="HW120" s="2"/>
      <c r="HX120" s="2"/>
      <c r="HY120" s="2"/>
      <c r="HZ120" s="2"/>
      <c r="IA120" s="2"/>
      <c r="IB120" s="2"/>
      <c r="IC120" s="2"/>
      <c r="ID120" s="2"/>
      <c r="IE120" s="2"/>
      <c r="IF120" s="2"/>
      <c r="IG120" s="2"/>
      <c r="IH120" s="2"/>
      <c r="II120" s="2"/>
      <c r="IJ120" s="2"/>
      <c r="IK120" s="2"/>
      <c r="IL120" s="2"/>
      <c r="IM120" s="2"/>
      <c r="IN120" s="2"/>
      <c r="IO120" s="2"/>
      <c r="IP120" s="2"/>
      <c r="IQ120" s="2"/>
      <c r="IR120" s="2"/>
      <c r="IS120" s="2"/>
    </row>
    <row r="121" spans="1:253" s="6" customFormat="1" ht="15.75" customHeight="1" x14ac:dyDescent="0.25">
      <c r="A121" s="1"/>
      <c r="B121" s="29" t="s">
        <v>2411</v>
      </c>
      <c r="C121" s="63">
        <f>C122+C123+C124+C125+C126+C127+C128+C129+C130+C131+C132+C133+C134+C135+C136+C137+C138+C139+C140+C141+C142+C143+C144+C145+C146</f>
        <v>1432990</v>
      </c>
      <c r="D121" s="51"/>
      <c r="E121" s="5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  <c r="DP121" s="2"/>
      <c r="DQ121" s="2"/>
      <c r="DR121" s="2"/>
      <c r="DS121" s="2"/>
      <c r="DT121" s="2"/>
      <c r="DU121" s="2"/>
      <c r="DV121" s="2"/>
      <c r="DW121" s="2"/>
      <c r="DX121" s="2"/>
      <c r="DY121" s="2"/>
      <c r="DZ121" s="2"/>
      <c r="EA121" s="2"/>
      <c r="EB121" s="2"/>
      <c r="EC121" s="2"/>
      <c r="ED121" s="2"/>
      <c r="EE121" s="2"/>
      <c r="EF121" s="2"/>
      <c r="EG121" s="2"/>
      <c r="EH121" s="2"/>
      <c r="EI121" s="2"/>
      <c r="EJ121" s="2"/>
      <c r="EK121" s="2"/>
      <c r="EL121" s="2"/>
      <c r="EM121" s="2"/>
      <c r="EN121" s="2"/>
      <c r="EO121" s="2"/>
      <c r="EP121" s="2"/>
      <c r="EQ121" s="2"/>
      <c r="ER121" s="2"/>
      <c r="ES121" s="2"/>
      <c r="ET121" s="2"/>
      <c r="EU121" s="2"/>
      <c r="EV121" s="2"/>
      <c r="EW121" s="2"/>
      <c r="EX121" s="2"/>
      <c r="EY121" s="2"/>
      <c r="EZ121" s="2"/>
      <c r="FA121" s="2"/>
      <c r="FB121" s="2"/>
      <c r="FC121" s="2"/>
      <c r="FD121" s="2"/>
      <c r="FE121" s="2"/>
      <c r="FF121" s="2"/>
      <c r="FG121" s="2"/>
      <c r="FH121" s="2"/>
      <c r="FI121" s="2"/>
      <c r="FJ121" s="2"/>
      <c r="FK121" s="2"/>
      <c r="FL121" s="2"/>
      <c r="FM121" s="2"/>
      <c r="FN121" s="2"/>
      <c r="FO121" s="2"/>
      <c r="FP121" s="2"/>
      <c r="FQ121" s="2"/>
      <c r="FR121" s="2"/>
      <c r="FS121" s="2"/>
      <c r="FT121" s="2"/>
      <c r="FU121" s="2"/>
      <c r="FV121" s="2"/>
      <c r="FW121" s="2"/>
      <c r="FX121" s="2"/>
      <c r="FY121" s="2"/>
      <c r="FZ121" s="2"/>
      <c r="GA121" s="2"/>
      <c r="GB121" s="2"/>
      <c r="GC121" s="2"/>
      <c r="GD121" s="2"/>
      <c r="GE121" s="2"/>
      <c r="GF121" s="2"/>
      <c r="GG121" s="2"/>
      <c r="GH121" s="2"/>
      <c r="GI121" s="2"/>
      <c r="GJ121" s="2"/>
      <c r="GK121" s="2"/>
      <c r="GL121" s="2"/>
      <c r="GM121" s="2"/>
      <c r="GN121" s="2"/>
      <c r="GO121" s="2"/>
      <c r="GP121" s="2"/>
      <c r="GQ121" s="2"/>
      <c r="GR121" s="2"/>
      <c r="GS121" s="2"/>
      <c r="GT121" s="2"/>
      <c r="GU121" s="2"/>
      <c r="GV121" s="2"/>
      <c r="GW121" s="2"/>
      <c r="GX121" s="2"/>
      <c r="GY121" s="2"/>
      <c r="GZ121" s="2"/>
      <c r="HA121" s="2"/>
      <c r="HB121" s="2"/>
      <c r="HC121" s="2"/>
      <c r="HD121" s="2"/>
      <c r="HE121" s="2"/>
      <c r="HF121" s="2"/>
      <c r="HG121" s="2"/>
      <c r="HH121" s="2"/>
      <c r="HI121" s="2"/>
      <c r="HJ121" s="2"/>
      <c r="HK121" s="2"/>
      <c r="HL121" s="2"/>
      <c r="HM121" s="2"/>
      <c r="HN121" s="2"/>
      <c r="HO121" s="2"/>
      <c r="HP121" s="2"/>
      <c r="HQ121" s="2"/>
      <c r="HR121" s="2"/>
      <c r="HS121" s="2"/>
      <c r="HT121" s="2"/>
      <c r="HU121" s="2"/>
      <c r="HV121" s="2"/>
      <c r="HW121" s="2"/>
      <c r="HX121" s="2"/>
      <c r="HY121" s="2"/>
      <c r="HZ121" s="2"/>
      <c r="IA121" s="2"/>
      <c r="IB121" s="2"/>
      <c r="IC121" s="2"/>
      <c r="ID121" s="2"/>
      <c r="IE121" s="2"/>
      <c r="IF121" s="2"/>
      <c r="IG121" s="2"/>
      <c r="IH121" s="2"/>
      <c r="II121" s="2"/>
      <c r="IJ121" s="2"/>
      <c r="IK121" s="2"/>
      <c r="IL121" s="2"/>
      <c r="IM121" s="2"/>
      <c r="IN121" s="2"/>
      <c r="IO121" s="2"/>
      <c r="IP121" s="2"/>
      <c r="IQ121" s="2"/>
      <c r="IR121" s="2"/>
      <c r="IS121" s="2"/>
    </row>
    <row r="122" spans="1:253" s="6" customFormat="1" ht="15.75" customHeight="1" x14ac:dyDescent="0.25">
      <c r="A122" s="1"/>
      <c r="B122" s="30" t="s">
        <v>2394</v>
      </c>
      <c r="C122" s="64">
        <f>'neg or'!D9</f>
        <v>25513</v>
      </c>
      <c r="D122" s="51"/>
      <c r="E122" s="5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  <c r="DP122" s="2"/>
      <c r="DQ122" s="2"/>
      <c r="DR122" s="2"/>
      <c r="DS122" s="2"/>
      <c r="DT122" s="2"/>
      <c r="DU122" s="2"/>
      <c r="DV122" s="2"/>
      <c r="DW122" s="2"/>
      <c r="DX122" s="2"/>
      <c r="DY122" s="2"/>
      <c r="DZ122" s="2"/>
      <c r="EA122" s="2"/>
      <c r="EB122" s="2"/>
      <c r="EC122" s="2"/>
      <c r="ED122" s="2"/>
      <c r="EE122" s="2"/>
      <c r="EF122" s="2"/>
      <c r="EG122" s="2"/>
      <c r="EH122" s="2"/>
      <c r="EI122" s="2"/>
      <c r="EJ122" s="2"/>
      <c r="EK122" s="2"/>
      <c r="EL122" s="2"/>
      <c r="EM122" s="2"/>
      <c r="EN122" s="2"/>
      <c r="EO122" s="2"/>
      <c r="EP122" s="2"/>
      <c r="EQ122" s="2"/>
      <c r="ER122" s="2"/>
      <c r="ES122" s="2"/>
      <c r="ET122" s="2"/>
      <c r="EU122" s="2"/>
      <c r="EV122" s="2"/>
      <c r="EW122" s="2"/>
      <c r="EX122" s="2"/>
      <c r="EY122" s="2"/>
      <c r="EZ122" s="2"/>
      <c r="FA122" s="2"/>
      <c r="FB122" s="2"/>
      <c r="FC122" s="2"/>
      <c r="FD122" s="2"/>
      <c r="FE122" s="2"/>
      <c r="FF122" s="2"/>
      <c r="FG122" s="2"/>
      <c r="FH122" s="2"/>
      <c r="FI122" s="2"/>
      <c r="FJ122" s="2"/>
      <c r="FK122" s="2"/>
      <c r="FL122" s="2"/>
      <c r="FM122" s="2"/>
      <c r="FN122" s="2"/>
      <c r="FO122" s="2"/>
      <c r="FP122" s="2"/>
      <c r="FQ122" s="2"/>
      <c r="FR122" s="2"/>
      <c r="FS122" s="2"/>
      <c r="FT122" s="2"/>
      <c r="FU122" s="2"/>
      <c r="FV122" s="2"/>
      <c r="FW122" s="2"/>
      <c r="FX122" s="2"/>
      <c r="FY122" s="2"/>
      <c r="FZ122" s="2"/>
      <c r="GA122" s="2"/>
      <c r="GB122" s="2"/>
      <c r="GC122" s="2"/>
      <c r="GD122" s="2"/>
      <c r="GE122" s="2"/>
      <c r="GF122" s="2"/>
      <c r="GG122" s="2"/>
      <c r="GH122" s="2"/>
      <c r="GI122" s="2"/>
      <c r="GJ122" s="2"/>
      <c r="GK122" s="2"/>
      <c r="GL122" s="2"/>
      <c r="GM122" s="2"/>
      <c r="GN122" s="2"/>
      <c r="GO122" s="2"/>
      <c r="GP122" s="2"/>
      <c r="GQ122" s="2"/>
      <c r="GR122" s="2"/>
      <c r="GS122" s="2"/>
      <c r="GT122" s="2"/>
      <c r="GU122" s="2"/>
      <c r="GV122" s="2"/>
      <c r="GW122" s="2"/>
      <c r="GX122" s="2"/>
      <c r="GY122" s="2"/>
      <c r="GZ122" s="2"/>
      <c r="HA122" s="2"/>
      <c r="HB122" s="2"/>
      <c r="HC122" s="2"/>
      <c r="HD122" s="2"/>
      <c r="HE122" s="2"/>
      <c r="HF122" s="2"/>
      <c r="HG122" s="2"/>
      <c r="HH122" s="2"/>
      <c r="HI122" s="2"/>
      <c r="HJ122" s="2"/>
      <c r="HK122" s="2"/>
      <c r="HL122" s="2"/>
      <c r="HM122" s="2"/>
      <c r="HN122" s="2"/>
      <c r="HO122" s="2"/>
      <c r="HP122" s="2"/>
      <c r="HQ122" s="2"/>
      <c r="HR122" s="2"/>
      <c r="HS122" s="2"/>
      <c r="HT122" s="2"/>
      <c r="HU122" s="2"/>
      <c r="HV122" s="2"/>
      <c r="HW122" s="2"/>
      <c r="HX122" s="2"/>
      <c r="HY122" s="2"/>
      <c r="HZ122" s="2"/>
      <c r="IA122" s="2"/>
      <c r="IB122" s="2"/>
      <c r="IC122" s="2"/>
      <c r="ID122" s="2"/>
      <c r="IE122" s="2"/>
      <c r="IF122" s="2"/>
      <c r="IG122" s="2"/>
      <c r="IH122" s="2"/>
      <c r="II122" s="2"/>
      <c r="IJ122" s="2"/>
      <c r="IK122" s="2"/>
      <c r="IL122" s="2"/>
      <c r="IM122" s="2"/>
      <c r="IN122" s="2"/>
      <c r="IO122" s="2"/>
      <c r="IP122" s="2"/>
      <c r="IQ122" s="2"/>
      <c r="IR122" s="2"/>
      <c r="IS122" s="2"/>
    </row>
    <row r="123" spans="1:253" s="6" customFormat="1" ht="15.75" customHeight="1" x14ac:dyDescent="0.25">
      <c r="A123" s="1"/>
      <c r="B123" s="30" t="s">
        <v>2386</v>
      </c>
      <c r="C123" s="64">
        <f>'neg or'!D19</f>
        <v>47102</v>
      </c>
      <c r="D123" s="51"/>
      <c r="E123" s="5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  <c r="DP123" s="2"/>
      <c r="DQ123" s="2"/>
      <c r="DR123" s="2"/>
      <c r="DS123" s="2"/>
      <c r="DT123" s="2"/>
      <c r="DU123" s="2"/>
      <c r="DV123" s="2"/>
      <c r="DW123" s="2"/>
      <c r="DX123" s="2"/>
      <c r="DY123" s="2"/>
      <c r="DZ123" s="2"/>
      <c r="EA123" s="2"/>
      <c r="EB123" s="2"/>
      <c r="EC123" s="2"/>
      <c r="ED123" s="2"/>
      <c r="EE123" s="2"/>
      <c r="EF123" s="2"/>
      <c r="EG123" s="2"/>
      <c r="EH123" s="2"/>
      <c r="EI123" s="2"/>
      <c r="EJ123" s="2"/>
      <c r="EK123" s="2"/>
      <c r="EL123" s="2"/>
      <c r="EM123" s="2"/>
      <c r="EN123" s="2"/>
      <c r="EO123" s="2"/>
      <c r="EP123" s="2"/>
      <c r="EQ123" s="2"/>
      <c r="ER123" s="2"/>
      <c r="ES123" s="2"/>
      <c r="ET123" s="2"/>
      <c r="EU123" s="2"/>
      <c r="EV123" s="2"/>
      <c r="EW123" s="2"/>
      <c r="EX123" s="2"/>
      <c r="EY123" s="2"/>
      <c r="EZ123" s="2"/>
      <c r="FA123" s="2"/>
      <c r="FB123" s="2"/>
      <c r="FC123" s="2"/>
      <c r="FD123" s="2"/>
      <c r="FE123" s="2"/>
      <c r="FF123" s="2"/>
      <c r="FG123" s="2"/>
      <c r="FH123" s="2"/>
      <c r="FI123" s="2"/>
      <c r="FJ123" s="2"/>
      <c r="FK123" s="2"/>
      <c r="FL123" s="2"/>
      <c r="FM123" s="2"/>
      <c r="FN123" s="2"/>
      <c r="FO123" s="2"/>
      <c r="FP123" s="2"/>
      <c r="FQ123" s="2"/>
      <c r="FR123" s="2"/>
      <c r="FS123" s="2"/>
      <c r="FT123" s="2"/>
      <c r="FU123" s="2"/>
      <c r="FV123" s="2"/>
      <c r="FW123" s="2"/>
      <c r="FX123" s="2"/>
      <c r="FY123" s="2"/>
      <c r="FZ123" s="2"/>
      <c r="GA123" s="2"/>
      <c r="GB123" s="2"/>
      <c r="GC123" s="2"/>
      <c r="GD123" s="2"/>
      <c r="GE123" s="2"/>
      <c r="GF123" s="2"/>
      <c r="GG123" s="2"/>
      <c r="GH123" s="2"/>
      <c r="GI123" s="2"/>
      <c r="GJ123" s="2"/>
      <c r="GK123" s="2"/>
      <c r="GL123" s="2"/>
      <c r="GM123" s="2"/>
      <c r="GN123" s="2"/>
      <c r="GO123" s="2"/>
      <c r="GP123" s="2"/>
      <c r="GQ123" s="2"/>
      <c r="GR123" s="2"/>
      <c r="GS123" s="2"/>
      <c r="GT123" s="2"/>
      <c r="GU123" s="2"/>
      <c r="GV123" s="2"/>
      <c r="GW123" s="2"/>
      <c r="GX123" s="2"/>
      <c r="GY123" s="2"/>
      <c r="GZ123" s="2"/>
      <c r="HA123" s="2"/>
      <c r="HB123" s="2"/>
      <c r="HC123" s="2"/>
      <c r="HD123" s="2"/>
      <c r="HE123" s="2"/>
      <c r="HF123" s="2"/>
      <c r="HG123" s="2"/>
      <c r="HH123" s="2"/>
      <c r="HI123" s="2"/>
      <c r="HJ123" s="2"/>
      <c r="HK123" s="2"/>
      <c r="HL123" s="2"/>
      <c r="HM123" s="2"/>
      <c r="HN123" s="2"/>
      <c r="HO123" s="2"/>
      <c r="HP123" s="2"/>
      <c r="HQ123" s="2"/>
      <c r="HR123" s="2"/>
      <c r="HS123" s="2"/>
      <c r="HT123" s="2"/>
      <c r="HU123" s="2"/>
      <c r="HV123" s="2"/>
      <c r="HW123" s="2"/>
      <c r="HX123" s="2"/>
      <c r="HY123" s="2"/>
      <c r="HZ123" s="2"/>
      <c r="IA123" s="2"/>
      <c r="IB123" s="2"/>
      <c r="IC123" s="2"/>
      <c r="ID123" s="2"/>
      <c r="IE123" s="2"/>
      <c r="IF123" s="2"/>
      <c r="IG123" s="2"/>
      <c r="IH123" s="2"/>
      <c r="II123" s="2"/>
      <c r="IJ123" s="2"/>
      <c r="IK123" s="2"/>
      <c r="IL123" s="2"/>
      <c r="IM123" s="2"/>
      <c r="IN123" s="2"/>
      <c r="IO123" s="2"/>
      <c r="IP123" s="2"/>
      <c r="IQ123" s="2"/>
      <c r="IR123" s="2"/>
      <c r="IS123" s="2"/>
    </row>
    <row r="124" spans="1:253" s="6" customFormat="1" ht="15.75" customHeight="1" x14ac:dyDescent="0.25">
      <c r="A124" s="1"/>
      <c r="B124" s="30" t="s">
        <v>2366</v>
      </c>
      <c r="C124" s="64">
        <f>'neg or'!D45</f>
        <v>41207</v>
      </c>
      <c r="D124" s="51"/>
      <c r="E124" s="5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  <c r="DP124" s="2"/>
      <c r="DQ124" s="2"/>
      <c r="DR124" s="2"/>
      <c r="DS124" s="2"/>
      <c r="DT124" s="2"/>
      <c r="DU124" s="2"/>
      <c r="DV124" s="2"/>
      <c r="DW124" s="2"/>
      <c r="DX124" s="2"/>
      <c r="DY124" s="2"/>
      <c r="DZ124" s="2"/>
      <c r="EA124" s="2"/>
      <c r="EB124" s="2"/>
      <c r="EC124" s="2"/>
      <c r="ED124" s="2"/>
      <c r="EE124" s="2"/>
      <c r="EF124" s="2"/>
      <c r="EG124" s="2"/>
      <c r="EH124" s="2"/>
      <c r="EI124" s="2"/>
      <c r="EJ124" s="2"/>
      <c r="EK124" s="2"/>
      <c r="EL124" s="2"/>
      <c r="EM124" s="2"/>
      <c r="EN124" s="2"/>
      <c r="EO124" s="2"/>
      <c r="EP124" s="2"/>
      <c r="EQ124" s="2"/>
      <c r="ER124" s="2"/>
      <c r="ES124" s="2"/>
      <c r="ET124" s="2"/>
      <c r="EU124" s="2"/>
      <c r="EV124" s="2"/>
      <c r="EW124" s="2"/>
      <c r="EX124" s="2"/>
      <c r="EY124" s="2"/>
      <c r="EZ124" s="2"/>
      <c r="FA124" s="2"/>
      <c r="FB124" s="2"/>
      <c r="FC124" s="2"/>
      <c r="FD124" s="2"/>
      <c r="FE124" s="2"/>
      <c r="FF124" s="2"/>
      <c r="FG124" s="2"/>
      <c r="FH124" s="2"/>
      <c r="FI124" s="2"/>
      <c r="FJ124" s="2"/>
      <c r="FK124" s="2"/>
      <c r="FL124" s="2"/>
      <c r="FM124" s="2"/>
      <c r="FN124" s="2"/>
      <c r="FO124" s="2"/>
      <c r="FP124" s="2"/>
      <c r="FQ124" s="2"/>
      <c r="FR124" s="2"/>
      <c r="FS124" s="2"/>
      <c r="FT124" s="2"/>
      <c r="FU124" s="2"/>
      <c r="FV124" s="2"/>
      <c r="FW124" s="2"/>
      <c r="FX124" s="2"/>
      <c r="FY124" s="2"/>
      <c r="FZ124" s="2"/>
      <c r="GA124" s="2"/>
      <c r="GB124" s="2"/>
      <c r="GC124" s="2"/>
      <c r="GD124" s="2"/>
      <c r="GE124" s="2"/>
      <c r="GF124" s="2"/>
      <c r="GG124" s="2"/>
      <c r="GH124" s="2"/>
      <c r="GI124" s="2"/>
      <c r="GJ124" s="2"/>
      <c r="GK124" s="2"/>
      <c r="GL124" s="2"/>
      <c r="GM124" s="2"/>
      <c r="GN124" s="2"/>
      <c r="GO124" s="2"/>
      <c r="GP124" s="2"/>
      <c r="GQ124" s="2"/>
      <c r="GR124" s="2"/>
      <c r="GS124" s="2"/>
      <c r="GT124" s="2"/>
      <c r="GU124" s="2"/>
      <c r="GV124" s="2"/>
      <c r="GW124" s="2"/>
      <c r="GX124" s="2"/>
      <c r="GY124" s="2"/>
      <c r="GZ124" s="2"/>
      <c r="HA124" s="2"/>
      <c r="HB124" s="2"/>
      <c r="HC124" s="2"/>
      <c r="HD124" s="2"/>
      <c r="HE124" s="2"/>
      <c r="HF124" s="2"/>
      <c r="HG124" s="2"/>
      <c r="HH124" s="2"/>
      <c r="HI124" s="2"/>
      <c r="HJ124" s="2"/>
      <c r="HK124" s="2"/>
      <c r="HL124" s="2"/>
      <c r="HM124" s="2"/>
      <c r="HN124" s="2"/>
      <c r="HO124" s="2"/>
      <c r="HP124" s="2"/>
      <c r="HQ124" s="2"/>
      <c r="HR124" s="2"/>
      <c r="HS124" s="2"/>
      <c r="HT124" s="2"/>
      <c r="HU124" s="2"/>
      <c r="HV124" s="2"/>
      <c r="HW124" s="2"/>
      <c r="HX124" s="2"/>
      <c r="HY124" s="2"/>
      <c r="HZ124" s="2"/>
      <c r="IA124" s="2"/>
      <c r="IB124" s="2"/>
      <c r="IC124" s="2"/>
      <c r="ID124" s="2"/>
      <c r="IE124" s="2"/>
      <c r="IF124" s="2"/>
      <c r="IG124" s="2"/>
      <c r="IH124" s="2"/>
      <c r="II124" s="2"/>
      <c r="IJ124" s="2"/>
      <c r="IK124" s="2"/>
      <c r="IL124" s="2"/>
      <c r="IM124" s="2"/>
      <c r="IN124" s="2"/>
      <c r="IO124" s="2"/>
      <c r="IP124" s="2"/>
      <c r="IQ124" s="2"/>
      <c r="IR124" s="2"/>
      <c r="IS124" s="2"/>
    </row>
    <row r="125" spans="1:253" s="6" customFormat="1" ht="15.75" customHeight="1" x14ac:dyDescent="0.25">
      <c r="A125" s="1"/>
      <c r="B125" s="30" t="s">
        <v>2405</v>
      </c>
      <c r="C125" s="64">
        <f>'neg or'!D69</f>
        <v>84317</v>
      </c>
      <c r="D125" s="51"/>
      <c r="E125" s="5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  <c r="DP125" s="2"/>
      <c r="DQ125" s="2"/>
      <c r="DR125" s="2"/>
      <c r="DS125" s="2"/>
      <c r="DT125" s="2"/>
      <c r="DU125" s="2"/>
      <c r="DV125" s="2"/>
      <c r="DW125" s="2"/>
      <c r="DX125" s="2"/>
      <c r="DY125" s="2"/>
      <c r="DZ125" s="2"/>
      <c r="EA125" s="2"/>
      <c r="EB125" s="2"/>
      <c r="EC125" s="2"/>
      <c r="ED125" s="2"/>
      <c r="EE125" s="2"/>
      <c r="EF125" s="2"/>
      <c r="EG125" s="2"/>
      <c r="EH125" s="2"/>
      <c r="EI125" s="2"/>
      <c r="EJ125" s="2"/>
      <c r="EK125" s="2"/>
      <c r="EL125" s="2"/>
      <c r="EM125" s="2"/>
      <c r="EN125" s="2"/>
      <c r="EO125" s="2"/>
      <c r="EP125" s="2"/>
      <c r="EQ125" s="2"/>
      <c r="ER125" s="2"/>
      <c r="ES125" s="2"/>
      <c r="ET125" s="2"/>
      <c r="EU125" s="2"/>
      <c r="EV125" s="2"/>
      <c r="EW125" s="2"/>
      <c r="EX125" s="2"/>
      <c r="EY125" s="2"/>
      <c r="EZ125" s="2"/>
      <c r="FA125" s="2"/>
      <c r="FB125" s="2"/>
      <c r="FC125" s="2"/>
      <c r="FD125" s="2"/>
      <c r="FE125" s="2"/>
      <c r="FF125" s="2"/>
      <c r="FG125" s="2"/>
      <c r="FH125" s="2"/>
      <c r="FI125" s="2"/>
      <c r="FJ125" s="2"/>
      <c r="FK125" s="2"/>
      <c r="FL125" s="2"/>
      <c r="FM125" s="2"/>
      <c r="FN125" s="2"/>
      <c r="FO125" s="2"/>
      <c r="FP125" s="2"/>
      <c r="FQ125" s="2"/>
      <c r="FR125" s="2"/>
      <c r="FS125" s="2"/>
      <c r="FT125" s="2"/>
      <c r="FU125" s="2"/>
      <c r="FV125" s="2"/>
      <c r="FW125" s="2"/>
      <c r="FX125" s="2"/>
      <c r="FY125" s="2"/>
      <c r="FZ125" s="2"/>
      <c r="GA125" s="2"/>
      <c r="GB125" s="2"/>
      <c r="GC125" s="2"/>
      <c r="GD125" s="2"/>
      <c r="GE125" s="2"/>
      <c r="GF125" s="2"/>
      <c r="GG125" s="2"/>
      <c r="GH125" s="2"/>
      <c r="GI125" s="2"/>
      <c r="GJ125" s="2"/>
      <c r="GK125" s="2"/>
      <c r="GL125" s="2"/>
      <c r="GM125" s="2"/>
      <c r="GN125" s="2"/>
      <c r="GO125" s="2"/>
      <c r="GP125" s="2"/>
      <c r="GQ125" s="2"/>
      <c r="GR125" s="2"/>
      <c r="GS125" s="2"/>
      <c r="GT125" s="2"/>
      <c r="GU125" s="2"/>
      <c r="GV125" s="2"/>
      <c r="GW125" s="2"/>
      <c r="GX125" s="2"/>
      <c r="GY125" s="2"/>
      <c r="GZ125" s="2"/>
      <c r="HA125" s="2"/>
      <c r="HB125" s="2"/>
      <c r="HC125" s="2"/>
      <c r="HD125" s="2"/>
      <c r="HE125" s="2"/>
      <c r="HF125" s="2"/>
      <c r="HG125" s="2"/>
      <c r="HH125" s="2"/>
      <c r="HI125" s="2"/>
      <c r="HJ125" s="2"/>
      <c r="HK125" s="2"/>
      <c r="HL125" s="2"/>
      <c r="HM125" s="2"/>
      <c r="HN125" s="2"/>
      <c r="HO125" s="2"/>
      <c r="HP125" s="2"/>
      <c r="HQ125" s="2"/>
      <c r="HR125" s="2"/>
      <c r="HS125" s="2"/>
      <c r="HT125" s="2"/>
      <c r="HU125" s="2"/>
      <c r="HV125" s="2"/>
      <c r="HW125" s="2"/>
      <c r="HX125" s="2"/>
      <c r="HY125" s="2"/>
      <c r="HZ125" s="2"/>
      <c r="IA125" s="2"/>
      <c r="IB125" s="2"/>
      <c r="IC125" s="2"/>
      <c r="ID125" s="2"/>
      <c r="IE125" s="2"/>
      <c r="IF125" s="2"/>
      <c r="IG125" s="2"/>
      <c r="IH125" s="2"/>
      <c r="II125" s="2"/>
      <c r="IJ125" s="2"/>
      <c r="IK125" s="2"/>
      <c r="IL125" s="2"/>
      <c r="IM125" s="2"/>
      <c r="IN125" s="2"/>
      <c r="IO125" s="2"/>
      <c r="IP125" s="2"/>
      <c r="IQ125" s="2"/>
      <c r="IR125" s="2"/>
      <c r="IS125" s="2"/>
    </row>
    <row r="126" spans="1:253" s="6" customFormat="1" ht="15.75" customHeight="1" x14ac:dyDescent="0.25">
      <c r="A126" s="1"/>
      <c r="B126" s="30" t="s">
        <v>2333</v>
      </c>
      <c r="C126" s="64">
        <f>'neg or'!D106</f>
        <v>28531</v>
      </c>
      <c r="D126" s="51"/>
      <c r="E126" s="5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  <c r="DP126" s="2"/>
      <c r="DQ126" s="2"/>
      <c r="DR126" s="2"/>
      <c r="DS126" s="2"/>
      <c r="DT126" s="2"/>
      <c r="DU126" s="2"/>
      <c r="DV126" s="2"/>
      <c r="DW126" s="2"/>
      <c r="DX126" s="2"/>
      <c r="DY126" s="2"/>
      <c r="DZ126" s="2"/>
      <c r="EA126" s="2"/>
      <c r="EB126" s="2"/>
      <c r="EC126" s="2"/>
      <c r="ED126" s="2"/>
      <c r="EE126" s="2"/>
      <c r="EF126" s="2"/>
      <c r="EG126" s="2"/>
      <c r="EH126" s="2"/>
      <c r="EI126" s="2"/>
      <c r="EJ126" s="2"/>
      <c r="EK126" s="2"/>
      <c r="EL126" s="2"/>
      <c r="EM126" s="2"/>
      <c r="EN126" s="2"/>
      <c r="EO126" s="2"/>
      <c r="EP126" s="2"/>
      <c r="EQ126" s="2"/>
      <c r="ER126" s="2"/>
      <c r="ES126" s="2"/>
      <c r="ET126" s="2"/>
      <c r="EU126" s="2"/>
      <c r="EV126" s="2"/>
      <c r="EW126" s="2"/>
      <c r="EX126" s="2"/>
      <c r="EY126" s="2"/>
      <c r="EZ126" s="2"/>
      <c r="FA126" s="2"/>
      <c r="FB126" s="2"/>
      <c r="FC126" s="2"/>
      <c r="FD126" s="2"/>
      <c r="FE126" s="2"/>
      <c r="FF126" s="2"/>
      <c r="FG126" s="2"/>
      <c r="FH126" s="2"/>
      <c r="FI126" s="2"/>
      <c r="FJ126" s="2"/>
      <c r="FK126" s="2"/>
      <c r="FL126" s="2"/>
      <c r="FM126" s="2"/>
      <c r="FN126" s="2"/>
      <c r="FO126" s="2"/>
      <c r="FP126" s="2"/>
      <c r="FQ126" s="2"/>
      <c r="FR126" s="2"/>
      <c r="FS126" s="2"/>
      <c r="FT126" s="2"/>
      <c r="FU126" s="2"/>
      <c r="FV126" s="2"/>
      <c r="FW126" s="2"/>
      <c r="FX126" s="2"/>
      <c r="FY126" s="2"/>
      <c r="FZ126" s="2"/>
      <c r="GA126" s="2"/>
      <c r="GB126" s="2"/>
      <c r="GC126" s="2"/>
      <c r="GD126" s="2"/>
      <c r="GE126" s="2"/>
      <c r="GF126" s="2"/>
      <c r="GG126" s="2"/>
      <c r="GH126" s="2"/>
      <c r="GI126" s="2"/>
      <c r="GJ126" s="2"/>
      <c r="GK126" s="2"/>
      <c r="GL126" s="2"/>
      <c r="GM126" s="2"/>
      <c r="GN126" s="2"/>
      <c r="GO126" s="2"/>
      <c r="GP126" s="2"/>
      <c r="GQ126" s="2"/>
      <c r="GR126" s="2"/>
      <c r="GS126" s="2"/>
      <c r="GT126" s="2"/>
      <c r="GU126" s="2"/>
      <c r="GV126" s="2"/>
      <c r="GW126" s="2"/>
      <c r="GX126" s="2"/>
      <c r="GY126" s="2"/>
      <c r="GZ126" s="2"/>
      <c r="HA126" s="2"/>
      <c r="HB126" s="2"/>
      <c r="HC126" s="2"/>
      <c r="HD126" s="2"/>
      <c r="HE126" s="2"/>
      <c r="HF126" s="2"/>
      <c r="HG126" s="2"/>
      <c r="HH126" s="2"/>
      <c r="HI126" s="2"/>
      <c r="HJ126" s="2"/>
      <c r="HK126" s="2"/>
      <c r="HL126" s="2"/>
      <c r="HM126" s="2"/>
      <c r="HN126" s="2"/>
      <c r="HO126" s="2"/>
      <c r="HP126" s="2"/>
      <c r="HQ126" s="2"/>
      <c r="HR126" s="2"/>
      <c r="HS126" s="2"/>
      <c r="HT126" s="2"/>
      <c r="HU126" s="2"/>
      <c r="HV126" s="2"/>
      <c r="HW126" s="2"/>
      <c r="HX126" s="2"/>
      <c r="HY126" s="2"/>
      <c r="HZ126" s="2"/>
      <c r="IA126" s="2"/>
      <c r="IB126" s="2"/>
      <c r="IC126" s="2"/>
      <c r="ID126" s="2"/>
      <c r="IE126" s="2"/>
      <c r="IF126" s="2"/>
      <c r="IG126" s="2"/>
      <c r="IH126" s="2"/>
      <c r="II126" s="2"/>
      <c r="IJ126" s="2"/>
      <c r="IK126" s="2"/>
      <c r="IL126" s="2"/>
      <c r="IM126" s="2"/>
      <c r="IN126" s="2"/>
      <c r="IO126" s="2"/>
      <c r="IP126" s="2"/>
      <c r="IQ126" s="2"/>
      <c r="IR126" s="2"/>
      <c r="IS126" s="2"/>
    </row>
    <row r="127" spans="1:253" s="6" customFormat="1" ht="15.75" customHeight="1" x14ac:dyDescent="0.25">
      <c r="A127" s="1"/>
      <c r="B127" s="30" t="s">
        <v>2323</v>
      </c>
      <c r="C127" s="64">
        <f>'neg or'!D118</f>
        <v>122747</v>
      </c>
      <c r="D127" s="51"/>
      <c r="E127" s="5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  <c r="DP127" s="2"/>
      <c r="DQ127" s="2"/>
      <c r="DR127" s="2"/>
      <c r="DS127" s="2"/>
      <c r="DT127" s="2"/>
      <c r="DU127" s="2"/>
      <c r="DV127" s="2"/>
      <c r="DW127" s="2"/>
      <c r="DX127" s="2"/>
      <c r="DY127" s="2"/>
      <c r="DZ127" s="2"/>
      <c r="EA127" s="2"/>
      <c r="EB127" s="2"/>
      <c r="EC127" s="2"/>
      <c r="ED127" s="2"/>
      <c r="EE127" s="2"/>
      <c r="EF127" s="2"/>
      <c r="EG127" s="2"/>
      <c r="EH127" s="2"/>
      <c r="EI127" s="2"/>
      <c r="EJ127" s="2"/>
      <c r="EK127" s="2"/>
      <c r="EL127" s="2"/>
      <c r="EM127" s="2"/>
      <c r="EN127" s="2"/>
      <c r="EO127" s="2"/>
      <c r="EP127" s="2"/>
      <c r="EQ127" s="2"/>
      <c r="ER127" s="2"/>
      <c r="ES127" s="2"/>
      <c r="ET127" s="2"/>
      <c r="EU127" s="2"/>
      <c r="EV127" s="2"/>
      <c r="EW127" s="2"/>
      <c r="EX127" s="2"/>
      <c r="EY127" s="2"/>
      <c r="EZ127" s="2"/>
      <c r="FA127" s="2"/>
      <c r="FB127" s="2"/>
      <c r="FC127" s="2"/>
      <c r="FD127" s="2"/>
      <c r="FE127" s="2"/>
      <c r="FF127" s="2"/>
      <c r="FG127" s="2"/>
      <c r="FH127" s="2"/>
      <c r="FI127" s="2"/>
      <c r="FJ127" s="2"/>
      <c r="FK127" s="2"/>
      <c r="FL127" s="2"/>
      <c r="FM127" s="2"/>
      <c r="FN127" s="2"/>
      <c r="FO127" s="2"/>
      <c r="FP127" s="2"/>
      <c r="FQ127" s="2"/>
      <c r="FR127" s="2"/>
      <c r="FS127" s="2"/>
      <c r="FT127" s="2"/>
      <c r="FU127" s="2"/>
      <c r="FV127" s="2"/>
      <c r="FW127" s="2"/>
      <c r="FX127" s="2"/>
      <c r="FY127" s="2"/>
      <c r="FZ127" s="2"/>
      <c r="GA127" s="2"/>
      <c r="GB127" s="2"/>
      <c r="GC127" s="2"/>
      <c r="GD127" s="2"/>
      <c r="GE127" s="2"/>
      <c r="GF127" s="2"/>
      <c r="GG127" s="2"/>
      <c r="GH127" s="2"/>
      <c r="GI127" s="2"/>
      <c r="GJ127" s="2"/>
      <c r="GK127" s="2"/>
      <c r="GL127" s="2"/>
      <c r="GM127" s="2"/>
      <c r="GN127" s="2"/>
      <c r="GO127" s="2"/>
      <c r="GP127" s="2"/>
      <c r="GQ127" s="2"/>
      <c r="GR127" s="2"/>
      <c r="GS127" s="2"/>
      <c r="GT127" s="2"/>
      <c r="GU127" s="2"/>
      <c r="GV127" s="2"/>
      <c r="GW127" s="2"/>
      <c r="GX127" s="2"/>
      <c r="GY127" s="2"/>
      <c r="GZ127" s="2"/>
      <c r="HA127" s="2"/>
      <c r="HB127" s="2"/>
      <c r="HC127" s="2"/>
      <c r="HD127" s="2"/>
      <c r="HE127" s="2"/>
      <c r="HF127" s="2"/>
      <c r="HG127" s="2"/>
      <c r="HH127" s="2"/>
      <c r="HI127" s="2"/>
      <c r="HJ127" s="2"/>
      <c r="HK127" s="2"/>
      <c r="HL127" s="2"/>
      <c r="HM127" s="2"/>
      <c r="HN127" s="2"/>
      <c r="HO127" s="2"/>
      <c r="HP127" s="2"/>
      <c r="HQ127" s="2"/>
      <c r="HR127" s="2"/>
      <c r="HS127" s="2"/>
      <c r="HT127" s="2"/>
      <c r="HU127" s="2"/>
      <c r="HV127" s="2"/>
      <c r="HW127" s="2"/>
      <c r="HX127" s="2"/>
      <c r="HY127" s="2"/>
      <c r="HZ127" s="2"/>
      <c r="IA127" s="2"/>
      <c r="IB127" s="2"/>
      <c r="IC127" s="2"/>
      <c r="ID127" s="2"/>
      <c r="IE127" s="2"/>
      <c r="IF127" s="2"/>
      <c r="IG127" s="2"/>
      <c r="IH127" s="2"/>
      <c r="II127" s="2"/>
      <c r="IJ127" s="2"/>
      <c r="IK127" s="2"/>
      <c r="IL127" s="2"/>
      <c r="IM127" s="2"/>
      <c r="IN127" s="2"/>
      <c r="IO127" s="2"/>
      <c r="IP127" s="2"/>
      <c r="IQ127" s="2"/>
      <c r="IR127" s="2"/>
      <c r="IS127" s="2"/>
    </row>
    <row r="128" spans="1:253" s="6" customFormat="1" ht="15.75" customHeight="1" x14ac:dyDescent="0.25">
      <c r="A128" s="1"/>
      <c r="B128" s="30" t="s">
        <v>2303</v>
      </c>
      <c r="C128" s="64">
        <f>'neg or'!D148</f>
        <v>40308</v>
      </c>
      <c r="D128" s="51"/>
      <c r="E128" s="5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  <c r="DP128" s="2"/>
      <c r="DQ128" s="2"/>
      <c r="DR128" s="2"/>
      <c r="DS128" s="2"/>
      <c r="DT128" s="2"/>
      <c r="DU128" s="2"/>
      <c r="DV128" s="2"/>
      <c r="DW128" s="2"/>
      <c r="DX128" s="2"/>
      <c r="DY128" s="2"/>
      <c r="DZ128" s="2"/>
      <c r="EA128" s="2"/>
      <c r="EB128" s="2"/>
      <c r="EC128" s="2"/>
      <c r="ED128" s="2"/>
      <c r="EE128" s="2"/>
      <c r="EF128" s="2"/>
      <c r="EG128" s="2"/>
      <c r="EH128" s="2"/>
      <c r="EI128" s="2"/>
      <c r="EJ128" s="2"/>
      <c r="EK128" s="2"/>
      <c r="EL128" s="2"/>
      <c r="EM128" s="2"/>
      <c r="EN128" s="2"/>
      <c r="EO128" s="2"/>
      <c r="EP128" s="2"/>
      <c r="EQ128" s="2"/>
      <c r="ER128" s="2"/>
      <c r="ES128" s="2"/>
      <c r="ET128" s="2"/>
      <c r="EU128" s="2"/>
      <c r="EV128" s="2"/>
      <c r="EW128" s="2"/>
      <c r="EX128" s="2"/>
      <c r="EY128" s="2"/>
      <c r="EZ128" s="2"/>
      <c r="FA128" s="2"/>
      <c r="FB128" s="2"/>
      <c r="FC128" s="2"/>
      <c r="FD128" s="2"/>
      <c r="FE128" s="2"/>
      <c r="FF128" s="2"/>
      <c r="FG128" s="2"/>
      <c r="FH128" s="2"/>
      <c r="FI128" s="2"/>
      <c r="FJ128" s="2"/>
      <c r="FK128" s="2"/>
      <c r="FL128" s="2"/>
      <c r="FM128" s="2"/>
      <c r="FN128" s="2"/>
      <c r="FO128" s="2"/>
      <c r="FP128" s="2"/>
      <c r="FQ128" s="2"/>
      <c r="FR128" s="2"/>
      <c r="FS128" s="2"/>
      <c r="FT128" s="2"/>
      <c r="FU128" s="2"/>
      <c r="FV128" s="2"/>
      <c r="FW128" s="2"/>
      <c r="FX128" s="2"/>
      <c r="FY128" s="2"/>
      <c r="FZ128" s="2"/>
      <c r="GA128" s="2"/>
      <c r="GB128" s="2"/>
      <c r="GC128" s="2"/>
      <c r="GD128" s="2"/>
      <c r="GE128" s="2"/>
      <c r="GF128" s="2"/>
      <c r="GG128" s="2"/>
      <c r="GH128" s="2"/>
      <c r="GI128" s="2"/>
      <c r="GJ128" s="2"/>
      <c r="GK128" s="2"/>
      <c r="GL128" s="2"/>
      <c r="GM128" s="2"/>
      <c r="GN128" s="2"/>
      <c r="GO128" s="2"/>
      <c r="GP128" s="2"/>
      <c r="GQ128" s="2"/>
      <c r="GR128" s="2"/>
      <c r="GS128" s="2"/>
      <c r="GT128" s="2"/>
      <c r="GU128" s="2"/>
      <c r="GV128" s="2"/>
      <c r="GW128" s="2"/>
      <c r="GX128" s="2"/>
      <c r="GY128" s="2"/>
      <c r="GZ128" s="2"/>
      <c r="HA128" s="2"/>
      <c r="HB128" s="2"/>
      <c r="HC128" s="2"/>
      <c r="HD128" s="2"/>
      <c r="HE128" s="2"/>
      <c r="HF128" s="2"/>
      <c r="HG128" s="2"/>
      <c r="HH128" s="2"/>
      <c r="HI128" s="2"/>
      <c r="HJ128" s="2"/>
      <c r="HK128" s="2"/>
      <c r="HL128" s="2"/>
      <c r="HM128" s="2"/>
      <c r="HN128" s="2"/>
      <c r="HO128" s="2"/>
      <c r="HP128" s="2"/>
      <c r="HQ128" s="2"/>
      <c r="HR128" s="2"/>
      <c r="HS128" s="2"/>
      <c r="HT128" s="2"/>
      <c r="HU128" s="2"/>
      <c r="HV128" s="2"/>
      <c r="HW128" s="2"/>
      <c r="HX128" s="2"/>
      <c r="HY128" s="2"/>
      <c r="HZ128" s="2"/>
      <c r="IA128" s="2"/>
      <c r="IB128" s="2"/>
      <c r="IC128" s="2"/>
      <c r="ID128" s="2"/>
      <c r="IE128" s="2"/>
      <c r="IF128" s="2"/>
      <c r="IG128" s="2"/>
      <c r="IH128" s="2"/>
      <c r="II128" s="2"/>
      <c r="IJ128" s="2"/>
      <c r="IK128" s="2"/>
      <c r="IL128" s="2"/>
      <c r="IM128" s="2"/>
      <c r="IN128" s="2"/>
      <c r="IO128" s="2"/>
      <c r="IP128" s="2"/>
      <c r="IQ128" s="2"/>
      <c r="IR128" s="2"/>
      <c r="IS128" s="2"/>
    </row>
    <row r="129" spans="1:253" s="6" customFormat="1" ht="15.75" customHeight="1" x14ac:dyDescent="0.25">
      <c r="A129" s="1"/>
      <c r="B129" s="30" t="s">
        <v>2406</v>
      </c>
      <c r="C129" s="64">
        <f>'neg or'!D172</f>
        <v>58822</v>
      </c>
      <c r="D129" s="51"/>
      <c r="E129" s="5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  <c r="DP129" s="2"/>
      <c r="DQ129" s="2"/>
      <c r="DR129" s="2"/>
      <c r="DS129" s="2"/>
      <c r="DT129" s="2"/>
      <c r="DU129" s="2"/>
      <c r="DV129" s="2"/>
      <c r="DW129" s="2"/>
      <c r="DX129" s="2"/>
      <c r="DY129" s="2"/>
      <c r="DZ129" s="2"/>
      <c r="EA129" s="2"/>
      <c r="EB129" s="2"/>
      <c r="EC129" s="2"/>
      <c r="ED129" s="2"/>
      <c r="EE129" s="2"/>
      <c r="EF129" s="2"/>
      <c r="EG129" s="2"/>
      <c r="EH129" s="2"/>
      <c r="EI129" s="2"/>
      <c r="EJ129" s="2"/>
      <c r="EK129" s="2"/>
      <c r="EL129" s="2"/>
      <c r="EM129" s="2"/>
      <c r="EN129" s="2"/>
      <c r="EO129" s="2"/>
      <c r="EP129" s="2"/>
      <c r="EQ129" s="2"/>
      <c r="ER129" s="2"/>
      <c r="ES129" s="2"/>
      <c r="ET129" s="2"/>
      <c r="EU129" s="2"/>
      <c r="EV129" s="2"/>
      <c r="EW129" s="2"/>
      <c r="EX129" s="2"/>
      <c r="EY129" s="2"/>
      <c r="EZ129" s="2"/>
      <c r="FA129" s="2"/>
      <c r="FB129" s="2"/>
      <c r="FC129" s="2"/>
      <c r="FD129" s="2"/>
      <c r="FE129" s="2"/>
      <c r="FF129" s="2"/>
      <c r="FG129" s="2"/>
      <c r="FH129" s="2"/>
      <c r="FI129" s="2"/>
      <c r="FJ129" s="2"/>
      <c r="FK129" s="2"/>
      <c r="FL129" s="2"/>
      <c r="FM129" s="2"/>
      <c r="FN129" s="2"/>
      <c r="FO129" s="2"/>
      <c r="FP129" s="2"/>
      <c r="FQ129" s="2"/>
      <c r="FR129" s="2"/>
      <c r="FS129" s="2"/>
      <c r="FT129" s="2"/>
      <c r="FU129" s="2"/>
      <c r="FV129" s="2"/>
      <c r="FW129" s="2"/>
      <c r="FX129" s="2"/>
      <c r="FY129" s="2"/>
      <c r="FZ129" s="2"/>
      <c r="GA129" s="2"/>
      <c r="GB129" s="2"/>
      <c r="GC129" s="2"/>
      <c r="GD129" s="2"/>
      <c r="GE129" s="2"/>
      <c r="GF129" s="2"/>
      <c r="GG129" s="2"/>
      <c r="GH129" s="2"/>
      <c r="GI129" s="2"/>
      <c r="GJ129" s="2"/>
      <c r="GK129" s="2"/>
      <c r="GL129" s="2"/>
      <c r="GM129" s="2"/>
      <c r="GN129" s="2"/>
      <c r="GO129" s="2"/>
      <c r="GP129" s="2"/>
      <c r="GQ129" s="2"/>
      <c r="GR129" s="2"/>
      <c r="GS129" s="2"/>
      <c r="GT129" s="2"/>
      <c r="GU129" s="2"/>
      <c r="GV129" s="2"/>
      <c r="GW129" s="2"/>
      <c r="GX129" s="2"/>
      <c r="GY129" s="2"/>
      <c r="GZ129" s="2"/>
      <c r="HA129" s="2"/>
      <c r="HB129" s="2"/>
      <c r="HC129" s="2"/>
      <c r="HD129" s="2"/>
      <c r="HE129" s="2"/>
      <c r="HF129" s="2"/>
      <c r="HG129" s="2"/>
      <c r="HH129" s="2"/>
      <c r="HI129" s="2"/>
      <c r="HJ129" s="2"/>
      <c r="HK129" s="2"/>
      <c r="HL129" s="2"/>
      <c r="HM129" s="2"/>
      <c r="HN129" s="2"/>
      <c r="HO129" s="2"/>
      <c r="HP129" s="2"/>
      <c r="HQ129" s="2"/>
      <c r="HR129" s="2"/>
      <c r="HS129" s="2"/>
      <c r="HT129" s="2"/>
      <c r="HU129" s="2"/>
      <c r="HV129" s="2"/>
      <c r="HW129" s="2"/>
      <c r="HX129" s="2"/>
      <c r="HY129" s="2"/>
      <c r="HZ129" s="2"/>
      <c r="IA129" s="2"/>
      <c r="IB129" s="2"/>
      <c r="IC129" s="2"/>
      <c r="ID129" s="2"/>
      <c r="IE129" s="2"/>
      <c r="IF129" s="2"/>
      <c r="IG129" s="2"/>
      <c r="IH129" s="2"/>
      <c r="II129" s="2"/>
      <c r="IJ129" s="2"/>
      <c r="IK129" s="2"/>
      <c r="IL129" s="2"/>
      <c r="IM129" s="2"/>
      <c r="IN129" s="2"/>
      <c r="IO129" s="2"/>
      <c r="IP129" s="2"/>
      <c r="IQ129" s="2"/>
      <c r="IR129" s="2"/>
      <c r="IS129" s="2"/>
    </row>
    <row r="130" spans="1:253" s="6" customFormat="1" ht="15.75" customHeight="1" x14ac:dyDescent="0.25">
      <c r="A130" s="1"/>
      <c r="B130" s="30" t="s">
        <v>2272</v>
      </c>
      <c r="C130" s="64">
        <f>'neg or'!D187</f>
        <v>30018</v>
      </c>
      <c r="D130" s="51"/>
      <c r="E130" s="5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  <c r="DP130" s="2"/>
      <c r="DQ130" s="2"/>
      <c r="DR130" s="2"/>
      <c r="DS130" s="2"/>
      <c r="DT130" s="2"/>
      <c r="DU130" s="2"/>
      <c r="DV130" s="2"/>
      <c r="DW130" s="2"/>
      <c r="DX130" s="2"/>
      <c r="DY130" s="2"/>
      <c r="DZ130" s="2"/>
      <c r="EA130" s="2"/>
      <c r="EB130" s="2"/>
      <c r="EC130" s="2"/>
      <c r="ED130" s="2"/>
      <c r="EE130" s="2"/>
      <c r="EF130" s="2"/>
      <c r="EG130" s="2"/>
      <c r="EH130" s="2"/>
      <c r="EI130" s="2"/>
      <c r="EJ130" s="2"/>
      <c r="EK130" s="2"/>
      <c r="EL130" s="2"/>
      <c r="EM130" s="2"/>
      <c r="EN130" s="2"/>
      <c r="EO130" s="2"/>
      <c r="EP130" s="2"/>
      <c r="EQ130" s="2"/>
      <c r="ER130" s="2"/>
      <c r="ES130" s="2"/>
      <c r="ET130" s="2"/>
      <c r="EU130" s="2"/>
      <c r="EV130" s="2"/>
      <c r="EW130" s="2"/>
      <c r="EX130" s="2"/>
      <c r="EY130" s="2"/>
      <c r="EZ130" s="2"/>
      <c r="FA130" s="2"/>
      <c r="FB130" s="2"/>
      <c r="FC130" s="2"/>
      <c r="FD130" s="2"/>
      <c r="FE130" s="2"/>
      <c r="FF130" s="2"/>
      <c r="FG130" s="2"/>
      <c r="FH130" s="2"/>
      <c r="FI130" s="2"/>
      <c r="FJ130" s="2"/>
      <c r="FK130" s="2"/>
      <c r="FL130" s="2"/>
      <c r="FM130" s="2"/>
      <c r="FN130" s="2"/>
      <c r="FO130" s="2"/>
      <c r="FP130" s="2"/>
      <c r="FQ130" s="2"/>
      <c r="FR130" s="2"/>
      <c r="FS130" s="2"/>
      <c r="FT130" s="2"/>
      <c r="FU130" s="2"/>
      <c r="FV130" s="2"/>
      <c r="FW130" s="2"/>
      <c r="FX130" s="2"/>
      <c r="FY130" s="2"/>
      <c r="FZ130" s="2"/>
      <c r="GA130" s="2"/>
      <c r="GB130" s="2"/>
      <c r="GC130" s="2"/>
      <c r="GD130" s="2"/>
      <c r="GE130" s="2"/>
      <c r="GF130" s="2"/>
      <c r="GG130" s="2"/>
      <c r="GH130" s="2"/>
      <c r="GI130" s="2"/>
      <c r="GJ130" s="2"/>
      <c r="GK130" s="2"/>
      <c r="GL130" s="2"/>
      <c r="GM130" s="2"/>
      <c r="GN130" s="2"/>
      <c r="GO130" s="2"/>
      <c r="GP130" s="2"/>
      <c r="GQ130" s="2"/>
      <c r="GR130" s="2"/>
      <c r="GS130" s="2"/>
      <c r="GT130" s="2"/>
      <c r="GU130" s="2"/>
      <c r="GV130" s="2"/>
      <c r="GW130" s="2"/>
      <c r="GX130" s="2"/>
      <c r="GY130" s="2"/>
      <c r="GZ130" s="2"/>
      <c r="HA130" s="2"/>
      <c r="HB130" s="2"/>
      <c r="HC130" s="2"/>
      <c r="HD130" s="2"/>
      <c r="HE130" s="2"/>
      <c r="HF130" s="2"/>
      <c r="HG130" s="2"/>
      <c r="HH130" s="2"/>
      <c r="HI130" s="2"/>
      <c r="HJ130" s="2"/>
      <c r="HK130" s="2"/>
      <c r="HL130" s="2"/>
      <c r="HM130" s="2"/>
      <c r="HN130" s="2"/>
      <c r="HO130" s="2"/>
      <c r="HP130" s="2"/>
      <c r="HQ130" s="2"/>
      <c r="HR130" s="2"/>
      <c r="HS130" s="2"/>
      <c r="HT130" s="2"/>
      <c r="HU130" s="2"/>
      <c r="HV130" s="2"/>
      <c r="HW130" s="2"/>
      <c r="HX130" s="2"/>
      <c r="HY130" s="2"/>
      <c r="HZ130" s="2"/>
      <c r="IA130" s="2"/>
      <c r="IB130" s="2"/>
      <c r="IC130" s="2"/>
      <c r="ID130" s="2"/>
      <c r="IE130" s="2"/>
      <c r="IF130" s="2"/>
      <c r="IG130" s="2"/>
      <c r="IH130" s="2"/>
      <c r="II130" s="2"/>
      <c r="IJ130" s="2"/>
      <c r="IK130" s="2"/>
      <c r="IL130" s="2"/>
      <c r="IM130" s="2"/>
      <c r="IN130" s="2"/>
      <c r="IO130" s="2"/>
      <c r="IP130" s="2"/>
      <c r="IQ130" s="2"/>
      <c r="IR130" s="2"/>
      <c r="IS130" s="2"/>
    </row>
    <row r="131" spans="1:253" s="6" customFormat="1" ht="15.75" customHeight="1" x14ac:dyDescent="0.25">
      <c r="A131" s="1"/>
      <c r="B131" s="30" t="s">
        <v>2407</v>
      </c>
      <c r="C131" s="64">
        <f>'neg or'!D212</f>
        <v>134103</v>
      </c>
      <c r="D131" s="51"/>
      <c r="E131" s="5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  <c r="DP131" s="2"/>
      <c r="DQ131" s="2"/>
      <c r="DR131" s="2"/>
      <c r="DS131" s="2"/>
      <c r="DT131" s="2"/>
      <c r="DU131" s="2"/>
      <c r="DV131" s="2"/>
      <c r="DW131" s="2"/>
      <c r="DX131" s="2"/>
      <c r="DY131" s="2"/>
      <c r="DZ131" s="2"/>
      <c r="EA131" s="2"/>
      <c r="EB131" s="2"/>
      <c r="EC131" s="2"/>
      <c r="ED131" s="2"/>
      <c r="EE131" s="2"/>
      <c r="EF131" s="2"/>
      <c r="EG131" s="2"/>
      <c r="EH131" s="2"/>
      <c r="EI131" s="2"/>
      <c r="EJ131" s="2"/>
      <c r="EK131" s="2"/>
      <c r="EL131" s="2"/>
      <c r="EM131" s="2"/>
      <c r="EN131" s="2"/>
      <c r="EO131" s="2"/>
      <c r="EP131" s="2"/>
      <c r="EQ131" s="2"/>
      <c r="ER131" s="2"/>
      <c r="ES131" s="2"/>
      <c r="ET131" s="2"/>
      <c r="EU131" s="2"/>
      <c r="EV131" s="2"/>
      <c r="EW131" s="2"/>
      <c r="EX131" s="2"/>
      <c r="EY131" s="2"/>
      <c r="EZ131" s="2"/>
      <c r="FA131" s="2"/>
      <c r="FB131" s="2"/>
      <c r="FC131" s="2"/>
      <c r="FD131" s="2"/>
      <c r="FE131" s="2"/>
      <c r="FF131" s="2"/>
      <c r="FG131" s="2"/>
      <c r="FH131" s="2"/>
      <c r="FI131" s="2"/>
      <c r="FJ131" s="2"/>
      <c r="FK131" s="2"/>
      <c r="FL131" s="2"/>
      <c r="FM131" s="2"/>
      <c r="FN131" s="2"/>
      <c r="FO131" s="2"/>
      <c r="FP131" s="2"/>
      <c r="FQ131" s="2"/>
      <c r="FR131" s="2"/>
      <c r="FS131" s="2"/>
      <c r="FT131" s="2"/>
      <c r="FU131" s="2"/>
      <c r="FV131" s="2"/>
      <c r="FW131" s="2"/>
      <c r="FX131" s="2"/>
      <c r="FY131" s="2"/>
      <c r="FZ131" s="2"/>
      <c r="GA131" s="2"/>
      <c r="GB131" s="2"/>
      <c r="GC131" s="2"/>
      <c r="GD131" s="2"/>
      <c r="GE131" s="2"/>
      <c r="GF131" s="2"/>
      <c r="GG131" s="2"/>
      <c r="GH131" s="2"/>
      <c r="GI131" s="2"/>
      <c r="GJ131" s="2"/>
      <c r="GK131" s="2"/>
      <c r="GL131" s="2"/>
      <c r="GM131" s="2"/>
      <c r="GN131" s="2"/>
      <c r="GO131" s="2"/>
      <c r="GP131" s="2"/>
      <c r="GQ131" s="2"/>
      <c r="GR131" s="2"/>
      <c r="GS131" s="2"/>
      <c r="GT131" s="2"/>
      <c r="GU131" s="2"/>
      <c r="GV131" s="2"/>
      <c r="GW131" s="2"/>
      <c r="GX131" s="2"/>
      <c r="GY131" s="2"/>
      <c r="GZ131" s="2"/>
      <c r="HA131" s="2"/>
      <c r="HB131" s="2"/>
      <c r="HC131" s="2"/>
      <c r="HD131" s="2"/>
      <c r="HE131" s="2"/>
      <c r="HF131" s="2"/>
      <c r="HG131" s="2"/>
      <c r="HH131" s="2"/>
      <c r="HI131" s="2"/>
      <c r="HJ131" s="2"/>
      <c r="HK131" s="2"/>
      <c r="HL131" s="2"/>
      <c r="HM131" s="2"/>
      <c r="HN131" s="2"/>
      <c r="HO131" s="2"/>
      <c r="HP131" s="2"/>
      <c r="HQ131" s="2"/>
      <c r="HR131" s="2"/>
      <c r="HS131" s="2"/>
      <c r="HT131" s="2"/>
      <c r="HU131" s="2"/>
      <c r="HV131" s="2"/>
      <c r="HW131" s="2"/>
      <c r="HX131" s="2"/>
      <c r="HY131" s="2"/>
      <c r="HZ131" s="2"/>
      <c r="IA131" s="2"/>
      <c r="IB131" s="2"/>
      <c r="IC131" s="2"/>
      <c r="ID131" s="2"/>
      <c r="IE131" s="2"/>
      <c r="IF131" s="2"/>
      <c r="IG131" s="2"/>
      <c r="IH131" s="2"/>
      <c r="II131" s="2"/>
      <c r="IJ131" s="2"/>
      <c r="IK131" s="2"/>
      <c r="IL131" s="2"/>
      <c r="IM131" s="2"/>
      <c r="IN131" s="2"/>
      <c r="IO131" s="2"/>
      <c r="IP131" s="2"/>
      <c r="IQ131" s="2"/>
      <c r="IR131" s="2"/>
      <c r="IS131" s="2"/>
    </row>
    <row r="132" spans="1:253" s="6" customFormat="1" ht="15.75" customHeight="1" x14ac:dyDescent="0.25">
      <c r="A132" s="1"/>
      <c r="B132" s="30" t="s">
        <v>2232</v>
      </c>
      <c r="C132" s="64">
        <f>'neg or'!D244</f>
        <v>102656</v>
      </c>
      <c r="D132" s="51"/>
      <c r="E132" s="5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  <c r="DP132" s="2"/>
      <c r="DQ132" s="2"/>
      <c r="DR132" s="2"/>
      <c r="DS132" s="2"/>
      <c r="DT132" s="2"/>
      <c r="DU132" s="2"/>
      <c r="DV132" s="2"/>
      <c r="DW132" s="2"/>
      <c r="DX132" s="2"/>
      <c r="DY132" s="2"/>
      <c r="DZ132" s="2"/>
      <c r="EA132" s="2"/>
      <c r="EB132" s="2"/>
      <c r="EC132" s="2"/>
      <c r="ED132" s="2"/>
      <c r="EE132" s="2"/>
      <c r="EF132" s="2"/>
      <c r="EG132" s="2"/>
      <c r="EH132" s="2"/>
      <c r="EI132" s="2"/>
      <c r="EJ132" s="2"/>
      <c r="EK132" s="2"/>
      <c r="EL132" s="2"/>
      <c r="EM132" s="2"/>
      <c r="EN132" s="2"/>
      <c r="EO132" s="2"/>
      <c r="EP132" s="2"/>
      <c r="EQ132" s="2"/>
      <c r="ER132" s="2"/>
      <c r="ES132" s="2"/>
      <c r="ET132" s="2"/>
      <c r="EU132" s="2"/>
      <c r="EV132" s="2"/>
      <c r="EW132" s="2"/>
      <c r="EX132" s="2"/>
      <c r="EY132" s="2"/>
      <c r="EZ132" s="2"/>
      <c r="FA132" s="2"/>
      <c r="FB132" s="2"/>
      <c r="FC132" s="2"/>
      <c r="FD132" s="2"/>
      <c r="FE132" s="2"/>
      <c r="FF132" s="2"/>
      <c r="FG132" s="2"/>
      <c r="FH132" s="2"/>
      <c r="FI132" s="2"/>
      <c r="FJ132" s="2"/>
      <c r="FK132" s="2"/>
      <c r="FL132" s="2"/>
      <c r="FM132" s="2"/>
      <c r="FN132" s="2"/>
      <c r="FO132" s="2"/>
      <c r="FP132" s="2"/>
      <c r="FQ132" s="2"/>
      <c r="FR132" s="2"/>
      <c r="FS132" s="2"/>
      <c r="FT132" s="2"/>
      <c r="FU132" s="2"/>
      <c r="FV132" s="2"/>
      <c r="FW132" s="2"/>
      <c r="FX132" s="2"/>
      <c r="FY132" s="2"/>
      <c r="FZ132" s="2"/>
      <c r="GA132" s="2"/>
      <c r="GB132" s="2"/>
      <c r="GC132" s="2"/>
      <c r="GD132" s="2"/>
      <c r="GE132" s="2"/>
      <c r="GF132" s="2"/>
      <c r="GG132" s="2"/>
      <c r="GH132" s="2"/>
      <c r="GI132" s="2"/>
      <c r="GJ132" s="2"/>
      <c r="GK132" s="2"/>
      <c r="GL132" s="2"/>
      <c r="GM132" s="2"/>
      <c r="GN132" s="2"/>
      <c r="GO132" s="2"/>
      <c r="GP132" s="2"/>
      <c r="GQ132" s="2"/>
      <c r="GR132" s="2"/>
      <c r="GS132" s="2"/>
      <c r="GT132" s="2"/>
      <c r="GU132" s="2"/>
      <c r="GV132" s="2"/>
      <c r="GW132" s="2"/>
      <c r="GX132" s="2"/>
      <c r="GY132" s="2"/>
      <c r="GZ132" s="2"/>
      <c r="HA132" s="2"/>
      <c r="HB132" s="2"/>
      <c r="HC132" s="2"/>
      <c r="HD132" s="2"/>
      <c r="HE132" s="2"/>
      <c r="HF132" s="2"/>
      <c r="HG132" s="2"/>
      <c r="HH132" s="2"/>
      <c r="HI132" s="2"/>
      <c r="HJ132" s="2"/>
      <c r="HK132" s="2"/>
      <c r="HL132" s="2"/>
      <c r="HM132" s="2"/>
      <c r="HN132" s="2"/>
      <c r="HO132" s="2"/>
      <c r="HP132" s="2"/>
      <c r="HQ132" s="2"/>
      <c r="HR132" s="2"/>
      <c r="HS132" s="2"/>
      <c r="HT132" s="2"/>
      <c r="HU132" s="2"/>
      <c r="HV132" s="2"/>
      <c r="HW132" s="2"/>
      <c r="HX132" s="2"/>
      <c r="HY132" s="2"/>
      <c r="HZ132" s="2"/>
      <c r="IA132" s="2"/>
      <c r="IB132" s="2"/>
      <c r="IC132" s="2"/>
      <c r="ID132" s="2"/>
      <c r="IE132" s="2"/>
      <c r="IF132" s="2"/>
      <c r="IG132" s="2"/>
      <c r="IH132" s="2"/>
      <c r="II132" s="2"/>
      <c r="IJ132" s="2"/>
      <c r="IK132" s="2"/>
      <c r="IL132" s="2"/>
      <c r="IM132" s="2"/>
      <c r="IN132" s="2"/>
      <c r="IO132" s="2"/>
      <c r="IP132" s="2"/>
      <c r="IQ132" s="2"/>
      <c r="IR132" s="2"/>
      <c r="IS132" s="2"/>
    </row>
    <row r="133" spans="1:253" s="6" customFormat="1" ht="15.75" customHeight="1" x14ac:dyDescent="0.25">
      <c r="A133" s="1"/>
      <c r="B133" s="30" t="s">
        <v>2208</v>
      </c>
      <c r="C133" s="64">
        <f>'neg or'!D279</f>
        <v>32256</v>
      </c>
      <c r="D133" s="51"/>
      <c r="E133" s="5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  <c r="DP133" s="2"/>
      <c r="DQ133" s="2"/>
      <c r="DR133" s="2"/>
      <c r="DS133" s="2"/>
      <c r="DT133" s="2"/>
      <c r="DU133" s="2"/>
      <c r="DV133" s="2"/>
      <c r="DW133" s="2"/>
      <c r="DX133" s="2"/>
      <c r="DY133" s="2"/>
      <c r="DZ133" s="2"/>
      <c r="EA133" s="2"/>
      <c r="EB133" s="2"/>
      <c r="EC133" s="2"/>
      <c r="ED133" s="2"/>
      <c r="EE133" s="2"/>
      <c r="EF133" s="2"/>
      <c r="EG133" s="2"/>
      <c r="EH133" s="2"/>
      <c r="EI133" s="2"/>
      <c r="EJ133" s="2"/>
      <c r="EK133" s="2"/>
      <c r="EL133" s="2"/>
      <c r="EM133" s="2"/>
      <c r="EN133" s="2"/>
      <c r="EO133" s="2"/>
      <c r="EP133" s="2"/>
      <c r="EQ133" s="2"/>
      <c r="ER133" s="2"/>
      <c r="ES133" s="2"/>
      <c r="ET133" s="2"/>
      <c r="EU133" s="2"/>
      <c r="EV133" s="2"/>
      <c r="EW133" s="2"/>
      <c r="EX133" s="2"/>
      <c r="EY133" s="2"/>
      <c r="EZ133" s="2"/>
      <c r="FA133" s="2"/>
      <c r="FB133" s="2"/>
      <c r="FC133" s="2"/>
      <c r="FD133" s="2"/>
      <c r="FE133" s="2"/>
      <c r="FF133" s="2"/>
      <c r="FG133" s="2"/>
      <c r="FH133" s="2"/>
      <c r="FI133" s="2"/>
      <c r="FJ133" s="2"/>
      <c r="FK133" s="2"/>
      <c r="FL133" s="2"/>
      <c r="FM133" s="2"/>
      <c r="FN133" s="2"/>
      <c r="FO133" s="2"/>
      <c r="FP133" s="2"/>
      <c r="FQ133" s="2"/>
      <c r="FR133" s="2"/>
      <c r="FS133" s="2"/>
      <c r="FT133" s="2"/>
      <c r="FU133" s="2"/>
      <c r="FV133" s="2"/>
      <c r="FW133" s="2"/>
      <c r="FX133" s="2"/>
      <c r="FY133" s="2"/>
      <c r="FZ133" s="2"/>
      <c r="GA133" s="2"/>
      <c r="GB133" s="2"/>
      <c r="GC133" s="2"/>
      <c r="GD133" s="2"/>
      <c r="GE133" s="2"/>
      <c r="GF133" s="2"/>
      <c r="GG133" s="2"/>
      <c r="GH133" s="2"/>
      <c r="GI133" s="2"/>
      <c r="GJ133" s="2"/>
      <c r="GK133" s="2"/>
      <c r="GL133" s="2"/>
      <c r="GM133" s="2"/>
      <c r="GN133" s="2"/>
      <c r="GO133" s="2"/>
      <c r="GP133" s="2"/>
      <c r="GQ133" s="2"/>
      <c r="GR133" s="2"/>
      <c r="GS133" s="2"/>
      <c r="GT133" s="2"/>
      <c r="GU133" s="2"/>
      <c r="GV133" s="2"/>
      <c r="GW133" s="2"/>
      <c r="GX133" s="2"/>
      <c r="GY133" s="2"/>
      <c r="GZ133" s="2"/>
      <c r="HA133" s="2"/>
      <c r="HB133" s="2"/>
      <c r="HC133" s="2"/>
      <c r="HD133" s="2"/>
      <c r="HE133" s="2"/>
      <c r="HF133" s="2"/>
      <c r="HG133" s="2"/>
      <c r="HH133" s="2"/>
      <c r="HI133" s="2"/>
      <c r="HJ133" s="2"/>
      <c r="HK133" s="2"/>
      <c r="HL133" s="2"/>
      <c r="HM133" s="2"/>
      <c r="HN133" s="2"/>
      <c r="HO133" s="2"/>
      <c r="HP133" s="2"/>
      <c r="HQ133" s="2"/>
      <c r="HR133" s="2"/>
      <c r="HS133" s="2"/>
      <c r="HT133" s="2"/>
      <c r="HU133" s="2"/>
      <c r="HV133" s="2"/>
      <c r="HW133" s="2"/>
      <c r="HX133" s="2"/>
      <c r="HY133" s="2"/>
      <c r="HZ133" s="2"/>
      <c r="IA133" s="2"/>
      <c r="IB133" s="2"/>
      <c r="IC133" s="2"/>
      <c r="ID133" s="2"/>
      <c r="IE133" s="2"/>
      <c r="IF133" s="2"/>
      <c r="IG133" s="2"/>
      <c r="IH133" s="2"/>
      <c r="II133" s="2"/>
      <c r="IJ133" s="2"/>
      <c r="IK133" s="2"/>
      <c r="IL133" s="2"/>
      <c r="IM133" s="2"/>
      <c r="IN133" s="2"/>
      <c r="IO133" s="2"/>
      <c r="IP133" s="2"/>
      <c r="IQ133" s="2"/>
      <c r="IR133" s="2"/>
      <c r="IS133" s="2"/>
    </row>
    <row r="134" spans="1:253" s="6" customFormat="1" ht="15.75" customHeight="1" x14ac:dyDescent="0.25">
      <c r="A134" s="1"/>
      <c r="B134" s="30" t="s">
        <v>2188</v>
      </c>
      <c r="C134" s="64">
        <f>'neg or'!D309</f>
        <v>41089</v>
      </c>
      <c r="D134" s="51"/>
      <c r="E134" s="5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  <c r="DP134" s="2"/>
      <c r="DQ134" s="2"/>
      <c r="DR134" s="2"/>
      <c r="DS134" s="2"/>
      <c r="DT134" s="2"/>
      <c r="DU134" s="2"/>
      <c r="DV134" s="2"/>
      <c r="DW134" s="2"/>
      <c r="DX134" s="2"/>
      <c r="DY134" s="2"/>
      <c r="DZ134" s="2"/>
      <c r="EA134" s="2"/>
      <c r="EB134" s="2"/>
      <c r="EC134" s="2"/>
      <c r="ED134" s="2"/>
      <c r="EE134" s="2"/>
      <c r="EF134" s="2"/>
      <c r="EG134" s="2"/>
      <c r="EH134" s="2"/>
      <c r="EI134" s="2"/>
      <c r="EJ134" s="2"/>
      <c r="EK134" s="2"/>
      <c r="EL134" s="2"/>
      <c r="EM134" s="2"/>
      <c r="EN134" s="2"/>
      <c r="EO134" s="2"/>
      <c r="EP134" s="2"/>
      <c r="EQ134" s="2"/>
      <c r="ER134" s="2"/>
      <c r="ES134" s="2"/>
      <c r="ET134" s="2"/>
      <c r="EU134" s="2"/>
      <c r="EV134" s="2"/>
      <c r="EW134" s="2"/>
      <c r="EX134" s="2"/>
      <c r="EY134" s="2"/>
      <c r="EZ134" s="2"/>
      <c r="FA134" s="2"/>
      <c r="FB134" s="2"/>
      <c r="FC134" s="2"/>
      <c r="FD134" s="2"/>
      <c r="FE134" s="2"/>
      <c r="FF134" s="2"/>
      <c r="FG134" s="2"/>
      <c r="FH134" s="2"/>
      <c r="FI134" s="2"/>
      <c r="FJ134" s="2"/>
      <c r="FK134" s="2"/>
      <c r="FL134" s="2"/>
      <c r="FM134" s="2"/>
      <c r="FN134" s="2"/>
      <c r="FO134" s="2"/>
      <c r="FP134" s="2"/>
      <c r="FQ134" s="2"/>
      <c r="FR134" s="2"/>
      <c r="FS134" s="2"/>
      <c r="FT134" s="2"/>
      <c r="FU134" s="2"/>
      <c r="FV134" s="2"/>
      <c r="FW134" s="2"/>
      <c r="FX134" s="2"/>
      <c r="FY134" s="2"/>
      <c r="FZ134" s="2"/>
      <c r="GA134" s="2"/>
      <c r="GB134" s="2"/>
      <c r="GC134" s="2"/>
      <c r="GD134" s="2"/>
      <c r="GE134" s="2"/>
      <c r="GF134" s="2"/>
      <c r="GG134" s="2"/>
      <c r="GH134" s="2"/>
      <c r="GI134" s="2"/>
      <c r="GJ134" s="2"/>
      <c r="GK134" s="2"/>
      <c r="GL134" s="2"/>
      <c r="GM134" s="2"/>
      <c r="GN134" s="2"/>
      <c r="GO134" s="2"/>
      <c r="GP134" s="2"/>
      <c r="GQ134" s="2"/>
      <c r="GR134" s="2"/>
      <c r="GS134" s="2"/>
      <c r="GT134" s="2"/>
      <c r="GU134" s="2"/>
      <c r="GV134" s="2"/>
      <c r="GW134" s="2"/>
      <c r="GX134" s="2"/>
      <c r="GY134" s="2"/>
      <c r="GZ134" s="2"/>
      <c r="HA134" s="2"/>
      <c r="HB134" s="2"/>
      <c r="HC134" s="2"/>
      <c r="HD134" s="2"/>
      <c r="HE134" s="2"/>
      <c r="HF134" s="2"/>
      <c r="HG134" s="2"/>
      <c r="HH134" s="2"/>
      <c r="HI134" s="2"/>
      <c r="HJ134" s="2"/>
      <c r="HK134" s="2"/>
      <c r="HL134" s="2"/>
      <c r="HM134" s="2"/>
      <c r="HN134" s="2"/>
      <c r="HO134" s="2"/>
      <c r="HP134" s="2"/>
      <c r="HQ134" s="2"/>
      <c r="HR134" s="2"/>
      <c r="HS134" s="2"/>
      <c r="HT134" s="2"/>
      <c r="HU134" s="2"/>
      <c r="HV134" s="2"/>
      <c r="HW134" s="2"/>
      <c r="HX134" s="2"/>
      <c r="HY134" s="2"/>
      <c r="HZ134" s="2"/>
      <c r="IA134" s="2"/>
      <c r="IB134" s="2"/>
      <c r="IC134" s="2"/>
      <c r="ID134" s="2"/>
      <c r="IE134" s="2"/>
      <c r="IF134" s="2"/>
      <c r="IG134" s="2"/>
      <c r="IH134" s="2"/>
      <c r="II134" s="2"/>
      <c r="IJ134" s="2"/>
      <c r="IK134" s="2"/>
      <c r="IL134" s="2"/>
      <c r="IM134" s="2"/>
      <c r="IN134" s="2"/>
      <c r="IO134" s="2"/>
      <c r="IP134" s="2"/>
      <c r="IQ134" s="2"/>
      <c r="IR134" s="2"/>
      <c r="IS134" s="2"/>
    </row>
    <row r="135" spans="1:253" s="6" customFormat="1" ht="15.75" customHeight="1" x14ac:dyDescent="0.25">
      <c r="A135" s="1"/>
      <c r="B135" s="30" t="s">
        <v>2164</v>
      </c>
      <c r="C135" s="64">
        <f>'neg or'!D340</f>
        <v>82953</v>
      </c>
      <c r="D135" s="51"/>
      <c r="E135" s="5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  <c r="DP135" s="2"/>
      <c r="DQ135" s="2"/>
      <c r="DR135" s="2"/>
      <c r="DS135" s="2"/>
      <c r="DT135" s="2"/>
      <c r="DU135" s="2"/>
      <c r="DV135" s="2"/>
      <c r="DW135" s="2"/>
      <c r="DX135" s="2"/>
      <c r="DY135" s="2"/>
      <c r="DZ135" s="2"/>
      <c r="EA135" s="2"/>
      <c r="EB135" s="2"/>
      <c r="EC135" s="2"/>
      <c r="ED135" s="2"/>
      <c r="EE135" s="2"/>
      <c r="EF135" s="2"/>
      <c r="EG135" s="2"/>
      <c r="EH135" s="2"/>
      <c r="EI135" s="2"/>
      <c r="EJ135" s="2"/>
      <c r="EK135" s="2"/>
      <c r="EL135" s="2"/>
      <c r="EM135" s="2"/>
      <c r="EN135" s="2"/>
      <c r="EO135" s="2"/>
      <c r="EP135" s="2"/>
      <c r="EQ135" s="2"/>
      <c r="ER135" s="2"/>
      <c r="ES135" s="2"/>
      <c r="ET135" s="2"/>
      <c r="EU135" s="2"/>
      <c r="EV135" s="2"/>
      <c r="EW135" s="2"/>
      <c r="EX135" s="2"/>
      <c r="EY135" s="2"/>
      <c r="EZ135" s="2"/>
      <c r="FA135" s="2"/>
      <c r="FB135" s="2"/>
      <c r="FC135" s="2"/>
      <c r="FD135" s="2"/>
      <c r="FE135" s="2"/>
      <c r="FF135" s="2"/>
      <c r="FG135" s="2"/>
      <c r="FH135" s="2"/>
      <c r="FI135" s="2"/>
      <c r="FJ135" s="2"/>
      <c r="FK135" s="2"/>
      <c r="FL135" s="2"/>
      <c r="FM135" s="2"/>
      <c r="FN135" s="2"/>
      <c r="FO135" s="2"/>
      <c r="FP135" s="2"/>
      <c r="FQ135" s="2"/>
      <c r="FR135" s="2"/>
      <c r="FS135" s="2"/>
      <c r="FT135" s="2"/>
      <c r="FU135" s="2"/>
      <c r="FV135" s="2"/>
      <c r="FW135" s="2"/>
      <c r="FX135" s="2"/>
      <c r="FY135" s="2"/>
      <c r="FZ135" s="2"/>
      <c r="GA135" s="2"/>
      <c r="GB135" s="2"/>
      <c r="GC135" s="2"/>
      <c r="GD135" s="2"/>
      <c r="GE135" s="2"/>
      <c r="GF135" s="2"/>
      <c r="GG135" s="2"/>
      <c r="GH135" s="2"/>
      <c r="GI135" s="2"/>
      <c r="GJ135" s="2"/>
      <c r="GK135" s="2"/>
      <c r="GL135" s="2"/>
      <c r="GM135" s="2"/>
      <c r="GN135" s="2"/>
      <c r="GO135" s="2"/>
      <c r="GP135" s="2"/>
      <c r="GQ135" s="2"/>
      <c r="GR135" s="2"/>
      <c r="GS135" s="2"/>
      <c r="GT135" s="2"/>
      <c r="GU135" s="2"/>
      <c r="GV135" s="2"/>
      <c r="GW135" s="2"/>
      <c r="GX135" s="2"/>
      <c r="GY135" s="2"/>
      <c r="GZ135" s="2"/>
      <c r="HA135" s="2"/>
      <c r="HB135" s="2"/>
      <c r="HC135" s="2"/>
      <c r="HD135" s="2"/>
      <c r="HE135" s="2"/>
      <c r="HF135" s="2"/>
      <c r="HG135" s="2"/>
      <c r="HH135" s="2"/>
      <c r="HI135" s="2"/>
      <c r="HJ135" s="2"/>
      <c r="HK135" s="2"/>
      <c r="HL135" s="2"/>
      <c r="HM135" s="2"/>
      <c r="HN135" s="2"/>
      <c r="HO135" s="2"/>
      <c r="HP135" s="2"/>
      <c r="HQ135" s="2"/>
      <c r="HR135" s="2"/>
      <c r="HS135" s="2"/>
      <c r="HT135" s="2"/>
      <c r="HU135" s="2"/>
      <c r="HV135" s="2"/>
      <c r="HW135" s="2"/>
      <c r="HX135" s="2"/>
      <c r="HY135" s="2"/>
      <c r="HZ135" s="2"/>
      <c r="IA135" s="2"/>
      <c r="IB135" s="2"/>
      <c r="IC135" s="2"/>
      <c r="ID135" s="2"/>
      <c r="IE135" s="2"/>
      <c r="IF135" s="2"/>
      <c r="IG135" s="2"/>
      <c r="IH135" s="2"/>
      <c r="II135" s="2"/>
      <c r="IJ135" s="2"/>
      <c r="IK135" s="2"/>
      <c r="IL135" s="2"/>
      <c r="IM135" s="2"/>
      <c r="IN135" s="2"/>
      <c r="IO135" s="2"/>
      <c r="IP135" s="2"/>
      <c r="IQ135" s="2"/>
      <c r="IR135" s="2"/>
      <c r="IS135" s="2"/>
    </row>
    <row r="136" spans="1:253" s="6" customFormat="1" ht="15.75" customHeight="1" x14ac:dyDescent="0.25">
      <c r="A136" s="1"/>
      <c r="B136" s="30" t="s">
        <v>2138</v>
      </c>
      <c r="C136" s="64">
        <f>'neg or'!D374</f>
        <v>44799</v>
      </c>
      <c r="D136" s="51"/>
      <c r="E136" s="5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  <c r="DP136" s="2"/>
      <c r="DQ136" s="2"/>
      <c r="DR136" s="2"/>
      <c r="DS136" s="2"/>
      <c r="DT136" s="2"/>
      <c r="DU136" s="2"/>
      <c r="DV136" s="2"/>
      <c r="DW136" s="2"/>
      <c r="DX136" s="2"/>
      <c r="DY136" s="2"/>
      <c r="DZ136" s="2"/>
      <c r="EA136" s="2"/>
      <c r="EB136" s="2"/>
      <c r="EC136" s="2"/>
      <c r="ED136" s="2"/>
      <c r="EE136" s="2"/>
      <c r="EF136" s="2"/>
      <c r="EG136" s="2"/>
      <c r="EH136" s="2"/>
      <c r="EI136" s="2"/>
      <c r="EJ136" s="2"/>
      <c r="EK136" s="2"/>
      <c r="EL136" s="2"/>
      <c r="EM136" s="2"/>
      <c r="EN136" s="2"/>
      <c r="EO136" s="2"/>
      <c r="EP136" s="2"/>
      <c r="EQ136" s="2"/>
      <c r="ER136" s="2"/>
      <c r="ES136" s="2"/>
      <c r="ET136" s="2"/>
      <c r="EU136" s="2"/>
      <c r="EV136" s="2"/>
      <c r="EW136" s="2"/>
      <c r="EX136" s="2"/>
      <c r="EY136" s="2"/>
      <c r="EZ136" s="2"/>
      <c r="FA136" s="2"/>
      <c r="FB136" s="2"/>
      <c r="FC136" s="2"/>
      <c r="FD136" s="2"/>
      <c r="FE136" s="2"/>
      <c r="FF136" s="2"/>
      <c r="FG136" s="2"/>
      <c r="FH136" s="2"/>
      <c r="FI136" s="2"/>
      <c r="FJ136" s="2"/>
      <c r="FK136" s="2"/>
      <c r="FL136" s="2"/>
      <c r="FM136" s="2"/>
      <c r="FN136" s="2"/>
      <c r="FO136" s="2"/>
      <c r="FP136" s="2"/>
      <c r="FQ136" s="2"/>
      <c r="FR136" s="2"/>
      <c r="FS136" s="2"/>
      <c r="FT136" s="2"/>
      <c r="FU136" s="2"/>
      <c r="FV136" s="2"/>
      <c r="FW136" s="2"/>
      <c r="FX136" s="2"/>
      <c r="FY136" s="2"/>
      <c r="FZ136" s="2"/>
      <c r="GA136" s="2"/>
      <c r="GB136" s="2"/>
      <c r="GC136" s="2"/>
      <c r="GD136" s="2"/>
      <c r="GE136" s="2"/>
      <c r="GF136" s="2"/>
      <c r="GG136" s="2"/>
      <c r="GH136" s="2"/>
      <c r="GI136" s="2"/>
      <c r="GJ136" s="2"/>
      <c r="GK136" s="2"/>
      <c r="GL136" s="2"/>
      <c r="GM136" s="2"/>
      <c r="GN136" s="2"/>
      <c r="GO136" s="2"/>
      <c r="GP136" s="2"/>
      <c r="GQ136" s="2"/>
      <c r="GR136" s="2"/>
      <c r="GS136" s="2"/>
      <c r="GT136" s="2"/>
      <c r="GU136" s="2"/>
      <c r="GV136" s="2"/>
      <c r="GW136" s="2"/>
      <c r="GX136" s="2"/>
      <c r="GY136" s="2"/>
      <c r="GZ136" s="2"/>
      <c r="HA136" s="2"/>
      <c r="HB136" s="2"/>
      <c r="HC136" s="2"/>
      <c r="HD136" s="2"/>
      <c r="HE136" s="2"/>
      <c r="HF136" s="2"/>
      <c r="HG136" s="2"/>
      <c r="HH136" s="2"/>
      <c r="HI136" s="2"/>
      <c r="HJ136" s="2"/>
      <c r="HK136" s="2"/>
      <c r="HL136" s="2"/>
      <c r="HM136" s="2"/>
      <c r="HN136" s="2"/>
      <c r="HO136" s="2"/>
      <c r="HP136" s="2"/>
      <c r="HQ136" s="2"/>
      <c r="HR136" s="2"/>
      <c r="HS136" s="2"/>
      <c r="HT136" s="2"/>
      <c r="HU136" s="2"/>
      <c r="HV136" s="2"/>
      <c r="HW136" s="2"/>
      <c r="HX136" s="2"/>
      <c r="HY136" s="2"/>
      <c r="HZ136" s="2"/>
      <c r="IA136" s="2"/>
      <c r="IB136" s="2"/>
      <c r="IC136" s="2"/>
      <c r="ID136" s="2"/>
      <c r="IE136" s="2"/>
      <c r="IF136" s="2"/>
      <c r="IG136" s="2"/>
      <c r="IH136" s="2"/>
      <c r="II136" s="2"/>
      <c r="IJ136" s="2"/>
      <c r="IK136" s="2"/>
      <c r="IL136" s="2"/>
      <c r="IM136" s="2"/>
      <c r="IN136" s="2"/>
      <c r="IO136" s="2"/>
      <c r="IP136" s="2"/>
      <c r="IQ136" s="2"/>
      <c r="IR136" s="2"/>
      <c r="IS136" s="2"/>
    </row>
    <row r="137" spans="1:253" s="6" customFormat="1" ht="15.75" customHeight="1" x14ac:dyDescent="0.25">
      <c r="A137" s="1"/>
      <c r="B137" s="30" t="s">
        <v>2124</v>
      </c>
      <c r="C137" s="64">
        <f>'neg or'!D403</f>
        <v>39805</v>
      </c>
      <c r="D137" s="51"/>
      <c r="E137" s="5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  <c r="DP137" s="2"/>
      <c r="DQ137" s="2"/>
      <c r="DR137" s="2"/>
      <c r="DS137" s="2"/>
      <c r="DT137" s="2"/>
      <c r="DU137" s="2"/>
      <c r="DV137" s="2"/>
      <c r="DW137" s="2"/>
      <c r="DX137" s="2"/>
      <c r="DY137" s="2"/>
      <c r="DZ137" s="2"/>
      <c r="EA137" s="2"/>
      <c r="EB137" s="2"/>
      <c r="EC137" s="2"/>
      <c r="ED137" s="2"/>
      <c r="EE137" s="2"/>
      <c r="EF137" s="2"/>
      <c r="EG137" s="2"/>
      <c r="EH137" s="2"/>
      <c r="EI137" s="2"/>
      <c r="EJ137" s="2"/>
      <c r="EK137" s="2"/>
      <c r="EL137" s="2"/>
      <c r="EM137" s="2"/>
      <c r="EN137" s="2"/>
      <c r="EO137" s="2"/>
      <c r="EP137" s="2"/>
      <c r="EQ137" s="2"/>
      <c r="ER137" s="2"/>
      <c r="ES137" s="2"/>
      <c r="ET137" s="2"/>
      <c r="EU137" s="2"/>
      <c r="EV137" s="2"/>
      <c r="EW137" s="2"/>
      <c r="EX137" s="2"/>
      <c r="EY137" s="2"/>
      <c r="EZ137" s="2"/>
      <c r="FA137" s="2"/>
      <c r="FB137" s="2"/>
      <c r="FC137" s="2"/>
      <c r="FD137" s="2"/>
      <c r="FE137" s="2"/>
      <c r="FF137" s="2"/>
      <c r="FG137" s="2"/>
      <c r="FH137" s="2"/>
      <c r="FI137" s="2"/>
      <c r="FJ137" s="2"/>
      <c r="FK137" s="2"/>
      <c r="FL137" s="2"/>
      <c r="FM137" s="2"/>
      <c r="FN137" s="2"/>
      <c r="FO137" s="2"/>
      <c r="FP137" s="2"/>
      <c r="FQ137" s="2"/>
      <c r="FR137" s="2"/>
      <c r="FS137" s="2"/>
      <c r="FT137" s="2"/>
      <c r="FU137" s="2"/>
      <c r="FV137" s="2"/>
      <c r="FW137" s="2"/>
      <c r="FX137" s="2"/>
      <c r="FY137" s="2"/>
      <c r="FZ137" s="2"/>
      <c r="GA137" s="2"/>
      <c r="GB137" s="2"/>
      <c r="GC137" s="2"/>
      <c r="GD137" s="2"/>
      <c r="GE137" s="2"/>
      <c r="GF137" s="2"/>
      <c r="GG137" s="2"/>
      <c r="GH137" s="2"/>
      <c r="GI137" s="2"/>
      <c r="GJ137" s="2"/>
      <c r="GK137" s="2"/>
      <c r="GL137" s="2"/>
      <c r="GM137" s="2"/>
      <c r="GN137" s="2"/>
      <c r="GO137" s="2"/>
      <c r="GP137" s="2"/>
      <c r="GQ137" s="2"/>
      <c r="GR137" s="2"/>
      <c r="GS137" s="2"/>
      <c r="GT137" s="2"/>
      <c r="GU137" s="2"/>
      <c r="GV137" s="2"/>
      <c r="GW137" s="2"/>
      <c r="GX137" s="2"/>
      <c r="GY137" s="2"/>
      <c r="GZ137" s="2"/>
      <c r="HA137" s="2"/>
      <c r="HB137" s="2"/>
      <c r="HC137" s="2"/>
      <c r="HD137" s="2"/>
      <c r="HE137" s="2"/>
      <c r="HF137" s="2"/>
      <c r="HG137" s="2"/>
      <c r="HH137" s="2"/>
      <c r="HI137" s="2"/>
      <c r="HJ137" s="2"/>
      <c r="HK137" s="2"/>
      <c r="HL137" s="2"/>
      <c r="HM137" s="2"/>
      <c r="HN137" s="2"/>
      <c r="HO137" s="2"/>
      <c r="HP137" s="2"/>
      <c r="HQ137" s="2"/>
      <c r="HR137" s="2"/>
      <c r="HS137" s="2"/>
      <c r="HT137" s="2"/>
      <c r="HU137" s="2"/>
      <c r="HV137" s="2"/>
      <c r="HW137" s="2"/>
      <c r="HX137" s="2"/>
      <c r="HY137" s="2"/>
      <c r="HZ137" s="2"/>
      <c r="IA137" s="2"/>
      <c r="IB137" s="2"/>
      <c r="IC137" s="2"/>
      <c r="ID137" s="2"/>
      <c r="IE137" s="2"/>
      <c r="IF137" s="2"/>
      <c r="IG137" s="2"/>
      <c r="IH137" s="2"/>
      <c r="II137" s="2"/>
      <c r="IJ137" s="2"/>
      <c r="IK137" s="2"/>
      <c r="IL137" s="2"/>
      <c r="IM137" s="2"/>
      <c r="IN137" s="2"/>
      <c r="IO137" s="2"/>
      <c r="IP137" s="2"/>
      <c r="IQ137" s="2"/>
      <c r="IR137" s="2"/>
      <c r="IS137" s="2"/>
    </row>
    <row r="138" spans="1:253" s="6" customFormat="1" ht="15.75" customHeight="1" x14ac:dyDescent="0.25">
      <c r="A138" s="1"/>
      <c r="B138" s="30" t="s">
        <v>2111</v>
      </c>
      <c r="C138" s="64">
        <f>'neg or'!D421</f>
        <v>21956</v>
      </c>
      <c r="D138" s="51"/>
      <c r="E138" s="5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  <c r="DP138" s="2"/>
      <c r="DQ138" s="2"/>
      <c r="DR138" s="2"/>
      <c r="DS138" s="2"/>
      <c r="DT138" s="2"/>
      <c r="DU138" s="2"/>
      <c r="DV138" s="2"/>
      <c r="DW138" s="2"/>
      <c r="DX138" s="2"/>
      <c r="DY138" s="2"/>
      <c r="DZ138" s="2"/>
      <c r="EA138" s="2"/>
      <c r="EB138" s="2"/>
      <c r="EC138" s="2"/>
      <c r="ED138" s="2"/>
      <c r="EE138" s="2"/>
      <c r="EF138" s="2"/>
      <c r="EG138" s="2"/>
      <c r="EH138" s="2"/>
      <c r="EI138" s="2"/>
      <c r="EJ138" s="2"/>
      <c r="EK138" s="2"/>
      <c r="EL138" s="2"/>
      <c r="EM138" s="2"/>
      <c r="EN138" s="2"/>
      <c r="EO138" s="2"/>
      <c r="EP138" s="2"/>
      <c r="EQ138" s="2"/>
      <c r="ER138" s="2"/>
      <c r="ES138" s="2"/>
      <c r="ET138" s="2"/>
      <c r="EU138" s="2"/>
      <c r="EV138" s="2"/>
      <c r="EW138" s="2"/>
      <c r="EX138" s="2"/>
      <c r="EY138" s="2"/>
      <c r="EZ138" s="2"/>
      <c r="FA138" s="2"/>
      <c r="FB138" s="2"/>
      <c r="FC138" s="2"/>
      <c r="FD138" s="2"/>
      <c r="FE138" s="2"/>
      <c r="FF138" s="2"/>
      <c r="FG138" s="2"/>
      <c r="FH138" s="2"/>
      <c r="FI138" s="2"/>
      <c r="FJ138" s="2"/>
      <c r="FK138" s="2"/>
      <c r="FL138" s="2"/>
      <c r="FM138" s="2"/>
      <c r="FN138" s="2"/>
      <c r="FO138" s="2"/>
      <c r="FP138" s="2"/>
      <c r="FQ138" s="2"/>
      <c r="FR138" s="2"/>
      <c r="FS138" s="2"/>
      <c r="FT138" s="2"/>
      <c r="FU138" s="2"/>
      <c r="FV138" s="2"/>
      <c r="FW138" s="2"/>
      <c r="FX138" s="2"/>
      <c r="FY138" s="2"/>
      <c r="FZ138" s="2"/>
      <c r="GA138" s="2"/>
      <c r="GB138" s="2"/>
      <c r="GC138" s="2"/>
      <c r="GD138" s="2"/>
      <c r="GE138" s="2"/>
      <c r="GF138" s="2"/>
      <c r="GG138" s="2"/>
      <c r="GH138" s="2"/>
      <c r="GI138" s="2"/>
      <c r="GJ138" s="2"/>
      <c r="GK138" s="2"/>
      <c r="GL138" s="2"/>
      <c r="GM138" s="2"/>
      <c r="GN138" s="2"/>
      <c r="GO138" s="2"/>
      <c r="GP138" s="2"/>
      <c r="GQ138" s="2"/>
      <c r="GR138" s="2"/>
      <c r="GS138" s="2"/>
      <c r="GT138" s="2"/>
      <c r="GU138" s="2"/>
      <c r="GV138" s="2"/>
      <c r="GW138" s="2"/>
      <c r="GX138" s="2"/>
      <c r="GY138" s="2"/>
      <c r="GZ138" s="2"/>
      <c r="HA138" s="2"/>
      <c r="HB138" s="2"/>
      <c r="HC138" s="2"/>
      <c r="HD138" s="2"/>
      <c r="HE138" s="2"/>
      <c r="HF138" s="2"/>
      <c r="HG138" s="2"/>
      <c r="HH138" s="2"/>
      <c r="HI138" s="2"/>
      <c r="HJ138" s="2"/>
      <c r="HK138" s="2"/>
      <c r="HL138" s="2"/>
      <c r="HM138" s="2"/>
      <c r="HN138" s="2"/>
      <c r="HO138" s="2"/>
      <c r="HP138" s="2"/>
      <c r="HQ138" s="2"/>
      <c r="HR138" s="2"/>
      <c r="HS138" s="2"/>
      <c r="HT138" s="2"/>
      <c r="HU138" s="2"/>
      <c r="HV138" s="2"/>
      <c r="HW138" s="2"/>
      <c r="HX138" s="2"/>
      <c r="HY138" s="2"/>
      <c r="HZ138" s="2"/>
      <c r="IA138" s="2"/>
      <c r="IB138" s="2"/>
      <c r="IC138" s="2"/>
      <c r="ID138" s="2"/>
      <c r="IE138" s="2"/>
      <c r="IF138" s="2"/>
      <c r="IG138" s="2"/>
      <c r="IH138" s="2"/>
      <c r="II138" s="2"/>
      <c r="IJ138" s="2"/>
      <c r="IK138" s="2"/>
      <c r="IL138" s="2"/>
      <c r="IM138" s="2"/>
      <c r="IN138" s="2"/>
      <c r="IO138" s="2"/>
      <c r="IP138" s="2"/>
      <c r="IQ138" s="2"/>
      <c r="IR138" s="2"/>
      <c r="IS138" s="2"/>
    </row>
    <row r="139" spans="1:253" s="6" customFormat="1" ht="15.75" customHeight="1" x14ac:dyDescent="0.25">
      <c r="A139" s="1"/>
      <c r="B139" s="30" t="s">
        <v>2101</v>
      </c>
      <c r="C139" s="64">
        <f>'neg or'!D439</f>
        <v>77501</v>
      </c>
      <c r="D139" s="51"/>
      <c r="E139" s="5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  <c r="DP139" s="2"/>
      <c r="DQ139" s="2"/>
      <c r="DR139" s="2"/>
      <c r="DS139" s="2"/>
      <c r="DT139" s="2"/>
      <c r="DU139" s="2"/>
      <c r="DV139" s="2"/>
      <c r="DW139" s="2"/>
      <c r="DX139" s="2"/>
      <c r="DY139" s="2"/>
      <c r="DZ139" s="2"/>
      <c r="EA139" s="2"/>
      <c r="EB139" s="2"/>
      <c r="EC139" s="2"/>
      <c r="ED139" s="2"/>
      <c r="EE139" s="2"/>
      <c r="EF139" s="2"/>
      <c r="EG139" s="2"/>
      <c r="EH139" s="2"/>
      <c r="EI139" s="2"/>
      <c r="EJ139" s="2"/>
      <c r="EK139" s="2"/>
      <c r="EL139" s="2"/>
      <c r="EM139" s="2"/>
      <c r="EN139" s="2"/>
      <c r="EO139" s="2"/>
      <c r="EP139" s="2"/>
      <c r="EQ139" s="2"/>
      <c r="ER139" s="2"/>
      <c r="ES139" s="2"/>
      <c r="ET139" s="2"/>
      <c r="EU139" s="2"/>
      <c r="EV139" s="2"/>
      <c r="EW139" s="2"/>
      <c r="EX139" s="2"/>
      <c r="EY139" s="2"/>
      <c r="EZ139" s="2"/>
      <c r="FA139" s="2"/>
      <c r="FB139" s="2"/>
      <c r="FC139" s="2"/>
      <c r="FD139" s="2"/>
      <c r="FE139" s="2"/>
      <c r="FF139" s="2"/>
      <c r="FG139" s="2"/>
      <c r="FH139" s="2"/>
      <c r="FI139" s="2"/>
      <c r="FJ139" s="2"/>
      <c r="FK139" s="2"/>
      <c r="FL139" s="2"/>
      <c r="FM139" s="2"/>
      <c r="FN139" s="2"/>
      <c r="FO139" s="2"/>
      <c r="FP139" s="2"/>
      <c r="FQ139" s="2"/>
      <c r="FR139" s="2"/>
      <c r="FS139" s="2"/>
      <c r="FT139" s="2"/>
      <c r="FU139" s="2"/>
      <c r="FV139" s="2"/>
      <c r="FW139" s="2"/>
      <c r="FX139" s="2"/>
      <c r="FY139" s="2"/>
      <c r="FZ139" s="2"/>
      <c r="GA139" s="2"/>
      <c r="GB139" s="2"/>
      <c r="GC139" s="2"/>
      <c r="GD139" s="2"/>
      <c r="GE139" s="2"/>
      <c r="GF139" s="2"/>
      <c r="GG139" s="2"/>
      <c r="GH139" s="2"/>
      <c r="GI139" s="2"/>
      <c r="GJ139" s="2"/>
      <c r="GK139" s="2"/>
      <c r="GL139" s="2"/>
      <c r="GM139" s="2"/>
      <c r="GN139" s="2"/>
      <c r="GO139" s="2"/>
      <c r="GP139" s="2"/>
      <c r="GQ139" s="2"/>
      <c r="GR139" s="2"/>
      <c r="GS139" s="2"/>
      <c r="GT139" s="2"/>
      <c r="GU139" s="2"/>
      <c r="GV139" s="2"/>
      <c r="GW139" s="2"/>
      <c r="GX139" s="2"/>
      <c r="GY139" s="2"/>
      <c r="GZ139" s="2"/>
      <c r="HA139" s="2"/>
      <c r="HB139" s="2"/>
      <c r="HC139" s="2"/>
      <c r="HD139" s="2"/>
      <c r="HE139" s="2"/>
      <c r="HF139" s="2"/>
      <c r="HG139" s="2"/>
      <c r="HH139" s="2"/>
      <c r="HI139" s="2"/>
      <c r="HJ139" s="2"/>
      <c r="HK139" s="2"/>
      <c r="HL139" s="2"/>
      <c r="HM139" s="2"/>
      <c r="HN139" s="2"/>
      <c r="HO139" s="2"/>
      <c r="HP139" s="2"/>
      <c r="HQ139" s="2"/>
      <c r="HR139" s="2"/>
      <c r="HS139" s="2"/>
      <c r="HT139" s="2"/>
      <c r="HU139" s="2"/>
      <c r="HV139" s="2"/>
      <c r="HW139" s="2"/>
      <c r="HX139" s="2"/>
      <c r="HY139" s="2"/>
      <c r="HZ139" s="2"/>
      <c r="IA139" s="2"/>
      <c r="IB139" s="2"/>
      <c r="IC139" s="2"/>
      <c r="ID139" s="2"/>
      <c r="IE139" s="2"/>
      <c r="IF139" s="2"/>
      <c r="IG139" s="2"/>
      <c r="IH139" s="2"/>
      <c r="II139" s="2"/>
      <c r="IJ139" s="2"/>
      <c r="IK139" s="2"/>
      <c r="IL139" s="2"/>
      <c r="IM139" s="2"/>
      <c r="IN139" s="2"/>
      <c r="IO139" s="2"/>
      <c r="IP139" s="2"/>
      <c r="IQ139" s="2"/>
      <c r="IR139" s="2"/>
      <c r="IS139" s="2"/>
    </row>
    <row r="140" spans="1:253" s="6" customFormat="1" ht="15.75" customHeight="1" x14ac:dyDescent="0.25">
      <c r="A140" s="1"/>
      <c r="B140" s="30" t="s">
        <v>2087</v>
      </c>
      <c r="C140" s="64">
        <f>'neg or'!D463</f>
        <v>83082</v>
      </c>
      <c r="D140" s="51"/>
      <c r="E140" s="5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  <c r="DP140" s="2"/>
      <c r="DQ140" s="2"/>
      <c r="DR140" s="2"/>
      <c r="DS140" s="2"/>
      <c r="DT140" s="2"/>
      <c r="DU140" s="2"/>
      <c r="DV140" s="2"/>
      <c r="DW140" s="2"/>
      <c r="DX140" s="2"/>
      <c r="DY140" s="2"/>
      <c r="DZ140" s="2"/>
      <c r="EA140" s="2"/>
      <c r="EB140" s="2"/>
      <c r="EC140" s="2"/>
      <c r="ED140" s="2"/>
      <c r="EE140" s="2"/>
      <c r="EF140" s="2"/>
      <c r="EG140" s="2"/>
      <c r="EH140" s="2"/>
      <c r="EI140" s="2"/>
      <c r="EJ140" s="2"/>
      <c r="EK140" s="2"/>
      <c r="EL140" s="2"/>
      <c r="EM140" s="2"/>
      <c r="EN140" s="2"/>
      <c r="EO140" s="2"/>
      <c r="EP140" s="2"/>
      <c r="EQ140" s="2"/>
      <c r="ER140" s="2"/>
      <c r="ES140" s="2"/>
      <c r="ET140" s="2"/>
      <c r="EU140" s="2"/>
      <c r="EV140" s="2"/>
      <c r="EW140" s="2"/>
      <c r="EX140" s="2"/>
      <c r="EY140" s="2"/>
      <c r="EZ140" s="2"/>
      <c r="FA140" s="2"/>
      <c r="FB140" s="2"/>
      <c r="FC140" s="2"/>
      <c r="FD140" s="2"/>
      <c r="FE140" s="2"/>
      <c r="FF140" s="2"/>
      <c r="FG140" s="2"/>
      <c r="FH140" s="2"/>
      <c r="FI140" s="2"/>
      <c r="FJ140" s="2"/>
      <c r="FK140" s="2"/>
      <c r="FL140" s="2"/>
      <c r="FM140" s="2"/>
      <c r="FN140" s="2"/>
      <c r="FO140" s="2"/>
      <c r="FP140" s="2"/>
      <c r="FQ140" s="2"/>
      <c r="FR140" s="2"/>
      <c r="FS140" s="2"/>
      <c r="FT140" s="2"/>
      <c r="FU140" s="2"/>
      <c r="FV140" s="2"/>
      <c r="FW140" s="2"/>
      <c r="FX140" s="2"/>
      <c r="FY140" s="2"/>
      <c r="FZ140" s="2"/>
      <c r="GA140" s="2"/>
      <c r="GB140" s="2"/>
      <c r="GC140" s="2"/>
      <c r="GD140" s="2"/>
      <c r="GE140" s="2"/>
      <c r="GF140" s="2"/>
      <c r="GG140" s="2"/>
      <c r="GH140" s="2"/>
      <c r="GI140" s="2"/>
      <c r="GJ140" s="2"/>
      <c r="GK140" s="2"/>
      <c r="GL140" s="2"/>
      <c r="GM140" s="2"/>
      <c r="GN140" s="2"/>
      <c r="GO140" s="2"/>
      <c r="GP140" s="2"/>
      <c r="GQ140" s="2"/>
      <c r="GR140" s="2"/>
      <c r="GS140" s="2"/>
      <c r="GT140" s="2"/>
      <c r="GU140" s="2"/>
      <c r="GV140" s="2"/>
      <c r="GW140" s="2"/>
      <c r="GX140" s="2"/>
      <c r="GY140" s="2"/>
      <c r="GZ140" s="2"/>
      <c r="HA140" s="2"/>
      <c r="HB140" s="2"/>
      <c r="HC140" s="2"/>
      <c r="HD140" s="2"/>
      <c r="HE140" s="2"/>
      <c r="HF140" s="2"/>
      <c r="HG140" s="2"/>
      <c r="HH140" s="2"/>
      <c r="HI140" s="2"/>
      <c r="HJ140" s="2"/>
      <c r="HK140" s="2"/>
      <c r="HL140" s="2"/>
      <c r="HM140" s="2"/>
      <c r="HN140" s="2"/>
      <c r="HO140" s="2"/>
      <c r="HP140" s="2"/>
      <c r="HQ140" s="2"/>
      <c r="HR140" s="2"/>
      <c r="HS140" s="2"/>
      <c r="HT140" s="2"/>
      <c r="HU140" s="2"/>
      <c r="HV140" s="2"/>
      <c r="HW140" s="2"/>
      <c r="HX140" s="2"/>
      <c r="HY140" s="2"/>
      <c r="HZ140" s="2"/>
      <c r="IA140" s="2"/>
      <c r="IB140" s="2"/>
      <c r="IC140" s="2"/>
      <c r="ID140" s="2"/>
      <c r="IE140" s="2"/>
      <c r="IF140" s="2"/>
      <c r="IG140" s="2"/>
      <c r="IH140" s="2"/>
      <c r="II140" s="2"/>
      <c r="IJ140" s="2"/>
      <c r="IK140" s="2"/>
      <c r="IL140" s="2"/>
      <c r="IM140" s="2"/>
      <c r="IN140" s="2"/>
      <c r="IO140" s="2"/>
      <c r="IP140" s="2"/>
      <c r="IQ140" s="2"/>
      <c r="IR140" s="2"/>
      <c r="IS140" s="2"/>
    </row>
    <row r="141" spans="1:253" s="6" customFormat="1" ht="15.75" customHeight="1" x14ac:dyDescent="0.25">
      <c r="A141" s="1"/>
      <c r="B141" s="30" t="s">
        <v>2069</v>
      </c>
      <c r="C141" s="64">
        <f>'neg or'!D491</f>
        <v>64343</v>
      </c>
      <c r="D141" s="51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  <c r="DP141" s="2"/>
      <c r="DQ141" s="2"/>
      <c r="DR141" s="2"/>
      <c r="DS141" s="2"/>
      <c r="DT141" s="2"/>
      <c r="DU141" s="2"/>
      <c r="DV141" s="2"/>
      <c r="DW141" s="2"/>
      <c r="DX141" s="2"/>
      <c r="DY141" s="2"/>
      <c r="DZ141" s="2"/>
      <c r="EA141" s="2"/>
      <c r="EB141" s="2"/>
      <c r="EC141" s="2"/>
      <c r="ED141" s="2"/>
      <c r="EE141" s="2"/>
      <c r="EF141" s="2"/>
      <c r="EG141" s="2"/>
      <c r="EH141" s="2"/>
      <c r="EI141" s="2"/>
      <c r="EJ141" s="2"/>
      <c r="EK141" s="2"/>
      <c r="EL141" s="2"/>
      <c r="EM141" s="2"/>
      <c r="EN141" s="2"/>
      <c r="EO141" s="2"/>
      <c r="EP141" s="2"/>
      <c r="EQ141" s="2"/>
      <c r="ER141" s="2"/>
      <c r="ES141" s="2"/>
      <c r="ET141" s="2"/>
      <c r="EU141" s="2"/>
      <c r="EV141" s="2"/>
      <c r="EW141" s="2"/>
      <c r="EX141" s="2"/>
      <c r="EY141" s="2"/>
      <c r="EZ141" s="2"/>
      <c r="FA141" s="2"/>
      <c r="FB141" s="2"/>
      <c r="FC141" s="2"/>
      <c r="FD141" s="2"/>
      <c r="FE141" s="2"/>
      <c r="FF141" s="2"/>
      <c r="FG141" s="2"/>
      <c r="FH141" s="2"/>
      <c r="FI141" s="2"/>
      <c r="FJ141" s="2"/>
      <c r="FK141" s="2"/>
      <c r="FL141" s="2"/>
      <c r="FM141" s="2"/>
      <c r="FN141" s="2"/>
      <c r="FO141" s="2"/>
      <c r="FP141" s="2"/>
      <c r="FQ141" s="2"/>
      <c r="FR141" s="2"/>
      <c r="FS141" s="2"/>
      <c r="FT141" s="2"/>
      <c r="FU141" s="2"/>
      <c r="FV141" s="2"/>
      <c r="FW141" s="2"/>
      <c r="FX141" s="2"/>
      <c r="FY141" s="2"/>
      <c r="FZ141" s="2"/>
      <c r="GA141" s="2"/>
      <c r="GB141" s="2"/>
      <c r="GC141" s="2"/>
      <c r="GD141" s="2"/>
      <c r="GE141" s="2"/>
      <c r="GF141" s="2"/>
      <c r="GG141" s="2"/>
      <c r="GH141" s="2"/>
      <c r="GI141" s="2"/>
      <c r="GJ141" s="2"/>
      <c r="GK141" s="2"/>
      <c r="GL141" s="2"/>
      <c r="GM141" s="2"/>
      <c r="GN141" s="2"/>
      <c r="GO141" s="2"/>
      <c r="GP141" s="2"/>
      <c r="GQ141" s="2"/>
      <c r="GR141" s="2"/>
      <c r="GS141" s="2"/>
      <c r="GT141" s="2"/>
      <c r="GU141" s="2"/>
      <c r="GV141" s="2"/>
      <c r="GW141" s="2"/>
      <c r="GX141" s="2"/>
      <c r="GY141" s="2"/>
      <c r="GZ141" s="2"/>
      <c r="HA141" s="2"/>
      <c r="HB141" s="2"/>
      <c r="HC141" s="2"/>
      <c r="HD141" s="2"/>
      <c r="HE141" s="2"/>
      <c r="HF141" s="2"/>
      <c r="HG141" s="2"/>
      <c r="HH141" s="2"/>
      <c r="HI141" s="2"/>
      <c r="HJ141" s="2"/>
      <c r="HK141" s="2"/>
      <c r="HL141" s="2"/>
      <c r="HM141" s="2"/>
      <c r="HN141" s="2"/>
      <c r="HO141" s="2"/>
      <c r="HP141" s="2"/>
      <c r="HQ141" s="2"/>
      <c r="HR141" s="2"/>
      <c r="HS141" s="2"/>
      <c r="HT141" s="2"/>
      <c r="HU141" s="2"/>
      <c r="HV141" s="2"/>
      <c r="HW141" s="2"/>
      <c r="HX141" s="2"/>
      <c r="HY141" s="2"/>
      <c r="HZ141" s="2"/>
      <c r="IA141" s="2"/>
      <c r="IB141" s="2"/>
      <c r="IC141" s="2"/>
      <c r="ID141" s="2"/>
      <c r="IE141" s="2"/>
      <c r="IF141" s="2"/>
      <c r="IG141" s="2"/>
      <c r="IH141" s="2"/>
      <c r="II141" s="2"/>
      <c r="IJ141" s="2"/>
      <c r="IK141" s="2"/>
      <c r="IL141" s="2"/>
      <c r="IM141" s="2"/>
      <c r="IN141" s="2"/>
      <c r="IO141" s="2"/>
      <c r="IP141" s="2"/>
      <c r="IQ141" s="2"/>
      <c r="IR141" s="2"/>
      <c r="IS141" s="2"/>
    </row>
    <row r="142" spans="1:253" s="6" customFormat="1" ht="15.75" customHeight="1" x14ac:dyDescent="0.25">
      <c r="A142" s="1"/>
      <c r="B142" s="30" t="s">
        <v>2061</v>
      </c>
      <c r="C142" s="64">
        <f>'neg or'!D511</f>
        <v>82642</v>
      </c>
      <c r="D142" s="51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  <c r="DP142" s="2"/>
      <c r="DQ142" s="2"/>
      <c r="DR142" s="2"/>
      <c r="DS142" s="2"/>
      <c r="DT142" s="2"/>
      <c r="DU142" s="2"/>
      <c r="DV142" s="2"/>
      <c r="DW142" s="2"/>
      <c r="DX142" s="2"/>
      <c r="DY142" s="2"/>
      <c r="DZ142" s="2"/>
      <c r="EA142" s="2"/>
      <c r="EB142" s="2"/>
      <c r="EC142" s="2"/>
      <c r="ED142" s="2"/>
      <c r="EE142" s="2"/>
      <c r="EF142" s="2"/>
      <c r="EG142" s="2"/>
      <c r="EH142" s="2"/>
      <c r="EI142" s="2"/>
      <c r="EJ142" s="2"/>
      <c r="EK142" s="2"/>
      <c r="EL142" s="2"/>
      <c r="EM142" s="2"/>
      <c r="EN142" s="2"/>
      <c r="EO142" s="2"/>
      <c r="EP142" s="2"/>
      <c r="EQ142" s="2"/>
      <c r="ER142" s="2"/>
      <c r="ES142" s="2"/>
      <c r="ET142" s="2"/>
      <c r="EU142" s="2"/>
      <c r="EV142" s="2"/>
      <c r="EW142" s="2"/>
      <c r="EX142" s="2"/>
      <c r="EY142" s="2"/>
      <c r="EZ142" s="2"/>
      <c r="FA142" s="2"/>
      <c r="FB142" s="2"/>
      <c r="FC142" s="2"/>
      <c r="FD142" s="2"/>
      <c r="FE142" s="2"/>
      <c r="FF142" s="2"/>
      <c r="FG142" s="2"/>
      <c r="FH142" s="2"/>
      <c r="FI142" s="2"/>
      <c r="FJ142" s="2"/>
      <c r="FK142" s="2"/>
      <c r="FL142" s="2"/>
      <c r="FM142" s="2"/>
      <c r="FN142" s="2"/>
      <c r="FO142" s="2"/>
      <c r="FP142" s="2"/>
      <c r="FQ142" s="2"/>
      <c r="FR142" s="2"/>
      <c r="FS142" s="2"/>
      <c r="FT142" s="2"/>
      <c r="FU142" s="2"/>
      <c r="FV142" s="2"/>
      <c r="FW142" s="2"/>
      <c r="FX142" s="2"/>
      <c r="FY142" s="2"/>
      <c r="FZ142" s="2"/>
      <c r="GA142" s="2"/>
      <c r="GB142" s="2"/>
      <c r="GC142" s="2"/>
      <c r="GD142" s="2"/>
      <c r="GE142" s="2"/>
      <c r="GF142" s="2"/>
      <c r="GG142" s="2"/>
      <c r="GH142" s="2"/>
      <c r="GI142" s="2"/>
      <c r="GJ142" s="2"/>
      <c r="GK142" s="2"/>
      <c r="GL142" s="2"/>
      <c r="GM142" s="2"/>
      <c r="GN142" s="2"/>
      <c r="GO142" s="2"/>
      <c r="GP142" s="2"/>
      <c r="GQ142" s="2"/>
      <c r="GR142" s="2"/>
      <c r="GS142" s="2"/>
      <c r="GT142" s="2"/>
      <c r="GU142" s="2"/>
      <c r="GV142" s="2"/>
      <c r="GW142" s="2"/>
      <c r="GX142" s="2"/>
      <c r="GY142" s="2"/>
      <c r="GZ142" s="2"/>
      <c r="HA142" s="2"/>
      <c r="HB142" s="2"/>
      <c r="HC142" s="2"/>
      <c r="HD142" s="2"/>
      <c r="HE142" s="2"/>
      <c r="HF142" s="2"/>
      <c r="HG142" s="2"/>
      <c r="HH142" s="2"/>
      <c r="HI142" s="2"/>
      <c r="HJ142" s="2"/>
      <c r="HK142" s="2"/>
      <c r="HL142" s="2"/>
      <c r="HM142" s="2"/>
      <c r="HN142" s="2"/>
      <c r="HO142" s="2"/>
      <c r="HP142" s="2"/>
      <c r="HQ142" s="2"/>
      <c r="HR142" s="2"/>
      <c r="HS142" s="2"/>
      <c r="HT142" s="2"/>
      <c r="HU142" s="2"/>
      <c r="HV142" s="2"/>
      <c r="HW142" s="2"/>
      <c r="HX142" s="2"/>
      <c r="HY142" s="2"/>
      <c r="HZ142" s="2"/>
      <c r="IA142" s="2"/>
      <c r="IB142" s="2"/>
      <c r="IC142" s="2"/>
      <c r="ID142" s="2"/>
      <c r="IE142" s="2"/>
      <c r="IF142" s="2"/>
      <c r="IG142" s="2"/>
      <c r="IH142" s="2"/>
      <c r="II142" s="2"/>
      <c r="IJ142" s="2"/>
      <c r="IK142" s="2"/>
      <c r="IL142" s="2"/>
      <c r="IM142" s="2"/>
      <c r="IN142" s="2"/>
      <c r="IO142" s="2"/>
      <c r="IP142" s="2"/>
      <c r="IQ142" s="2"/>
      <c r="IR142" s="2"/>
      <c r="IS142" s="2"/>
    </row>
    <row r="143" spans="1:253" s="6" customFormat="1" ht="15.75" customHeight="1" x14ac:dyDescent="0.25">
      <c r="A143" s="1"/>
      <c r="B143" s="30" t="s">
        <v>2044</v>
      </c>
      <c r="C143" s="64">
        <f>'neg or'!D537</f>
        <v>38159</v>
      </c>
      <c r="D143" s="51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  <c r="DP143" s="2"/>
      <c r="DQ143" s="2"/>
      <c r="DR143" s="2"/>
      <c r="DS143" s="2"/>
      <c r="DT143" s="2"/>
      <c r="DU143" s="2"/>
      <c r="DV143" s="2"/>
      <c r="DW143" s="2"/>
      <c r="DX143" s="2"/>
      <c r="DY143" s="2"/>
      <c r="DZ143" s="2"/>
      <c r="EA143" s="2"/>
      <c r="EB143" s="2"/>
      <c r="EC143" s="2"/>
      <c r="ED143" s="2"/>
      <c r="EE143" s="2"/>
      <c r="EF143" s="2"/>
      <c r="EG143" s="2"/>
      <c r="EH143" s="2"/>
      <c r="EI143" s="2"/>
      <c r="EJ143" s="2"/>
      <c r="EK143" s="2"/>
      <c r="EL143" s="2"/>
      <c r="EM143" s="2"/>
      <c r="EN143" s="2"/>
      <c r="EO143" s="2"/>
      <c r="EP143" s="2"/>
      <c r="EQ143" s="2"/>
      <c r="ER143" s="2"/>
      <c r="ES143" s="2"/>
      <c r="ET143" s="2"/>
      <c r="EU143" s="2"/>
      <c r="EV143" s="2"/>
      <c r="EW143" s="2"/>
      <c r="EX143" s="2"/>
      <c r="EY143" s="2"/>
      <c r="EZ143" s="2"/>
      <c r="FA143" s="2"/>
      <c r="FB143" s="2"/>
      <c r="FC143" s="2"/>
      <c r="FD143" s="2"/>
      <c r="FE143" s="2"/>
      <c r="FF143" s="2"/>
      <c r="FG143" s="2"/>
      <c r="FH143" s="2"/>
      <c r="FI143" s="2"/>
      <c r="FJ143" s="2"/>
      <c r="FK143" s="2"/>
      <c r="FL143" s="2"/>
      <c r="FM143" s="2"/>
      <c r="FN143" s="2"/>
      <c r="FO143" s="2"/>
      <c r="FP143" s="2"/>
      <c r="FQ143" s="2"/>
      <c r="FR143" s="2"/>
      <c r="FS143" s="2"/>
      <c r="FT143" s="2"/>
      <c r="FU143" s="2"/>
      <c r="FV143" s="2"/>
      <c r="FW143" s="2"/>
      <c r="FX143" s="2"/>
      <c r="FY143" s="2"/>
      <c r="FZ143" s="2"/>
      <c r="GA143" s="2"/>
      <c r="GB143" s="2"/>
      <c r="GC143" s="2"/>
      <c r="GD143" s="2"/>
      <c r="GE143" s="2"/>
      <c r="GF143" s="2"/>
      <c r="GG143" s="2"/>
      <c r="GH143" s="2"/>
      <c r="GI143" s="2"/>
      <c r="GJ143" s="2"/>
      <c r="GK143" s="2"/>
      <c r="GL143" s="2"/>
      <c r="GM143" s="2"/>
      <c r="GN143" s="2"/>
      <c r="GO143" s="2"/>
      <c r="GP143" s="2"/>
      <c r="GQ143" s="2"/>
      <c r="GR143" s="2"/>
      <c r="GS143" s="2"/>
      <c r="GT143" s="2"/>
      <c r="GU143" s="2"/>
      <c r="GV143" s="2"/>
      <c r="GW143" s="2"/>
      <c r="GX143" s="2"/>
      <c r="GY143" s="2"/>
      <c r="GZ143" s="2"/>
      <c r="HA143" s="2"/>
      <c r="HB143" s="2"/>
      <c r="HC143" s="2"/>
      <c r="HD143" s="2"/>
      <c r="HE143" s="2"/>
      <c r="HF143" s="2"/>
      <c r="HG143" s="2"/>
      <c r="HH143" s="2"/>
      <c r="HI143" s="2"/>
      <c r="HJ143" s="2"/>
      <c r="HK143" s="2"/>
      <c r="HL143" s="2"/>
      <c r="HM143" s="2"/>
      <c r="HN143" s="2"/>
      <c r="HO143" s="2"/>
      <c r="HP143" s="2"/>
      <c r="HQ143" s="2"/>
      <c r="HR143" s="2"/>
      <c r="HS143" s="2"/>
      <c r="HT143" s="2"/>
      <c r="HU143" s="2"/>
      <c r="HV143" s="2"/>
      <c r="HW143" s="2"/>
      <c r="HX143" s="2"/>
      <c r="HY143" s="2"/>
      <c r="HZ143" s="2"/>
      <c r="IA143" s="2"/>
      <c r="IB143" s="2"/>
      <c r="IC143" s="2"/>
      <c r="ID143" s="2"/>
      <c r="IE143" s="2"/>
      <c r="IF143" s="2"/>
      <c r="IG143" s="2"/>
      <c r="IH143" s="2"/>
      <c r="II143" s="2"/>
      <c r="IJ143" s="2"/>
      <c r="IK143" s="2"/>
      <c r="IL143" s="2"/>
      <c r="IM143" s="2"/>
      <c r="IN143" s="2"/>
      <c r="IO143" s="2"/>
      <c r="IP143" s="2"/>
      <c r="IQ143" s="2"/>
      <c r="IR143" s="2"/>
      <c r="IS143" s="2"/>
    </row>
    <row r="144" spans="1:253" s="6" customFormat="1" ht="15.75" customHeight="1" x14ac:dyDescent="0.25">
      <c r="A144" s="1"/>
      <c r="B144" s="30" t="s">
        <v>2021</v>
      </c>
      <c r="C144" s="64">
        <f>'neg or'!D567</f>
        <v>38733</v>
      </c>
      <c r="D144" s="51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  <c r="DP144" s="2"/>
      <c r="DQ144" s="2"/>
      <c r="DR144" s="2"/>
      <c r="DS144" s="2"/>
      <c r="DT144" s="2"/>
      <c r="DU144" s="2"/>
      <c r="DV144" s="2"/>
      <c r="DW144" s="2"/>
      <c r="DX144" s="2"/>
      <c r="DY144" s="2"/>
      <c r="DZ144" s="2"/>
      <c r="EA144" s="2"/>
      <c r="EB144" s="2"/>
      <c r="EC144" s="2"/>
      <c r="ED144" s="2"/>
      <c r="EE144" s="2"/>
      <c r="EF144" s="2"/>
      <c r="EG144" s="2"/>
      <c r="EH144" s="2"/>
      <c r="EI144" s="2"/>
      <c r="EJ144" s="2"/>
      <c r="EK144" s="2"/>
      <c r="EL144" s="2"/>
      <c r="EM144" s="2"/>
      <c r="EN144" s="2"/>
      <c r="EO144" s="2"/>
      <c r="EP144" s="2"/>
      <c r="EQ144" s="2"/>
      <c r="ER144" s="2"/>
      <c r="ES144" s="2"/>
      <c r="ET144" s="2"/>
      <c r="EU144" s="2"/>
      <c r="EV144" s="2"/>
      <c r="EW144" s="2"/>
      <c r="EX144" s="2"/>
      <c r="EY144" s="2"/>
      <c r="EZ144" s="2"/>
      <c r="FA144" s="2"/>
      <c r="FB144" s="2"/>
      <c r="FC144" s="2"/>
      <c r="FD144" s="2"/>
      <c r="FE144" s="2"/>
      <c r="FF144" s="2"/>
      <c r="FG144" s="2"/>
      <c r="FH144" s="2"/>
      <c r="FI144" s="2"/>
      <c r="FJ144" s="2"/>
      <c r="FK144" s="2"/>
      <c r="FL144" s="2"/>
      <c r="FM144" s="2"/>
      <c r="FN144" s="2"/>
      <c r="FO144" s="2"/>
      <c r="FP144" s="2"/>
      <c r="FQ144" s="2"/>
      <c r="FR144" s="2"/>
      <c r="FS144" s="2"/>
      <c r="FT144" s="2"/>
      <c r="FU144" s="2"/>
      <c r="FV144" s="2"/>
      <c r="FW144" s="2"/>
      <c r="FX144" s="2"/>
      <c r="FY144" s="2"/>
      <c r="FZ144" s="2"/>
      <c r="GA144" s="2"/>
      <c r="GB144" s="2"/>
      <c r="GC144" s="2"/>
      <c r="GD144" s="2"/>
      <c r="GE144" s="2"/>
      <c r="GF144" s="2"/>
      <c r="GG144" s="2"/>
      <c r="GH144" s="2"/>
      <c r="GI144" s="2"/>
      <c r="GJ144" s="2"/>
      <c r="GK144" s="2"/>
      <c r="GL144" s="2"/>
      <c r="GM144" s="2"/>
      <c r="GN144" s="2"/>
      <c r="GO144" s="2"/>
      <c r="GP144" s="2"/>
      <c r="GQ144" s="2"/>
      <c r="GR144" s="2"/>
      <c r="GS144" s="2"/>
      <c r="GT144" s="2"/>
      <c r="GU144" s="2"/>
      <c r="GV144" s="2"/>
      <c r="GW144" s="2"/>
      <c r="GX144" s="2"/>
      <c r="GY144" s="2"/>
      <c r="GZ144" s="2"/>
      <c r="HA144" s="2"/>
      <c r="HB144" s="2"/>
      <c r="HC144" s="2"/>
      <c r="HD144" s="2"/>
      <c r="HE144" s="2"/>
      <c r="HF144" s="2"/>
      <c r="HG144" s="2"/>
      <c r="HH144" s="2"/>
      <c r="HI144" s="2"/>
      <c r="HJ144" s="2"/>
      <c r="HK144" s="2"/>
      <c r="HL144" s="2"/>
      <c r="HM144" s="2"/>
      <c r="HN144" s="2"/>
      <c r="HO144" s="2"/>
      <c r="HP144" s="2"/>
      <c r="HQ144" s="2"/>
      <c r="HR144" s="2"/>
      <c r="HS144" s="2"/>
      <c r="HT144" s="2"/>
      <c r="HU144" s="2"/>
      <c r="HV144" s="2"/>
      <c r="HW144" s="2"/>
      <c r="HX144" s="2"/>
      <c r="HY144" s="2"/>
      <c r="HZ144" s="2"/>
      <c r="IA144" s="2"/>
      <c r="IB144" s="2"/>
      <c r="IC144" s="2"/>
      <c r="ID144" s="2"/>
      <c r="IE144" s="2"/>
      <c r="IF144" s="2"/>
      <c r="IG144" s="2"/>
      <c r="IH144" s="2"/>
      <c r="II144" s="2"/>
      <c r="IJ144" s="2"/>
      <c r="IK144" s="2"/>
      <c r="IL144" s="2"/>
      <c r="IM144" s="2"/>
      <c r="IN144" s="2"/>
      <c r="IO144" s="2"/>
      <c r="IP144" s="2"/>
      <c r="IQ144" s="2"/>
      <c r="IR144" s="2"/>
      <c r="IS144" s="2"/>
    </row>
    <row r="145" spans="1:253" s="6" customFormat="1" ht="15.75" customHeight="1" x14ac:dyDescent="0.25">
      <c r="A145" s="1"/>
      <c r="B145" s="30" t="s">
        <v>2002</v>
      </c>
      <c r="C145" s="64">
        <f>'neg or'!D593</f>
        <v>40779</v>
      </c>
      <c r="D145" s="51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  <c r="DP145" s="2"/>
      <c r="DQ145" s="2"/>
      <c r="DR145" s="2"/>
      <c r="DS145" s="2"/>
      <c r="DT145" s="2"/>
      <c r="DU145" s="2"/>
      <c r="DV145" s="2"/>
      <c r="DW145" s="2"/>
      <c r="DX145" s="2"/>
      <c r="DY145" s="2"/>
      <c r="DZ145" s="2"/>
      <c r="EA145" s="2"/>
      <c r="EB145" s="2"/>
      <c r="EC145" s="2"/>
      <c r="ED145" s="2"/>
      <c r="EE145" s="2"/>
      <c r="EF145" s="2"/>
      <c r="EG145" s="2"/>
      <c r="EH145" s="2"/>
      <c r="EI145" s="2"/>
      <c r="EJ145" s="2"/>
      <c r="EK145" s="2"/>
      <c r="EL145" s="2"/>
      <c r="EM145" s="2"/>
      <c r="EN145" s="2"/>
      <c r="EO145" s="2"/>
      <c r="EP145" s="2"/>
      <c r="EQ145" s="2"/>
      <c r="ER145" s="2"/>
      <c r="ES145" s="2"/>
      <c r="ET145" s="2"/>
      <c r="EU145" s="2"/>
      <c r="EV145" s="2"/>
      <c r="EW145" s="2"/>
      <c r="EX145" s="2"/>
      <c r="EY145" s="2"/>
      <c r="EZ145" s="2"/>
      <c r="FA145" s="2"/>
      <c r="FB145" s="2"/>
      <c r="FC145" s="2"/>
      <c r="FD145" s="2"/>
      <c r="FE145" s="2"/>
      <c r="FF145" s="2"/>
      <c r="FG145" s="2"/>
      <c r="FH145" s="2"/>
      <c r="FI145" s="2"/>
      <c r="FJ145" s="2"/>
      <c r="FK145" s="2"/>
      <c r="FL145" s="2"/>
      <c r="FM145" s="2"/>
      <c r="FN145" s="2"/>
      <c r="FO145" s="2"/>
      <c r="FP145" s="2"/>
      <c r="FQ145" s="2"/>
      <c r="FR145" s="2"/>
      <c r="FS145" s="2"/>
      <c r="FT145" s="2"/>
      <c r="FU145" s="2"/>
      <c r="FV145" s="2"/>
      <c r="FW145" s="2"/>
      <c r="FX145" s="2"/>
      <c r="FY145" s="2"/>
      <c r="FZ145" s="2"/>
      <c r="GA145" s="2"/>
      <c r="GB145" s="2"/>
      <c r="GC145" s="2"/>
      <c r="GD145" s="2"/>
      <c r="GE145" s="2"/>
      <c r="GF145" s="2"/>
      <c r="GG145" s="2"/>
      <c r="GH145" s="2"/>
      <c r="GI145" s="2"/>
      <c r="GJ145" s="2"/>
      <c r="GK145" s="2"/>
      <c r="GL145" s="2"/>
      <c r="GM145" s="2"/>
      <c r="GN145" s="2"/>
      <c r="GO145" s="2"/>
      <c r="GP145" s="2"/>
      <c r="GQ145" s="2"/>
      <c r="GR145" s="2"/>
      <c r="GS145" s="2"/>
      <c r="GT145" s="2"/>
      <c r="GU145" s="2"/>
      <c r="GV145" s="2"/>
      <c r="GW145" s="2"/>
      <c r="GX145" s="2"/>
      <c r="GY145" s="2"/>
      <c r="GZ145" s="2"/>
      <c r="HA145" s="2"/>
      <c r="HB145" s="2"/>
      <c r="HC145" s="2"/>
      <c r="HD145" s="2"/>
      <c r="HE145" s="2"/>
      <c r="HF145" s="2"/>
      <c r="HG145" s="2"/>
      <c r="HH145" s="2"/>
      <c r="HI145" s="2"/>
      <c r="HJ145" s="2"/>
      <c r="HK145" s="2"/>
      <c r="HL145" s="2"/>
      <c r="HM145" s="2"/>
      <c r="HN145" s="2"/>
      <c r="HO145" s="2"/>
      <c r="HP145" s="2"/>
      <c r="HQ145" s="2"/>
      <c r="HR145" s="2"/>
      <c r="HS145" s="2"/>
      <c r="HT145" s="2"/>
      <c r="HU145" s="2"/>
      <c r="HV145" s="2"/>
      <c r="HW145" s="2"/>
      <c r="HX145" s="2"/>
      <c r="HY145" s="2"/>
      <c r="HZ145" s="2"/>
      <c r="IA145" s="2"/>
      <c r="IB145" s="2"/>
      <c r="IC145" s="2"/>
      <c r="ID145" s="2"/>
      <c r="IE145" s="2"/>
      <c r="IF145" s="2"/>
      <c r="IG145" s="2"/>
      <c r="IH145" s="2"/>
      <c r="II145" s="2"/>
      <c r="IJ145" s="2"/>
      <c r="IK145" s="2"/>
      <c r="IL145" s="2"/>
      <c r="IM145" s="2"/>
      <c r="IN145" s="2"/>
      <c r="IO145" s="2"/>
      <c r="IP145" s="2"/>
      <c r="IQ145" s="2"/>
      <c r="IR145" s="2"/>
      <c r="IS145" s="2"/>
    </row>
    <row r="146" spans="1:253" s="6" customFormat="1" ht="15.75" customHeight="1" x14ac:dyDescent="0.25">
      <c r="A146" s="1"/>
      <c r="B146" s="30" t="s">
        <v>1992</v>
      </c>
      <c r="C146" s="64">
        <f>'neg or'!D610</f>
        <v>29569</v>
      </c>
      <c r="D146" s="51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  <c r="DP146" s="2"/>
      <c r="DQ146" s="2"/>
      <c r="DR146" s="2"/>
      <c r="DS146" s="2"/>
      <c r="DT146" s="2"/>
      <c r="DU146" s="2"/>
      <c r="DV146" s="2"/>
      <c r="DW146" s="2"/>
      <c r="DX146" s="2"/>
      <c r="DY146" s="2"/>
      <c r="DZ146" s="2"/>
      <c r="EA146" s="2"/>
      <c r="EB146" s="2"/>
      <c r="EC146" s="2"/>
      <c r="ED146" s="2"/>
      <c r="EE146" s="2"/>
      <c r="EF146" s="2"/>
      <c r="EG146" s="2"/>
      <c r="EH146" s="2"/>
      <c r="EI146" s="2"/>
      <c r="EJ146" s="2"/>
      <c r="EK146" s="2"/>
      <c r="EL146" s="2"/>
      <c r="EM146" s="2"/>
      <c r="EN146" s="2"/>
      <c r="EO146" s="2"/>
      <c r="EP146" s="2"/>
      <c r="EQ146" s="2"/>
      <c r="ER146" s="2"/>
      <c r="ES146" s="2"/>
      <c r="ET146" s="2"/>
      <c r="EU146" s="2"/>
      <c r="EV146" s="2"/>
      <c r="EW146" s="2"/>
      <c r="EX146" s="2"/>
      <c r="EY146" s="2"/>
      <c r="EZ146" s="2"/>
      <c r="FA146" s="2"/>
      <c r="FB146" s="2"/>
      <c r="FC146" s="2"/>
      <c r="FD146" s="2"/>
      <c r="FE146" s="2"/>
      <c r="FF146" s="2"/>
      <c r="FG146" s="2"/>
      <c r="FH146" s="2"/>
      <c r="FI146" s="2"/>
      <c r="FJ146" s="2"/>
      <c r="FK146" s="2"/>
      <c r="FL146" s="2"/>
      <c r="FM146" s="2"/>
      <c r="FN146" s="2"/>
      <c r="FO146" s="2"/>
      <c r="FP146" s="2"/>
      <c r="FQ146" s="2"/>
      <c r="FR146" s="2"/>
      <c r="FS146" s="2"/>
      <c r="FT146" s="2"/>
      <c r="FU146" s="2"/>
      <c r="FV146" s="2"/>
      <c r="FW146" s="2"/>
      <c r="FX146" s="2"/>
      <c r="FY146" s="2"/>
      <c r="FZ146" s="2"/>
      <c r="GA146" s="2"/>
      <c r="GB146" s="2"/>
      <c r="GC146" s="2"/>
      <c r="GD146" s="2"/>
      <c r="GE146" s="2"/>
      <c r="GF146" s="2"/>
      <c r="GG146" s="2"/>
      <c r="GH146" s="2"/>
      <c r="GI146" s="2"/>
      <c r="GJ146" s="2"/>
      <c r="GK146" s="2"/>
      <c r="GL146" s="2"/>
      <c r="GM146" s="2"/>
      <c r="GN146" s="2"/>
      <c r="GO146" s="2"/>
      <c r="GP146" s="2"/>
      <c r="GQ146" s="2"/>
      <c r="GR146" s="2"/>
      <c r="GS146" s="2"/>
      <c r="GT146" s="2"/>
      <c r="GU146" s="2"/>
      <c r="GV146" s="2"/>
      <c r="GW146" s="2"/>
      <c r="GX146" s="2"/>
      <c r="GY146" s="2"/>
      <c r="GZ146" s="2"/>
      <c r="HA146" s="2"/>
      <c r="HB146" s="2"/>
      <c r="HC146" s="2"/>
      <c r="HD146" s="2"/>
      <c r="HE146" s="2"/>
      <c r="HF146" s="2"/>
      <c r="HG146" s="2"/>
      <c r="HH146" s="2"/>
      <c r="HI146" s="2"/>
      <c r="HJ146" s="2"/>
      <c r="HK146" s="2"/>
      <c r="HL146" s="2"/>
      <c r="HM146" s="2"/>
      <c r="HN146" s="2"/>
      <c r="HO146" s="2"/>
      <c r="HP146" s="2"/>
      <c r="HQ146" s="2"/>
      <c r="HR146" s="2"/>
      <c r="HS146" s="2"/>
      <c r="HT146" s="2"/>
      <c r="HU146" s="2"/>
      <c r="HV146" s="2"/>
      <c r="HW146" s="2"/>
      <c r="HX146" s="2"/>
      <c r="HY146" s="2"/>
      <c r="HZ146" s="2"/>
      <c r="IA146" s="2"/>
      <c r="IB146" s="2"/>
      <c r="IC146" s="2"/>
      <c r="ID146" s="2"/>
      <c r="IE146" s="2"/>
      <c r="IF146" s="2"/>
      <c r="IG146" s="2"/>
      <c r="IH146" s="2"/>
      <c r="II146" s="2"/>
      <c r="IJ146" s="2"/>
      <c r="IK146" s="2"/>
      <c r="IL146" s="2"/>
      <c r="IM146" s="2"/>
      <c r="IN146" s="2"/>
      <c r="IO146" s="2"/>
      <c r="IP146" s="2"/>
      <c r="IQ146" s="2"/>
      <c r="IR146" s="2"/>
      <c r="IS146" s="2"/>
    </row>
    <row r="147" spans="1:253" s="6" customFormat="1" ht="15.75" customHeight="1" x14ac:dyDescent="0.25">
      <c r="A147" s="1"/>
      <c r="B147" s="38"/>
      <c r="C147" s="47"/>
      <c r="D147" s="51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  <c r="DP147" s="2"/>
      <c r="DQ147" s="2"/>
      <c r="DR147" s="2"/>
      <c r="DS147" s="2"/>
      <c r="DT147" s="2"/>
      <c r="DU147" s="2"/>
      <c r="DV147" s="2"/>
      <c r="DW147" s="2"/>
      <c r="DX147" s="2"/>
      <c r="DY147" s="2"/>
      <c r="DZ147" s="2"/>
      <c r="EA147" s="2"/>
      <c r="EB147" s="2"/>
      <c r="EC147" s="2"/>
      <c r="ED147" s="2"/>
      <c r="EE147" s="2"/>
      <c r="EF147" s="2"/>
      <c r="EG147" s="2"/>
      <c r="EH147" s="2"/>
      <c r="EI147" s="2"/>
      <c r="EJ147" s="2"/>
      <c r="EK147" s="2"/>
      <c r="EL147" s="2"/>
      <c r="EM147" s="2"/>
      <c r="EN147" s="2"/>
      <c r="EO147" s="2"/>
      <c r="EP147" s="2"/>
      <c r="EQ147" s="2"/>
      <c r="ER147" s="2"/>
      <c r="ES147" s="2"/>
      <c r="ET147" s="2"/>
      <c r="EU147" s="2"/>
      <c r="EV147" s="2"/>
      <c r="EW147" s="2"/>
      <c r="EX147" s="2"/>
      <c r="EY147" s="2"/>
      <c r="EZ147" s="2"/>
      <c r="FA147" s="2"/>
      <c r="FB147" s="2"/>
      <c r="FC147" s="2"/>
      <c r="FD147" s="2"/>
      <c r="FE147" s="2"/>
      <c r="FF147" s="2"/>
      <c r="FG147" s="2"/>
      <c r="FH147" s="2"/>
      <c r="FI147" s="2"/>
      <c r="FJ147" s="2"/>
      <c r="FK147" s="2"/>
      <c r="FL147" s="2"/>
      <c r="FM147" s="2"/>
      <c r="FN147" s="2"/>
      <c r="FO147" s="2"/>
      <c r="FP147" s="2"/>
      <c r="FQ147" s="2"/>
      <c r="FR147" s="2"/>
      <c r="FS147" s="2"/>
      <c r="FT147" s="2"/>
      <c r="FU147" s="2"/>
      <c r="FV147" s="2"/>
      <c r="FW147" s="2"/>
      <c r="FX147" s="2"/>
      <c r="FY147" s="2"/>
      <c r="FZ147" s="2"/>
      <c r="GA147" s="2"/>
      <c r="GB147" s="2"/>
      <c r="GC147" s="2"/>
      <c r="GD147" s="2"/>
      <c r="GE147" s="2"/>
      <c r="GF147" s="2"/>
      <c r="GG147" s="2"/>
      <c r="GH147" s="2"/>
      <c r="GI147" s="2"/>
      <c r="GJ147" s="2"/>
      <c r="GK147" s="2"/>
      <c r="GL147" s="2"/>
      <c r="GM147" s="2"/>
      <c r="GN147" s="2"/>
      <c r="GO147" s="2"/>
      <c r="GP147" s="2"/>
      <c r="GQ147" s="2"/>
      <c r="GR147" s="2"/>
      <c r="GS147" s="2"/>
      <c r="GT147" s="2"/>
      <c r="GU147" s="2"/>
      <c r="GV147" s="2"/>
      <c r="GW147" s="2"/>
      <c r="GX147" s="2"/>
      <c r="GY147" s="2"/>
      <c r="GZ147" s="2"/>
      <c r="HA147" s="2"/>
      <c r="HB147" s="2"/>
      <c r="HC147" s="2"/>
      <c r="HD147" s="2"/>
      <c r="HE147" s="2"/>
      <c r="HF147" s="2"/>
      <c r="HG147" s="2"/>
      <c r="HH147" s="2"/>
      <c r="HI147" s="2"/>
      <c r="HJ147" s="2"/>
      <c r="HK147" s="2"/>
      <c r="HL147" s="2"/>
      <c r="HM147" s="2"/>
      <c r="HN147" s="2"/>
      <c r="HO147" s="2"/>
      <c r="HP147" s="2"/>
      <c r="HQ147" s="2"/>
      <c r="HR147" s="2"/>
      <c r="HS147" s="2"/>
      <c r="HT147" s="2"/>
      <c r="HU147" s="2"/>
      <c r="HV147" s="2"/>
      <c r="HW147" s="2"/>
      <c r="HX147" s="2"/>
      <c r="HY147" s="2"/>
      <c r="HZ147" s="2"/>
      <c r="IA147" s="2"/>
      <c r="IB147" s="2"/>
      <c r="IC147" s="2"/>
      <c r="ID147" s="2"/>
      <c r="IE147" s="2"/>
      <c r="IF147" s="2"/>
      <c r="IG147" s="2"/>
      <c r="IH147" s="2"/>
      <c r="II147" s="2"/>
      <c r="IJ147" s="2"/>
      <c r="IK147" s="2"/>
      <c r="IL147" s="2"/>
      <c r="IM147" s="2"/>
      <c r="IN147" s="2"/>
      <c r="IO147" s="2"/>
      <c r="IP147" s="2"/>
      <c r="IQ147" s="2"/>
      <c r="IR147" s="2"/>
      <c r="IS147" s="2"/>
    </row>
    <row r="148" spans="1:253" s="6" customFormat="1" ht="15.75" customHeight="1" x14ac:dyDescent="0.25">
      <c r="A148" s="1"/>
      <c r="B148" s="41" t="s">
        <v>1840</v>
      </c>
      <c r="C148" s="44">
        <f>+C149+C150+C151+C152+C153+C154</f>
        <v>103395</v>
      </c>
      <c r="D148" s="51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  <c r="DP148" s="2"/>
      <c r="DQ148" s="2"/>
      <c r="DR148" s="2"/>
      <c r="DS148" s="2"/>
      <c r="DT148" s="2"/>
      <c r="DU148" s="2"/>
      <c r="DV148" s="2"/>
      <c r="DW148" s="2"/>
      <c r="DX148" s="2"/>
      <c r="DY148" s="2"/>
      <c r="DZ148" s="2"/>
      <c r="EA148" s="2"/>
      <c r="EB148" s="2"/>
      <c r="EC148" s="2"/>
      <c r="ED148" s="2"/>
      <c r="EE148" s="2"/>
      <c r="EF148" s="2"/>
      <c r="EG148" s="2"/>
      <c r="EH148" s="2"/>
      <c r="EI148" s="2"/>
      <c r="EJ148" s="2"/>
      <c r="EK148" s="2"/>
      <c r="EL148" s="2"/>
      <c r="EM148" s="2"/>
      <c r="EN148" s="2"/>
      <c r="EO148" s="2"/>
      <c r="EP148" s="2"/>
      <c r="EQ148" s="2"/>
      <c r="ER148" s="2"/>
      <c r="ES148" s="2"/>
      <c r="ET148" s="2"/>
      <c r="EU148" s="2"/>
      <c r="EV148" s="2"/>
      <c r="EW148" s="2"/>
      <c r="EX148" s="2"/>
      <c r="EY148" s="2"/>
      <c r="EZ148" s="2"/>
      <c r="FA148" s="2"/>
      <c r="FB148" s="2"/>
      <c r="FC148" s="2"/>
      <c r="FD148" s="2"/>
      <c r="FE148" s="2"/>
      <c r="FF148" s="2"/>
      <c r="FG148" s="2"/>
      <c r="FH148" s="2"/>
      <c r="FI148" s="2"/>
      <c r="FJ148" s="2"/>
      <c r="FK148" s="2"/>
      <c r="FL148" s="2"/>
      <c r="FM148" s="2"/>
      <c r="FN148" s="2"/>
      <c r="FO148" s="2"/>
      <c r="FP148" s="2"/>
      <c r="FQ148" s="2"/>
      <c r="FR148" s="2"/>
      <c r="FS148" s="2"/>
      <c r="FT148" s="2"/>
      <c r="FU148" s="2"/>
      <c r="FV148" s="2"/>
      <c r="FW148" s="2"/>
      <c r="FX148" s="2"/>
      <c r="FY148" s="2"/>
      <c r="FZ148" s="2"/>
      <c r="GA148" s="2"/>
      <c r="GB148" s="2"/>
      <c r="GC148" s="2"/>
      <c r="GD148" s="2"/>
      <c r="GE148" s="2"/>
      <c r="GF148" s="2"/>
      <c r="GG148" s="2"/>
      <c r="GH148" s="2"/>
      <c r="GI148" s="2"/>
      <c r="GJ148" s="2"/>
      <c r="GK148" s="2"/>
      <c r="GL148" s="2"/>
      <c r="GM148" s="2"/>
      <c r="GN148" s="2"/>
      <c r="GO148" s="2"/>
      <c r="GP148" s="2"/>
      <c r="GQ148" s="2"/>
      <c r="GR148" s="2"/>
      <c r="GS148" s="2"/>
      <c r="GT148" s="2"/>
      <c r="GU148" s="2"/>
      <c r="GV148" s="2"/>
      <c r="GW148" s="2"/>
      <c r="GX148" s="2"/>
      <c r="GY148" s="2"/>
      <c r="GZ148" s="2"/>
      <c r="HA148" s="2"/>
      <c r="HB148" s="2"/>
      <c r="HC148" s="2"/>
      <c r="HD148" s="2"/>
      <c r="HE148" s="2"/>
      <c r="HF148" s="2"/>
      <c r="HG148" s="2"/>
      <c r="HH148" s="2"/>
      <c r="HI148" s="2"/>
      <c r="HJ148" s="2"/>
      <c r="HK148" s="2"/>
      <c r="HL148" s="2"/>
      <c r="HM148" s="2"/>
      <c r="HN148" s="2"/>
      <c r="HO148" s="2"/>
      <c r="HP148" s="2"/>
      <c r="HQ148" s="2"/>
      <c r="HR148" s="2"/>
      <c r="HS148" s="2"/>
      <c r="HT148" s="2"/>
      <c r="HU148" s="2"/>
      <c r="HV148" s="2"/>
      <c r="HW148" s="2"/>
      <c r="HX148" s="2"/>
      <c r="HY148" s="2"/>
      <c r="HZ148" s="2"/>
      <c r="IA148" s="2"/>
      <c r="IB148" s="2"/>
      <c r="IC148" s="2"/>
      <c r="ID148" s="2"/>
      <c r="IE148" s="2"/>
      <c r="IF148" s="2"/>
      <c r="IG148" s="2"/>
      <c r="IH148" s="2"/>
      <c r="II148" s="2"/>
      <c r="IJ148" s="2"/>
      <c r="IK148" s="2"/>
      <c r="IL148" s="2"/>
      <c r="IM148" s="2"/>
      <c r="IN148" s="2"/>
      <c r="IO148" s="2"/>
      <c r="IP148" s="2"/>
      <c r="IQ148" s="2"/>
      <c r="IR148" s="2"/>
      <c r="IS148" s="2"/>
    </row>
    <row r="149" spans="1:253" s="8" customFormat="1" ht="15.75" customHeight="1" x14ac:dyDescent="0.25">
      <c r="A149" s="1"/>
      <c r="B149" s="38" t="s">
        <v>1841</v>
      </c>
      <c r="C149" s="45">
        <f>siquijor!$D$9</f>
        <v>6790</v>
      </c>
      <c r="D149" s="51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  <c r="DP149" s="2"/>
      <c r="DQ149" s="2"/>
      <c r="DR149" s="2"/>
      <c r="DS149" s="2"/>
      <c r="DT149" s="2"/>
      <c r="DU149" s="2"/>
      <c r="DV149" s="2"/>
      <c r="DW149" s="2"/>
      <c r="DX149" s="2"/>
      <c r="DY149" s="2"/>
      <c r="DZ149" s="2"/>
      <c r="EA149" s="2"/>
      <c r="EB149" s="2"/>
      <c r="EC149" s="2"/>
      <c r="ED149" s="2"/>
      <c r="EE149" s="2"/>
      <c r="EF149" s="2"/>
      <c r="EG149" s="2"/>
      <c r="EH149" s="2"/>
      <c r="EI149" s="2"/>
      <c r="EJ149" s="2"/>
      <c r="EK149" s="2"/>
      <c r="EL149" s="2"/>
      <c r="EM149" s="2"/>
      <c r="EN149" s="2"/>
      <c r="EO149" s="2"/>
      <c r="EP149" s="2"/>
      <c r="EQ149" s="2"/>
      <c r="ER149" s="2"/>
      <c r="ES149" s="2"/>
      <c r="ET149" s="2"/>
      <c r="EU149" s="2"/>
      <c r="EV149" s="2"/>
      <c r="EW149" s="2"/>
      <c r="EX149" s="2"/>
      <c r="EY149" s="2"/>
      <c r="EZ149" s="2"/>
      <c r="FA149" s="2"/>
      <c r="FB149" s="2"/>
      <c r="FC149" s="2"/>
      <c r="FD149" s="2"/>
      <c r="FE149" s="2"/>
      <c r="FF149" s="2"/>
      <c r="FG149" s="2"/>
      <c r="FH149" s="2"/>
      <c r="FI149" s="2"/>
      <c r="FJ149" s="2"/>
      <c r="FK149" s="2"/>
      <c r="FL149" s="2"/>
      <c r="FM149" s="2"/>
      <c r="FN149" s="2"/>
      <c r="FO149" s="2"/>
      <c r="FP149" s="2"/>
      <c r="FQ149" s="2"/>
      <c r="FR149" s="2"/>
      <c r="FS149" s="2"/>
      <c r="FT149" s="2"/>
      <c r="FU149" s="2"/>
      <c r="FV149" s="2"/>
      <c r="FW149" s="2"/>
      <c r="FX149" s="2"/>
      <c r="FY149" s="2"/>
      <c r="FZ149" s="2"/>
      <c r="GA149" s="2"/>
      <c r="GB149" s="2"/>
      <c r="GC149" s="2"/>
      <c r="GD149" s="2"/>
      <c r="GE149" s="2"/>
      <c r="GF149" s="2"/>
      <c r="GG149" s="2"/>
      <c r="GH149" s="2"/>
      <c r="GI149" s="2"/>
      <c r="GJ149" s="2"/>
      <c r="GK149" s="2"/>
      <c r="GL149" s="2"/>
      <c r="GM149" s="2"/>
      <c r="GN149" s="2"/>
      <c r="GO149" s="2"/>
      <c r="GP149" s="2"/>
      <c r="GQ149" s="2"/>
      <c r="GR149" s="2"/>
      <c r="GS149" s="2"/>
      <c r="GT149" s="2"/>
      <c r="GU149" s="2"/>
      <c r="GV149" s="2"/>
      <c r="GW149" s="2"/>
      <c r="GX149" s="2"/>
      <c r="GY149" s="2"/>
      <c r="GZ149" s="2"/>
      <c r="HA149" s="2"/>
      <c r="HB149" s="2"/>
      <c r="HC149" s="2"/>
      <c r="HD149" s="2"/>
      <c r="HE149" s="2"/>
      <c r="HF149" s="2"/>
      <c r="HG149" s="2"/>
      <c r="HH149" s="2"/>
      <c r="HI149" s="2"/>
      <c r="HJ149" s="2"/>
      <c r="HK149" s="2"/>
      <c r="HL149" s="2"/>
      <c r="HM149" s="2"/>
      <c r="HN149" s="2"/>
      <c r="HO149" s="2"/>
      <c r="HP149" s="2"/>
      <c r="HQ149" s="2"/>
      <c r="HR149" s="2"/>
      <c r="HS149" s="2"/>
      <c r="HT149" s="2"/>
      <c r="HU149" s="2"/>
      <c r="HV149" s="2"/>
      <c r="HW149" s="2"/>
      <c r="HX149" s="2"/>
      <c r="HY149" s="2"/>
      <c r="HZ149" s="2"/>
      <c r="IA149" s="2"/>
      <c r="IB149" s="2"/>
      <c r="IC149" s="2"/>
      <c r="ID149" s="2"/>
      <c r="IE149" s="2"/>
      <c r="IF149" s="2"/>
      <c r="IG149" s="2"/>
      <c r="IH149" s="2"/>
      <c r="II149" s="2"/>
      <c r="IJ149" s="2"/>
      <c r="IK149" s="2"/>
      <c r="IL149" s="2"/>
      <c r="IM149" s="2"/>
      <c r="IN149" s="2"/>
      <c r="IO149" s="2"/>
      <c r="IP149" s="2"/>
      <c r="IQ149" s="2"/>
      <c r="IR149" s="2"/>
      <c r="IS149" s="2"/>
    </row>
    <row r="150" spans="1:253" s="6" customFormat="1" ht="15.75" customHeight="1" x14ac:dyDescent="0.25">
      <c r="A150" s="1"/>
      <c r="B150" s="38" t="s">
        <v>1853</v>
      </c>
      <c r="C150" s="45">
        <f>siquijor!$D$25</f>
        <v>14454</v>
      </c>
      <c r="D150" s="51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  <c r="DP150" s="2"/>
      <c r="DQ150" s="2"/>
      <c r="DR150" s="2"/>
      <c r="DS150" s="2"/>
      <c r="DT150" s="2"/>
      <c r="DU150" s="2"/>
      <c r="DV150" s="2"/>
      <c r="DW150" s="2"/>
      <c r="DX150" s="2"/>
      <c r="DY150" s="2"/>
      <c r="DZ150" s="2"/>
      <c r="EA150" s="2"/>
      <c r="EB150" s="2"/>
      <c r="EC150" s="2"/>
      <c r="ED150" s="2"/>
      <c r="EE150" s="2"/>
      <c r="EF150" s="2"/>
      <c r="EG150" s="2"/>
      <c r="EH150" s="2"/>
      <c r="EI150" s="2"/>
      <c r="EJ150" s="2"/>
      <c r="EK150" s="2"/>
      <c r="EL150" s="2"/>
      <c r="EM150" s="2"/>
      <c r="EN150" s="2"/>
      <c r="EO150" s="2"/>
      <c r="EP150" s="2"/>
      <c r="EQ150" s="2"/>
      <c r="ER150" s="2"/>
      <c r="ES150" s="2"/>
      <c r="ET150" s="2"/>
      <c r="EU150" s="2"/>
      <c r="EV150" s="2"/>
      <c r="EW150" s="2"/>
      <c r="EX150" s="2"/>
      <c r="EY150" s="2"/>
      <c r="EZ150" s="2"/>
      <c r="FA150" s="2"/>
      <c r="FB150" s="2"/>
      <c r="FC150" s="2"/>
      <c r="FD150" s="2"/>
      <c r="FE150" s="2"/>
      <c r="FF150" s="2"/>
      <c r="FG150" s="2"/>
      <c r="FH150" s="2"/>
      <c r="FI150" s="2"/>
      <c r="FJ150" s="2"/>
      <c r="FK150" s="2"/>
      <c r="FL150" s="2"/>
      <c r="FM150" s="2"/>
      <c r="FN150" s="2"/>
      <c r="FO150" s="2"/>
      <c r="FP150" s="2"/>
      <c r="FQ150" s="2"/>
      <c r="FR150" s="2"/>
      <c r="FS150" s="2"/>
      <c r="FT150" s="2"/>
      <c r="FU150" s="2"/>
      <c r="FV150" s="2"/>
      <c r="FW150" s="2"/>
      <c r="FX150" s="2"/>
      <c r="FY150" s="2"/>
      <c r="FZ150" s="2"/>
      <c r="GA150" s="2"/>
      <c r="GB150" s="2"/>
      <c r="GC150" s="2"/>
      <c r="GD150" s="2"/>
      <c r="GE150" s="2"/>
      <c r="GF150" s="2"/>
      <c r="GG150" s="2"/>
      <c r="GH150" s="2"/>
      <c r="GI150" s="2"/>
      <c r="GJ150" s="2"/>
      <c r="GK150" s="2"/>
      <c r="GL150" s="2"/>
      <c r="GM150" s="2"/>
      <c r="GN150" s="2"/>
      <c r="GO150" s="2"/>
      <c r="GP150" s="2"/>
      <c r="GQ150" s="2"/>
      <c r="GR150" s="2"/>
      <c r="GS150" s="2"/>
      <c r="GT150" s="2"/>
      <c r="GU150" s="2"/>
      <c r="GV150" s="2"/>
      <c r="GW150" s="2"/>
      <c r="GX150" s="2"/>
      <c r="GY150" s="2"/>
      <c r="GZ150" s="2"/>
      <c r="HA150" s="2"/>
      <c r="HB150" s="2"/>
      <c r="HC150" s="2"/>
      <c r="HD150" s="2"/>
      <c r="HE150" s="2"/>
      <c r="HF150" s="2"/>
      <c r="HG150" s="2"/>
      <c r="HH150" s="2"/>
      <c r="HI150" s="2"/>
      <c r="HJ150" s="2"/>
      <c r="HK150" s="2"/>
      <c r="HL150" s="2"/>
      <c r="HM150" s="2"/>
      <c r="HN150" s="2"/>
      <c r="HO150" s="2"/>
      <c r="HP150" s="2"/>
      <c r="HQ150" s="2"/>
      <c r="HR150" s="2"/>
      <c r="HS150" s="2"/>
      <c r="HT150" s="2"/>
      <c r="HU150" s="2"/>
      <c r="HV150" s="2"/>
      <c r="HW150" s="2"/>
      <c r="HX150" s="2"/>
      <c r="HY150" s="2"/>
      <c r="HZ150" s="2"/>
      <c r="IA150" s="2"/>
      <c r="IB150" s="2"/>
      <c r="IC150" s="2"/>
      <c r="ID150" s="2"/>
      <c r="IE150" s="2"/>
      <c r="IF150" s="2"/>
      <c r="IG150" s="2"/>
      <c r="IH150" s="2"/>
      <c r="II150" s="2"/>
      <c r="IJ150" s="2"/>
      <c r="IK150" s="2"/>
      <c r="IL150" s="2"/>
      <c r="IM150" s="2"/>
      <c r="IN150" s="2"/>
      <c r="IO150" s="2"/>
      <c r="IP150" s="2"/>
      <c r="IQ150" s="2"/>
      <c r="IR150" s="2"/>
      <c r="IS150" s="2"/>
    </row>
    <row r="151" spans="1:253" s="6" customFormat="1" ht="15.75" customHeight="1" x14ac:dyDescent="0.25">
      <c r="A151" s="1"/>
      <c r="B151" s="38" t="s">
        <v>1868</v>
      </c>
      <c r="C151" s="45">
        <f>siquijor!$D$50</f>
        <v>22488</v>
      </c>
      <c r="D151" s="51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  <c r="DP151" s="2"/>
      <c r="DQ151" s="2"/>
      <c r="DR151" s="2"/>
      <c r="DS151" s="2"/>
      <c r="DT151" s="2"/>
      <c r="DU151" s="2"/>
      <c r="DV151" s="2"/>
      <c r="DW151" s="2"/>
      <c r="DX151" s="2"/>
      <c r="DY151" s="2"/>
      <c r="DZ151" s="2"/>
      <c r="EA151" s="2"/>
      <c r="EB151" s="2"/>
      <c r="EC151" s="2"/>
      <c r="ED151" s="2"/>
      <c r="EE151" s="2"/>
      <c r="EF151" s="2"/>
      <c r="EG151" s="2"/>
      <c r="EH151" s="2"/>
      <c r="EI151" s="2"/>
      <c r="EJ151" s="2"/>
      <c r="EK151" s="2"/>
      <c r="EL151" s="2"/>
      <c r="EM151" s="2"/>
      <c r="EN151" s="2"/>
      <c r="EO151" s="2"/>
      <c r="EP151" s="2"/>
      <c r="EQ151" s="2"/>
      <c r="ER151" s="2"/>
      <c r="ES151" s="2"/>
      <c r="ET151" s="2"/>
      <c r="EU151" s="2"/>
      <c r="EV151" s="2"/>
      <c r="EW151" s="2"/>
      <c r="EX151" s="2"/>
      <c r="EY151" s="2"/>
      <c r="EZ151" s="2"/>
      <c r="FA151" s="2"/>
      <c r="FB151" s="2"/>
      <c r="FC151" s="2"/>
      <c r="FD151" s="2"/>
      <c r="FE151" s="2"/>
      <c r="FF151" s="2"/>
      <c r="FG151" s="2"/>
      <c r="FH151" s="2"/>
      <c r="FI151" s="2"/>
      <c r="FJ151" s="2"/>
      <c r="FK151" s="2"/>
      <c r="FL151" s="2"/>
      <c r="FM151" s="2"/>
      <c r="FN151" s="2"/>
      <c r="FO151" s="2"/>
      <c r="FP151" s="2"/>
      <c r="FQ151" s="2"/>
      <c r="FR151" s="2"/>
      <c r="FS151" s="2"/>
      <c r="FT151" s="2"/>
      <c r="FU151" s="2"/>
      <c r="FV151" s="2"/>
      <c r="FW151" s="2"/>
      <c r="FX151" s="2"/>
      <c r="FY151" s="2"/>
      <c r="FZ151" s="2"/>
      <c r="GA151" s="2"/>
      <c r="GB151" s="2"/>
      <c r="GC151" s="2"/>
      <c r="GD151" s="2"/>
      <c r="GE151" s="2"/>
      <c r="GF151" s="2"/>
      <c r="GG151" s="2"/>
      <c r="GH151" s="2"/>
      <c r="GI151" s="2"/>
      <c r="GJ151" s="2"/>
      <c r="GK151" s="2"/>
      <c r="GL151" s="2"/>
      <c r="GM151" s="2"/>
      <c r="GN151" s="2"/>
      <c r="GO151" s="2"/>
      <c r="GP151" s="2"/>
      <c r="GQ151" s="2"/>
      <c r="GR151" s="2"/>
      <c r="GS151" s="2"/>
      <c r="GT151" s="2"/>
      <c r="GU151" s="2"/>
      <c r="GV151" s="2"/>
      <c r="GW151" s="2"/>
      <c r="GX151" s="2"/>
      <c r="GY151" s="2"/>
      <c r="GZ151" s="2"/>
      <c r="HA151" s="2"/>
      <c r="HB151" s="2"/>
      <c r="HC151" s="2"/>
      <c r="HD151" s="2"/>
      <c r="HE151" s="2"/>
      <c r="HF151" s="2"/>
      <c r="HG151" s="2"/>
      <c r="HH151" s="2"/>
      <c r="HI151" s="2"/>
      <c r="HJ151" s="2"/>
      <c r="HK151" s="2"/>
      <c r="HL151" s="2"/>
      <c r="HM151" s="2"/>
      <c r="HN151" s="2"/>
      <c r="HO151" s="2"/>
      <c r="HP151" s="2"/>
      <c r="HQ151" s="2"/>
      <c r="HR151" s="2"/>
      <c r="HS151" s="2"/>
      <c r="HT151" s="2"/>
      <c r="HU151" s="2"/>
      <c r="HV151" s="2"/>
      <c r="HW151" s="2"/>
      <c r="HX151" s="2"/>
      <c r="HY151" s="2"/>
      <c r="HZ151" s="2"/>
      <c r="IA151" s="2"/>
      <c r="IB151" s="2"/>
      <c r="IC151" s="2"/>
      <c r="ID151" s="2"/>
      <c r="IE151" s="2"/>
      <c r="IF151" s="2"/>
      <c r="IG151" s="2"/>
      <c r="IH151" s="2"/>
      <c r="II151" s="2"/>
      <c r="IJ151" s="2"/>
      <c r="IK151" s="2"/>
      <c r="IL151" s="2"/>
      <c r="IM151" s="2"/>
      <c r="IN151" s="2"/>
      <c r="IO151" s="2"/>
      <c r="IP151" s="2"/>
      <c r="IQ151" s="2"/>
      <c r="IR151" s="2"/>
      <c r="IS151" s="2"/>
    </row>
    <row r="152" spans="1:253" s="6" customFormat="1" ht="15.75" customHeight="1" x14ac:dyDescent="0.25">
      <c r="A152" s="1"/>
      <c r="B152" s="38" t="s">
        <v>1886</v>
      </c>
      <c r="C152" s="45">
        <f>siquijor!$D$70</f>
        <v>14385</v>
      </c>
      <c r="D152" s="51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  <c r="DP152" s="2"/>
      <c r="DQ152" s="2"/>
      <c r="DR152" s="2"/>
      <c r="DS152" s="2"/>
      <c r="DT152" s="2"/>
      <c r="DU152" s="2"/>
      <c r="DV152" s="2"/>
      <c r="DW152" s="2"/>
      <c r="DX152" s="2"/>
      <c r="DY152" s="2"/>
      <c r="DZ152" s="2"/>
      <c r="EA152" s="2"/>
      <c r="EB152" s="2"/>
      <c r="EC152" s="2"/>
      <c r="ED152" s="2"/>
      <c r="EE152" s="2"/>
      <c r="EF152" s="2"/>
      <c r="EG152" s="2"/>
      <c r="EH152" s="2"/>
      <c r="EI152" s="2"/>
      <c r="EJ152" s="2"/>
      <c r="EK152" s="2"/>
      <c r="EL152" s="2"/>
      <c r="EM152" s="2"/>
      <c r="EN152" s="2"/>
      <c r="EO152" s="2"/>
      <c r="EP152" s="2"/>
      <c r="EQ152" s="2"/>
      <c r="ER152" s="2"/>
      <c r="ES152" s="2"/>
      <c r="ET152" s="2"/>
      <c r="EU152" s="2"/>
      <c r="EV152" s="2"/>
      <c r="EW152" s="2"/>
      <c r="EX152" s="2"/>
      <c r="EY152" s="2"/>
      <c r="EZ152" s="2"/>
      <c r="FA152" s="2"/>
      <c r="FB152" s="2"/>
      <c r="FC152" s="2"/>
      <c r="FD152" s="2"/>
      <c r="FE152" s="2"/>
      <c r="FF152" s="2"/>
      <c r="FG152" s="2"/>
      <c r="FH152" s="2"/>
      <c r="FI152" s="2"/>
      <c r="FJ152" s="2"/>
      <c r="FK152" s="2"/>
      <c r="FL152" s="2"/>
      <c r="FM152" s="2"/>
      <c r="FN152" s="2"/>
      <c r="FO152" s="2"/>
      <c r="FP152" s="2"/>
      <c r="FQ152" s="2"/>
      <c r="FR152" s="2"/>
      <c r="FS152" s="2"/>
      <c r="FT152" s="2"/>
      <c r="FU152" s="2"/>
      <c r="FV152" s="2"/>
      <c r="FW152" s="2"/>
      <c r="FX152" s="2"/>
      <c r="FY152" s="2"/>
      <c r="FZ152" s="2"/>
      <c r="GA152" s="2"/>
      <c r="GB152" s="2"/>
      <c r="GC152" s="2"/>
      <c r="GD152" s="2"/>
      <c r="GE152" s="2"/>
      <c r="GF152" s="2"/>
      <c r="GG152" s="2"/>
      <c r="GH152" s="2"/>
      <c r="GI152" s="2"/>
      <c r="GJ152" s="2"/>
      <c r="GK152" s="2"/>
      <c r="GL152" s="2"/>
      <c r="GM152" s="2"/>
      <c r="GN152" s="2"/>
      <c r="GO152" s="2"/>
      <c r="GP152" s="2"/>
      <c r="GQ152" s="2"/>
      <c r="GR152" s="2"/>
      <c r="GS152" s="2"/>
      <c r="GT152" s="2"/>
      <c r="GU152" s="2"/>
      <c r="GV152" s="2"/>
      <c r="GW152" s="2"/>
      <c r="GX152" s="2"/>
      <c r="GY152" s="2"/>
      <c r="GZ152" s="2"/>
      <c r="HA152" s="2"/>
      <c r="HB152" s="2"/>
      <c r="HC152" s="2"/>
      <c r="HD152" s="2"/>
      <c r="HE152" s="2"/>
      <c r="HF152" s="2"/>
      <c r="HG152" s="2"/>
      <c r="HH152" s="2"/>
      <c r="HI152" s="2"/>
      <c r="HJ152" s="2"/>
      <c r="HK152" s="2"/>
      <c r="HL152" s="2"/>
      <c r="HM152" s="2"/>
      <c r="HN152" s="2"/>
      <c r="HO152" s="2"/>
      <c r="HP152" s="2"/>
      <c r="HQ152" s="2"/>
      <c r="HR152" s="2"/>
      <c r="HS152" s="2"/>
      <c r="HT152" s="2"/>
      <c r="HU152" s="2"/>
      <c r="HV152" s="2"/>
      <c r="HW152" s="2"/>
      <c r="HX152" s="2"/>
      <c r="HY152" s="2"/>
      <c r="HZ152" s="2"/>
      <c r="IA152" s="2"/>
      <c r="IB152" s="2"/>
      <c r="IC152" s="2"/>
      <c r="ID152" s="2"/>
      <c r="IE152" s="2"/>
      <c r="IF152" s="2"/>
      <c r="IG152" s="2"/>
      <c r="IH152" s="2"/>
      <c r="II152" s="2"/>
      <c r="IJ152" s="2"/>
      <c r="IK152" s="2"/>
      <c r="IL152" s="2"/>
      <c r="IM152" s="2"/>
      <c r="IN152" s="2"/>
      <c r="IO152" s="2"/>
      <c r="IP152" s="2"/>
      <c r="IQ152" s="2"/>
      <c r="IR152" s="2"/>
      <c r="IS152" s="2"/>
    </row>
    <row r="153" spans="1:253" s="6" customFormat="1" ht="15.75" customHeight="1" x14ac:dyDescent="0.25">
      <c r="A153" s="1"/>
      <c r="B153" s="38" t="s">
        <v>1900</v>
      </c>
      <c r="C153" s="45">
        <f>siquijor!$D$94</f>
        <v>16363</v>
      </c>
      <c r="D153" s="51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  <c r="DP153" s="2"/>
      <c r="DQ153" s="2"/>
      <c r="DR153" s="2"/>
      <c r="DS153" s="2"/>
      <c r="DT153" s="2"/>
      <c r="DU153" s="2"/>
      <c r="DV153" s="2"/>
      <c r="DW153" s="2"/>
      <c r="DX153" s="2"/>
      <c r="DY153" s="2"/>
      <c r="DZ153" s="2"/>
      <c r="EA153" s="2"/>
      <c r="EB153" s="2"/>
      <c r="EC153" s="2"/>
      <c r="ED153" s="2"/>
      <c r="EE153" s="2"/>
      <c r="EF153" s="2"/>
      <c r="EG153" s="2"/>
      <c r="EH153" s="2"/>
      <c r="EI153" s="2"/>
      <c r="EJ153" s="2"/>
      <c r="EK153" s="2"/>
      <c r="EL153" s="2"/>
      <c r="EM153" s="2"/>
      <c r="EN153" s="2"/>
      <c r="EO153" s="2"/>
      <c r="EP153" s="2"/>
      <c r="EQ153" s="2"/>
      <c r="ER153" s="2"/>
      <c r="ES153" s="2"/>
      <c r="ET153" s="2"/>
      <c r="EU153" s="2"/>
      <c r="EV153" s="2"/>
      <c r="EW153" s="2"/>
      <c r="EX153" s="2"/>
      <c r="EY153" s="2"/>
      <c r="EZ153" s="2"/>
      <c r="FA153" s="2"/>
      <c r="FB153" s="2"/>
      <c r="FC153" s="2"/>
      <c r="FD153" s="2"/>
      <c r="FE153" s="2"/>
      <c r="FF153" s="2"/>
      <c r="FG153" s="2"/>
      <c r="FH153" s="2"/>
      <c r="FI153" s="2"/>
      <c r="FJ153" s="2"/>
      <c r="FK153" s="2"/>
      <c r="FL153" s="2"/>
      <c r="FM153" s="2"/>
      <c r="FN153" s="2"/>
      <c r="FO153" s="2"/>
      <c r="FP153" s="2"/>
      <c r="FQ153" s="2"/>
      <c r="FR153" s="2"/>
      <c r="FS153" s="2"/>
      <c r="FT153" s="2"/>
      <c r="FU153" s="2"/>
      <c r="FV153" s="2"/>
      <c r="FW153" s="2"/>
      <c r="FX153" s="2"/>
      <c r="FY153" s="2"/>
      <c r="FZ153" s="2"/>
      <c r="GA153" s="2"/>
      <c r="GB153" s="2"/>
      <c r="GC153" s="2"/>
      <c r="GD153" s="2"/>
      <c r="GE153" s="2"/>
      <c r="GF153" s="2"/>
      <c r="GG153" s="2"/>
      <c r="GH153" s="2"/>
      <c r="GI153" s="2"/>
      <c r="GJ153" s="2"/>
      <c r="GK153" s="2"/>
      <c r="GL153" s="2"/>
      <c r="GM153" s="2"/>
      <c r="GN153" s="2"/>
      <c r="GO153" s="2"/>
      <c r="GP153" s="2"/>
      <c r="GQ153" s="2"/>
      <c r="GR153" s="2"/>
      <c r="GS153" s="2"/>
      <c r="GT153" s="2"/>
      <c r="GU153" s="2"/>
      <c r="GV153" s="2"/>
      <c r="GW153" s="2"/>
      <c r="GX153" s="2"/>
      <c r="GY153" s="2"/>
      <c r="GZ153" s="2"/>
      <c r="HA153" s="2"/>
      <c r="HB153" s="2"/>
      <c r="HC153" s="2"/>
      <c r="HD153" s="2"/>
      <c r="HE153" s="2"/>
      <c r="HF153" s="2"/>
      <c r="HG153" s="2"/>
      <c r="HH153" s="2"/>
      <c r="HI153" s="2"/>
      <c r="HJ153" s="2"/>
      <c r="HK153" s="2"/>
      <c r="HL153" s="2"/>
      <c r="HM153" s="2"/>
      <c r="HN153" s="2"/>
      <c r="HO153" s="2"/>
      <c r="HP153" s="2"/>
      <c r="HQ153" s="2"/>
      <c r="HR153" s="2"/>
      <c r="HS153" s="2"/>
      <c r="HT153" s="2"/>
      <c r="HU153" s="2"/>
      <c r="HV153" s="2"/>
      <c r="HW153" s="2"/>
      <c r="HX153" s="2"/>
      <c r="HY153" s="2"/>
      <c r="HZ153" s="2"/>
      <c r="IA153" s="2"/>
      <c r="IB153" s="2"/>
      <c r="IC153" s="2"/>
      <c r="ID153" s="2"/>
      <c r="IE153" s="2"/>
      <c r="IF153" s="2"/>
      <c r="IG153" s="2"/>
      <c r="IH153" s="2"/>
      <c r="II153" s="2"/>
      <c r="IJ153" s="2"/>
      <c r="IK153" s="2"/>
      <c r="IL153" s="2"/>
      <c r="IM153" s="2"/>
      <c r="IN153" s="2"/>
      <c r="IO153" s="2"/>
      <c r="IP153" s="2"/>
      <c r="IQ153" s="2"/>
      <c r="IR153" s="2"/>
      <c r="IS153" s="2"/>
    </row>
    <row r="154" spans="1:253" s="6" customFormat="1" ht="15.75" customHeight="1" x14ac:dyDescent="0.25">
      <c r="A154" s="1"/>
      <c r="B154" s="38" t="s">
        <v>1946</v>
      </c>
      <c r="C154" s="45">
        <f>siquijor!$D$111</f>
        <v>28915</v>
      </c>
      <c r="D154" s="51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  <c r="DP154" s="2"/>
      <c r="DQ154" s="2"/>
      <c r="DR154" s="2"/>
      <c r="DS154" s="2"/>
      <c r="DT154" s="2"/>
      <c r="DU154" s="2"/>
      <c r="DV154" s="2"/>
      <c r="DW154" s="2"/>
      <c r="DX154" s="2"/>
      <c r="DY154" s="2"/>
      <c r="DZ154" s="2"/>
      <c r="EA154" s="2"/>
      <c r="EB154" s="2"/>
      <c r="EC154" s="2"/>
      <c r="ED154" s="2"/>
      <c r="EE154" s="2"/>
      <c r="EF154" s="2"/>
      <c r="EG154" s="2"/>
      <c r="EH154" s="2"/>
      <c r="EI154" s="2"/>
      <c r="EJ154" s="2"/>
      <c r="EK154" s="2"/>
      <c r="EL154" s="2"/>
      <c r="EM154" s="2"/>
      <c r="EN154" s="2"/>
      <c r="EO154" s="2"/>
      <c r="EP154" s="2"/>
      <c r="EQ154" s="2"/>
      <c r="ER154" s="2"/>
      <c r="ES154" s="2"/>
      <c r="ET154" s="2"/>
      <c r="EU154" s="2"/>
      <c r="EV154" s="2"/>
      <c r="EW154" s="2"/>
      <c r="EX154" s="2"/>
      <c r="EY154" s="2"/>
      <c r="EZ154" s="2"/>
      <c r="FA154" s="2"/>
      <c r="FB154" s="2"/>
      <c r="FC154" s="2"/>
      <c r="FD154" s="2"/>
      <c r="FE154" s="2"/>
      <c r="FF154" s="2"/>
      <c r="FG154" s="2"/>
      <c r="FH154" s="2"/>
      <c r="FI154" s="2"/>
      <c r="FJ154" s="2"/>
      <c r="FK154" s="2"/>
      <c r="FL154" s="2"/>
      <c r="FM154" s="2"/>
      <c r="FN154" s="2"/>
      <c r="FO154" s="2"/>
      <c r="FP154" s="2"/>
      <c r="FQ154" s="2"/>
      <c r="FR154" s="2"/>
      <c r="FS154" s="2"/>
      <c r="FT154" s="2"/>
      <c r="FU154" s="2"/>
      <c r="FV154" s="2"/>
      <c r="FW154" s="2"/>
      <c r="FX154" s="2"/>
      <c r="FY154" s="2"/>
      <c r="FZ154" s="2"/>
      <c r="GA154" s="2"/>
      <c r="GB154" s="2"/>
      <c r="GC154" s="2"/>
      <c r="GD154" s="2"/>
      <c r="GE154" s="2"/>
      <c r="GF154" s="2"/>
      <c r="GG154" s="2"/>
      <c r="GH154" s="2"/>
      <c r="GI154" s="2"/>
      <c r="GJ154" s="2"/>
      <c r="GK154" s="2"/>
      <c r="GL154" s="2"/>
      <c r="GM154" s="2"/>
      <c r="GN154" s="2"/>
      <c r="GO154" s="2"/>
      <c r="GP154" s="2"/>
      <c r="GQ154" s="2"/>
      <c r="GR154" s="2"/>
      <c r="GS154" s="2"/>
      <c r="GT154" s="2"/>
      <c r="GU154" s="2"/>
      <c r="GV154" s="2"/>
      <c r="GW154" s="2"/>
      <c r="GX154" s="2"/>
      <c r="GY154" s="2"/>
      <c r="GZ154" s="2"/>
      <c r="HA154" s="2"/>
      <c r="HB154" s="2"/>
      <c r="HC154" s="2"/>
      <c r="HD154" s="2"/>
      <c r="HE154" s="2"/>
      <c r="HF154" s="2"/>
      <c r="HG154" s="2"/>
      <c r="HH154" s="2"/>
      <c r="HI154" s="2"/>
      <c r="HJ154" s="2"/>
      <c r="HK154" s="2"/>
      <c r="HL154" s="2"/>
      <c r="HM154" s="2"/>
      <c r="HN154" s="2"/>
      <c r="HO154" s="2"/>
      <c r="HP154" s="2"/>
      <c r="HQ154" s="2"/>
      <c r="HR154" s="2"/>
      <c r="HS154" s="2"/>
      <c r="HT154" s="2"/>
      <c r="HU154" s="2"/>
      <c r="HV154" s="2"/>
      <c r="HW154" s="2"/>
      <c r="HX154" s="2"/>
      <c r="HY154" s="2"/>
      <c r="HZ154" s="2"/>
      <c r="IA154" s="2"/>
      <c r="IB154" s="2"/>
      <c r="IC154" s="2"/>
      <c r="ID154" s="2"/>
      <c r="IE154" s="2"/>
      <c r="IF154" s="2"/>
      <c r="IG154" s="2"/>
      <c r="IH154" s="2"/>
      <c r="II154" s="2"/>
      <c r="IJ154" s="2"/>
      <c r="IK154" s="2"/>
      <c r="IL154" s="2"/>
      <c r="IM154" s="2"/>
      <c r="IN154" s="2"/>
      <c r="IO154" s="2"/>
      <c r="IP154" s="2"/>
      <c r="IQ154" s="2"/>
      <c r="IR154" s="2"/>
      <c r="IS154" s="2"/>
    </row>
    <row r="155" spans="1:253" s="6" customFormat="1" ht="15.75" customHeight="1" x14ac:dyDescent="0.25">
      <c r="A155" s="1"/>
      <c r="B155" s="23"/>
      <c r="C155" s="24"/>
      <c r="D155" s="51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  <c r="DP155" s="2"/>
      <c r="DQ155" s="2"/>
      <c r="DR155" s="2"/>
      <c r="DS155" s="2"/>
      <c r="DT155" s="2"/>
      <c r="DU155" s="2"/>
      <c r="DV155" s="2"/>
      <c r="DW155" s="2"/>
      <c r="DX155" s="2"/>
      <c r="DY155" s="2"/>
      <c r="DZ155" s="2"/>
      <c r="EA155" s="2"/>
      <c r="EB155" s="2"/>
      <c r="EC155" s="2"/>
      <c r="ED155" s="2"/>
      <c r="EE155" s="2"/>
      <c r="EF155" s="2"/>
      <c r="EG155" s="2"/>
      <c r="EH155" s="2"/>
      <c r="EI155" s="2"/>
      <c r="EJ155" s="2"/>
      <c r="EK155" s="2"/>
      <c r="EL155" s="2"/>
      <c r="EM155" s="2"/>
      <c r="EN155" s="2"/>
      <c r="EO155" s="2"/>
      <c r="EP155" s="2"/>
      <c r="EQ155" s="2"/>
      <c r="ER155" s="2"/>
      <c r="ES155" s="2"/>
      <c r="ET155" s="2"/>
      <c r="EU155" s="2"/>
      <c r="EV155" s="2"/>
      <c r="EW155" s="2"/>
      <c r="EX155" s="2"/>
      <c r="EY155" s="2"/>
      <c r="EZ155" s="2"/>
      <c r="FA155" s="2"/>
      <c r="FB155" s="2"/>
      <c r="FC155" s="2"/>
      <c r="FD155" s="2"/>
      <c r="FE155" s="2"/>
      <c r="FF155" s="2"/>
      <c r="FG155" s="2"/>
      <c r="FH155" s="2"/>
      <c r="FI155" s="2"/>
      <c r="FJ155" s="2"/>
      <c r="FK155" s="2"/>
      <c r="FL155" s="2"/>
      <c r="FM155" s="2"/>
      <c r="FN155" s="2"/>
      <c r="FO155" s="2"/>
      <c r="FP155" s="2"/>
      <c r="FQ155" s="2"/>
      <c r="FR155" s="2"/>
      <c r="FS155" s="2"/>
      <c r="FT155" s="2"/>
      <c r="FU155" s="2"/>
      <c r="FV155" s="2"/>
      <c r="FW155" s="2"/>
      <c r="FX155" s="2"/>
      <c r="FY155" s="2"/>
      <c r="FZ155" s="2"/>
      <c r="GA155" s="2"/>
      <c r="GB155" s="2"/>
      <c r="GC155" s="2"/>
      <c r="GD155" s="2"/>
      <c r="GE155" s="2"/>
      <c r="GF155" s="2"/>
      <c r="GG155" s="2"/>
      <c r="GH155" s="2"/>
      <c r="GI155" s="2"/>
      <c r="GJ155" s="2"/>
      <c r="GK155" s="2"/>
      <c r="GL155" s="2"/>
      <c r="GM155" s="2"/>
      <c r="GN155" s="2"/>
      <c r="GO155" s="2"/>
      <c r="GP155" s="2"/>
      <c r="GQ155" s="2"/>
      <c r="GR155" s="2"/>
      <c r="GS155" s="2"/>
      <c r="GT155" s="2"/>
      <c r="GU155" s="2"/>
      <c r="GV155" s="2"/>
      <c r="GW155" s="2"/>
      <c r="GX155" s="2"/>
      <c r="GY155" s="2"/>
      <c r="GZ155" s="2"/>
      <c r="HA155" s="2"/>
      <c r="HB155" s="2"/>
      <c r="HC155" s="2"/>
      <c r="HD155" s="2"/>
      <c r="HE155" s="2"/>
      <c r="HF155" s="2"/>
      <c r="HG155" s="2"/>
      <c r="HH155" s="2"/>
      <c r="HI155" s="2"/>
      <c r="HJ155" s="2"/>
      <c r="HK155" s="2"/>
      <c r="HL155" s="2"/>
      <c r="HM155" s="2"/>
      <c r="HN155" s="2"/>
      <c r="HO155" s="2"/>
      <c r="HP155" s="2"/>
      <c r="HQ155" s="2"/>
      <c r="HR155" s="2"/>
      <c r="HS155" s="2"/>
      <c r="HT155" s="2"/>
      <c r="HU155" s="2"/>
      <c r="HV155" s="2"/>
      <c r="HW155" s="2"/>
      <c r="HX155" s="2"/>
      <c r="HY155" s="2"/>
      <c r="HZ155" s="2"/>
      <c r="IA155" s="2"/>
      <c r="IB155" s="2"/>
      <c r="IC155" s="2"/>
      <c r="ID155" s="2"/>
      <c r="IE155" s="2"/>
      <c r="IF155" s="2"/>
      <c r="IG155" s="2"/>
      <c r="IH155" s="2"/>
      <c r="II155" s="2"/>
      <c r="IJ155" s="2"/>
      <c r="IK155" s="2"/>
      <c r="IL155" s="2"/>
      <c r="IM155" s="2"/>
      <c r="IN155" s="2"/>
      <c r="IO155" s="2"/>
      <c r="IP155" s="2"/>
      <c r="IQ155" s="2"/>
      <c r="IR155" s="2"/>
      <c r="IS155" s="2"/>
    </row>
    <row r="156" spans="1:253" s="6" customFormat="1" ht="15.75" customHeight="1" x14ac:dyDescent="0.25">
      <c r="A156" s="1"/>
      <c r="B156" s="20"/>
      <c r="C156" s="5"/>
      <c r="D156" s="51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  <c r="DP156" s="2"/>
      <c r="DQ156" s="2"/>
      <c r="DR156" s="2"/>
      <c r="DS156" s="2"/>
      <c r="DT156" s="2"/>
      <c r="DU156" s="2"/>
      <c r="DV156" s="2"/>
      <c r="DW156" s="2"/>
      <c r="DX156" s="2"/>
      <c r="DY156" s="2"/>
      <c r="DZ156" s="2"/>
      <c r="EA156" s="2"/>
      <c r="EB156" s="2"/>
      <c r="EC156" s="2"/>
      <c r="ED156" s="2"/>
      <c r="EE156" s="2"/>
      <c r="EF156" s="2"/>
      <c r="EG156" s="2"/>
      <c r="EH156" s="2"/>
      <c r="EI156" s="2"/>
      <c r="EJ156" s="2"/>
      <c r="EK156" s="2"/>
      <c r="EL156" s="2"/>
      <c r="EM156" s="2"/>
      <c r="EN156" s="2"/>
      <c r="EO156" s="2"/>
      <c r="EP156" s="2"/>
      <c r="EQ156" s="2"/>
      <c r="ER156" s="2"/>
      <c r="ES156" s="2"/>
      <c r="ET156" s="2"/>
      <c r="EU156" s="2"/>
      <c r="EV156" s="2"/>
      <c r="EW156" s="2"/>
      <c r="EX156" s="2"/>
      <c r="EY156" s="2"/>
      <c r="EZ156" s="2"/>
      <c r="FA156" s="2"/>
      <c r="FB156" s="2"/>
      <c r="FC156" s="2"/>
      <c r="FD156" s="2"/>
      <c r="FE156" s="2"/>
      <c r="FF156" s="2"/>
      <c r="FG156" s="2"/>
      <c r="FH156" s="2"/>
      <c r="FI156" s="2"/>
      <c r="FJ156" s="2"/>
      <c r="FK156" s="2"/>
      <c r="FL156" s="2"/>
      <c r="FM156" s="2"/>
      <c r="FN156" s="2"/>
      <c r="FO156" s="2"/>
      <c r="FP156" s="2"/>
      <c r="FQ156" s="2"/>
      <c r="FR156" s="2"/>
      <c r="FS156" s="2"/>
      <c r="FT156" s="2"/>
      <c r="FU156" s="2"/>
      <c r="FV156" s="2"/>
      <c r="FW156" s="2"/>
      <c r="FX156" s="2"/>
      <c r="FY156" s="2"/>
      <c r="FZ156" s="2"/>
      <c r="GA156" s="2"/>
      <c r="GB156" s="2"/>
      <c r="GC156" s="2"/>
      <c r="GD156" s="2"/>
      <c r="GE156" s="2"/>
      <c r="GF156" s="2"/>
      <c r="GG156" s="2"/>
      <c r="GH156" s="2"/>
      <c r="GI156" s="2"/>
      <c r="GJ156" s="2"/>
      <c r="GK156" s="2"/>
      <c r="GL156" s="2"/>
      <c r="GM156" s="2"/>
      <c r="GN156" s="2"/>
      <c r="GO156" s="2"/>
      <c r="GP156" s="2"/>
      <c r="GQ156" s="2"/>
      <c r="GR156" s="2"/>
      <c r="GS156" s="2"/>
      <c r="GT156" s="2"/>
      <c r="GU156" s="2"/>
      <c r="GV156" s="2"/>
      <c r="GW156" s="2"/>
      <c r="GX156" s="2"/>
      <c r="GY156" s="2"/>
      <c r="GZ156" s="2"/>
      <c r="HA156" s="2"/>
      <c r="HB156" s="2"/>
      <c r="HC156" s="2"/>
      <c r="HD156" s="2"/>
      <c r="HE156" s="2"/>
      <c r="HF156" s="2"/>
      <c r="HG156" s="2"/>
      <c r="HH156" s="2"/>
      <c r="HI156" s="2"/>
      <c r="HJ156" s="2"/>
      <c r="HK156" s="2"/>
      <c r="HL156" s="2"/>
      <c r="HM156" s="2"/>
      <c r="HN156" s="2"/>
      <c r="HO156" s="2"/>
      <c r="HP156" s="2"/>
      <c r="HQ156" s="2"/>
      <c r="HR156" s="2"/>
      <c r="HS156" s="2"/>
      <c r="HT156" s="2"/>
      <c r="HU156" s="2"/>
      <c r="HV156" s="2"/>
      <c r="HW156" s="2"/>
      <c r="HX156" s="2"/>
      <c r="HY156" s="2"/>
      <c r="HZ156" s="2"/>
      <c r="IA156" s="2"/>
      <c r="IB156" s="2"/>
      <c r="IC156" s="2"/>
      <c r="ID156" s="2"/>
      <c r="IE156" s="2"/>
      <c r="IF156" s="2"/>
      <c r="IG156" s="2"/>
      <c r="IH156" s="2"/>
      <c r="II156" s="2"/>
      <c r="IJ156" s="2"/>
      <c r="IK156" s="2"/>
      <c r="IL156" s="2"/>
      <c r="IM156" s="2"/>
      <c r="IN156" s="2"/>
      <c r="IO156" s="2"/>
      <c r="IP156" s="2"/>
      <c r="IQ156" s="2"/>
      <c r="IR156" s="2"/>
      <c r="IS156" s="2"/>
    </row>
    <row r="157" spans="1:253" s="6" customFormat="1" ht="15.75" customHeight="1" x14ac:dyDescent="0.25">
      <c r="A157" s="1"/>
      <c r="B157" s="20"/>
      <c r="C157" s="5"/>
      <c r="D157" s="51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  <c r="DP157" s="2"/>
      <c r="DQ157" s="2"/>
      <c r="DR157" s="2"/>
      <c r="DS157" s="2"/>
      <c r="DT157" s="2"/>
      <c r="DU157" s="2"/>
      <c r="DV157" s="2"/>
      <c r="DW157" s="2"/>
      <c r="DX157" s="2"/>
      <c r="DY157" s="2"/>
      <c r="DZ157" s="2"/>
      <c r="EA157" s="2"/>
      <c r="EB157" s="2"/>
      <c r="EC157" s="2"/>
      <c r="ED157" s="2"/>
      <c r="EE157" s="2"/>
      <c r="EF157" s="2"/>
      <c r="EG157" s="2"/>
      <c r="EH157" s="2"/>
      <c r="EI157" s="2"/>
      <c r="EJ157" s="2"/>
      <c r="EK157" s="2"/>
      <c r="EL157" s="2"/>
      <c r="EM157" s="2"/>
      <c r="EN157" s="2"/>
      <c r="EO157" s="2"/>
      <c r="EP157" s="2"/>
      <c r="EQ157" s="2"/>
      <c r="ER157" s="2"/>
      <c r="ES157" s="2"/>
      <c r="ET157" s="2"/>
      <c r="EU157" s="2"/>
      <c r="EV157" s="2"/>
      <c r="EW157" s="2"/>
      <c r="EX157" s="2"/>
      <c r="EY157" s="2"/>
      <c r="EZ157" s="2"/>
      <c r="FA157" s="2"/>
      <c r="FB157" s="2"/>
      <c r="FC157" s="2"/>
      <c r="FD157" s="2"/>
      <c r="FE157" s="2"/>
      <c r="FF157" s="2"/>
      <c r="FG157" s="2"/>
      <c r="FH157" s="2"/>
      <c r="FI157" s="2"/>
      <c r="FJ157" s="2"/>
      <c r="FK157" s="2"/>
      <c r="FL157" s="2"/>
      <c r="FM157" s="2"/>
      <c r="FN157" s="2"/>
      <c r="FO157" s="2"/>
      <c r="FP157" s="2"/>
      <c r="FQ157" s="2"/>
      <c r="FR157" s="2"/>
      <c r="FS157" s="2"/>
      <c r="FT157" s="2"/>
      <c r="FU157" s="2"/>
      <c r="FV157" s="2"/>
      <c r="FW157" s="2"/>
      <c r="FX157" s="2"/>
      <c r="FY157" s="2"/>
      <c r="FZ157" s="2"/>
      <c r="GA157" s="2"/>
      <c r="GB157" s="2"/>
      <c r="GC157" s="2"/>
      <c r="GD157" s="2"/>
      <c r="GE157" s="2"/>
      <c r="GF157" s="2"/>
      <c r="GG157" s="2"/>
      <c r="GH157" s="2"/>
      <c r="GI157" s="2"/>
      <c r="GJ157" s="2"/>
      <c r="GK157" s="2"/>
      <c r="GL157" s="2"/>
      <c r="GM157" s="2"/>
      <c r="GN157" s="2"/>
      <c r="GO157" s="2"/>
      <c r="GP157" s="2"/>
      <c r="GQ157" s="2"/>
      <c r="GR157" s="2"/>
      <c r="GS157" s="2"/>
      <c r="GT157" s="2"/>
      <c r="GU157" s="2"/>
      <c r="GV157" s="2"/>
      <c r="GW157" s="2"/>
      <c r="GX157" s="2"/>
      <c r="GY157" s="2"/>
      <c r="GZ157" s="2"/>
      <c r="HA157" s="2"/>
      <c r="HB157" s="2"/>
      <c r="HC157" s="2"/>
      <c r="HD157" s="2"/>
      <c r="HE157" s="2"/>
      <c r="HF157" s="2"/>
      <c r="HG157" s="2"/>
      <c r="HH157" s="2"/>
      <c r="HI157" s="2"/>
      <c r="HJ157" s="2"/>
      <c r="HK157" s="2"/>
      <c r="HL157" s="2"/>
      <c r="HM157" s="2"/>
      <c r="HN157" s="2"/>
      <c r="HO157" s="2"/>
      <c r="HP157" s="2"/>
      <c r="HQ157" s="2"/>
      <c r="HR157" s="2"/>
      <c r="HS157" s="2"/>
      <c r="HT157" s="2"/>
      <c r="HU157" s="2"/>
      <c r="HV157" s="2"/>
      <c r="HW157" s="2"/>
      <c r="HX157" s="2"/>
      <c r="HY157" s="2"/>
      <c r="HZ157" s="2"/>
      <c r="IA157" s="2"/>
      <c r="IB157" s="2"/>
      <c r="IC157" s="2"/>
      <c r="ID157" s="2"/>
      <c r="IE157" s="2"/>
      <c r="IF157" s="2"/>
      <c r="IG157" s="2"/>
      <c r="IH157" s="2"/>
      <c r="II157" s="2"/>
      <c r="IJ157" s="2"/>
      <c r="IK157" s="2"/>
      <c r="IL157" s="2"/>
      <c r="IM157" s="2"/>
      <c r="IN157" s="2"/>
      <c r="IO157" s="2"/>
      <c r="IP157" s="2"/>
      <c r="IQ157" s="2"/>
      <c r="IR157" s="2"/>
      <c r="IS157" s="2"/>
    </row>
    <row r="158" spans="1:253" s="6" customFormat="1" ht="15.75" customHeight="1" x14ac:dyDescent="0.25">
      <c r="A158" s="1"/>
      <c r="B158" s="26" t="s">
        <v>1973</v>
      </c>
      <c r="C158" s="5"/>
      <c r="D158" s="51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  <c r="DP158" s="2"/>
      <c r="DQ158" s="2"/>
      <c r="DR158" s="2"/>
      <c r="DS158" s="2"/>
      <c r="DT158" s="2"/>
      <c r="DU158" s="2"/>
      <c r="DV158" s="2"/>
      <c r="DW158" s="2"/>
      <c r="DX158" s="2"/>
      <c r="DY158" s="2"/>
      <c r="DZ158" s="2"/>
      <c r="EA158" s="2"/>
      <c r="EB158" s="2"/>
      <c r="EC158" s="2"/>
      <c r="ED158" s="2"/>
      <c r="EE158" s="2"/>
      <c r="EF158" s="2"/>
      <c r="EG158" s="2"/>
      <c r="EH158" s="2"/>
      <c r="EI158" s="2"/>
      <c r="EJ158" s="2"/>
      <c r="EK158" s="2"/>
      <c r="EL158" s="2"/>
      <c r="EM158" s="2"/>
      <c r="EN158" s="2"/>
      <c r="EO158" s="2"/>
      <c r="EP158" s="2"/>
      <c r="EQ158" s="2"/>
      <c r="ER158" s="2"/>
      <c r="ES158" s="2"/>
      <c r="ET158" s="2"/>
      <c r="EU158" s="2"/>
      <c r="EV158" s="2"/>
      <c r="EW158" s="2"/>
      <c r="EX158" s="2"/>
      <c r="EY158" s="2"/>
      <c r="EZ158" s="2"/>
      <c r="FA158" s="2"/>
      <c r="FB158" s="2"/>
      <c r="FC158" s="2"/>
      <c r="FD158" s="2"/>
      <c r="FE158" s="2"/>
      <c r="FF158" s="2"/>
      <c r="FG158" s="2"/>
      <c r="FH158" s="2"/>
      <c r="FI158" s="2"/>
      <c r="FJ158" s="2"/>
      <c r="FK158" s="2"/>
      <c r="FL158" s="2"/>
      <c r="FM158" s="2"/>
      <c r="FN158" s="2"/>
      <c r="FO158" s="2"/>
      <c r="FP158" s="2"/>
      <c r="FQ158" s="2"/>
      <c r="FR158" s="2"/>
      <c r="FS158" s="2"/>
      <c r="FT158" s="2"/>
      <c r="FU158" s="2"/>
      <c r="FV158" s="2"/>
      <c r="FW158" s="2"/>
      <c r="FX158" s="2"/>
      <c r="FY158" s="2"/>
      <c r="FZ158" s="2"/>
      <c r="GA158" s="2"/>
      <c r="GB158" s="2"/>
      <c r="GC158" s="2"/>
      <c r="GD158" s="2"/>
      <c r="GE158" s="2"/>
      <c r="GF158" s="2"/>
      <c r="GG158" s="2"/>
      <c r="GH158" s="2"/>
      <c r="GI158" s="2"/>
      <c r="GJ158" s="2"/>
      <c r="GK158" s="2"/>
      <c r="GL158" s="2"/>
      <c r="GM158" s="2"/>
      <c r="GN158" s="2"/>
      <c r="GO158" s="2"/>
      <c r="GP158" s="2"/>
      <c r="GQ158" s="2"/>
      <c r="GR158" s="2"/>
      <c r="GS158" s="2"/>
      <c r="GT158" s="2"/>
      <c r="GU158" s="2"/>
      <c r="GV158" s="2"/>
      <c r="GW158" s="2"/>
      <c r="GX158" s="2"/>
      <c r="GY158" s="2"/>
      <c r="GZ158" s="2"/>
      <c r="HA158" s="2"/>
      <c r="HB158" s="2"/>
      <c r="HC158" s="2"/>
      <c r="HD158" s="2"/>
      <c r="HE158" s="2"/>
      <c r="HF158" s="2"/>
      <c r="HG158" s="2"/>
      <c r="HH158" s="2"/>
      <c r="HI158" s="2"/>
      <c r="HJ158" s="2"/>
      <c r="HK158" s="2"/>
      <c r="HL158" s="2"/>
      <c r="HM158" s="2"/>
      <c r="HN158" s="2"/>
      <c r="HO158" s="2"/>
      <c r="HP158" s="2"/>
      <c r="HQ158" s="2"/>
      <c r="HR158" s="2"/>
      <c r="HS158" s="2"/>
      <c r="HT158" s="2"/>
      <c r="HU158" s="2"/>
      <c r="HV158" s="2"/>
      <c r="HW158" s="2"/>
      <c r="HX158" s="2"/>
      <c r="HY158" s="2"/>
      <c r="HZ158" s="2"/>
      <c r="IA158" s="2"/>
      <c r="IB158" s="2"/>
      <c r="IC158" s="2"/>
      <c r="ID158" s="2"/>
      <c r="IE158" s="2"/>
      <c r="IF158" s="2"/>
      <c r="IG158" s="2"/>
      <c r="IH158" s="2"/>
      <c r="II158" s="2"/>
      <c r="IJ158" s="2"/>
      <c r="IK158" s="2"/>
      <c r="IL158" s="2"/>
      <c r="IM158" s="2"/>
      <c r="IN158" s="2"/>
      <c r="IO158" s="2"/>
      <c r="IP158" s="2"/>
      <c r="IQ158" s="2"/>
      <c r="IR158" s="2"/>
      <c r="IS158" s="2"/>
    </row>
    <row r="159" spans="1:253" s="6" customFormat="1" ht="15.75" customHeight="1" x14ac:dyDescent="0.25">
      <c r="A159" s="1"/>
      <c r="B159" s="19" t="s">
        <v>2424</v>
      </c>
      <c r="C159" s="5"/>
      <c r="D159" s="51"/>
      <c r="E159" s="73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  <c r="DP159" s="2"/>
      <c r="DQ159" s="2"/>
      <c r="DR159" s="2"/>
      <c r="DS159" s="2"/>
      <c r="DT159" s="2"/>
      <c r="DU159" s="2"/>
      <c r="DV159" s="2"/>
      <c r="DW159" s="2"/>
      <c r="DX159" s="2"/>
      <c r="DY159" s="2"/>
      <c r="DZ159" s="2"/>
      <c r="EA159" s="2"/>
      <c r="EB159" s="2"/>
      <c r="EC159" s="2"/>
      <c r="ED159" s="2"/>
      <c r="EE159" s="2"/>
      <c r="EF159" s="2"/>
      <c r="EG159" s="2"/>
      <c r="EH159" s="2"/>
      <c r="EI159" s="2"/>
      <c r="EJ159" s="2"/>
      <c r="EK159" s="2"/>
      <c r="EL159" s="2"/>
      <c r="EM159" s="2"/>
      <c r="EN159" s="2"/>
      <c r="EO159" s="2"/>
      <c r="EP159" s="2"/>
      <c r="EQ159" s="2"/>
      <c r="ER159" s="2"/>
      <c r="ES159" s="2"/>
      <c r="ET159" s="2"/>
      <c r="EU159" s="2"/>
      <c r="EV159" s="2"/>
      <c r="EW159" s="2"/>
      <c r="EX159" s="2"/>
      <c r="EY159" s="2"/>
      <c r="EZ159" s="2"/>
      <c r="FA159" s="2"/>
      <c r="FB159" s="2"/>
      <c r="FC159" s="2"/>
      <c r="FD159" s="2"/>
      <c r="FE159" s="2"/>
      <c r="FF159" s="2"/>
      <c r="FG159" s="2"/>
      <c r="FH159" s="2"/>
      <c r="FI159" s="2"/>
      <c r="FJ159" s="2"/>
      <c r="FK159" s="2"/>
      <c r="FL159" s="2"/>
      <c r="FM159" s="2"/>
      <c r="FN159" s="2"/>
      <c r="FO159" s="2"/>
      <c r="FP159" s="2"/>
      <c r="FQ159" s="2"/>
      <c r="FR159" s="2"/>
      <c r="FS159" s="2"/>
      <c r="FT159" s="2"/>
      <c r="FU159" s="2"/>
      <c r="FV159" s="2"/>
      <c r="FW159" s="2"/>
      <c r="FX159" s="2"/>
      <c r="FY159" s="2"/>
      <c r="FZ159" s="2"/>
      <c r="GA159" s="2"/>
      <c r="GB159" s="2"/>
      <c r="GC159" s="2"/>
      <c r="GD159" s="2"/>
      <c r="GE159" s="2"/>
      <c r="GF159" s="2"/>
      <c r="GG159" s="2"/>
      <c r="GH159" s="2"/>
      <c r="GI159" s="2"/>
      <c r="GJ159" s="2"/>
      <c r="GK159" s="2"/>
      <c r="GL159" s="2"/>
      <c r="GM159" s="2"/>
      <c r="GN159" s="2"/>
      <c r="GO159" s="2"/>
      <c r="GP159" s="2"/>
      <c r="GQ159" s="2"/>
      <c r="GR159" s="2"/>
      <c r="GS159" s="2"/>
      <c r="GT159" s="2"/>
      <c r="GU159" s="2"/>
      <c r="GV159" s="2"/>
      <c r="GW159" s="2"/>
      <c r="GX159" s="2"/>
      <c r="GY159" s="2"/>
      <c r="GZ159" s="2"/>
      <c r="HA159" s="2"/>
      <c r="HB159" s="2"/>
      <c r="HC159" s="2"/>
      <c r="HD159" s="2"/>
      <c r="HE159" s="2"/>
      <c r="HF159" s="2"/>
      <c r="HG159" s="2"/>
      <c r="HH159" s="2"/>
      <c r="HI159" s="2"/>
      <c r="HJ159" s="2"/>
      <c r="HK159" s="2"/>
      <c r="HL159" s="2"/>
      <c r="HM159" s="2"/>
      <c r="HN159" s="2"/>
      <c r="HO159" s="2"/>
      <c r="HP159" s="2"/>
      <c r="HQ159" s="2"/>
      <c r="HR159" s="2"/>
      <c r="HS159" s="2"/>
      <c r="HT159" s="2"/>
      <c r="HU159" s="2"/>
      <c r="HV159" s="2"/>
      <c r="HW159" s="2"/>
      <c r="HX159" s="2"/>
      <c r="HY159" s="2"/>
      <c r="HZ159" s="2"/>
      <c r="IA159" s="2"/>
      <c r="IB159" s="2"/>
      <c r="IC159" s="2"/>
      <c r="ID159" s="2"/>
      <c r="IE159" s="2"/>
      <c r="IF159" s="2"/>
      <c r="IG159" s="2"/>
      <c r="IH159" s="2"/>
      <c r="II159" s="2"/>
      <c r="IJ159" s="2"/>
      <c r="IK159" s="2"/>
      <c r="IL159" s="2"/>
      <c r="IM159" s="2"/>
      <c r="IN159" s="2"/>
      <c r="IO159" s="2"/>
      <c r="IP159" s="2"/>
      <c r="IQ159" s="2"/>
      <c r="IR159" s="2"/>
      <c r="IS159" s="2"/>
    </row>
    <row r="160" spans="1:253" s="6" customFormat="1" ht="15.75" customHeight="1" x14ac:dyDescent="0.25">
      <c r="A160" s="1"/>
      <c r="B160" s="73" t="s">
        <v>2416</v>
      </c>
      <c r="C160" s="5"/>
      <c r="D160" s="51"/>
      <c r="E160" s="6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  <c r="DP160" s="2"/>
      <c r="DQ160" s="2"/>
      <c r="DR160" s="2"/>
      <c r="DS160" s="2"/>
      <c r="DT160" s="2"/>
      <c r="DU160" s="2"/>
      <c r="DV160" s="2"/>
      <c r="DW160" s="2"/>
      <c r="DX160" s="2"/>
      <c r="DY160" s="2"/>
      <c r="DZ160" s="2"/>
      <c r="EA160" s="2"/>
      <c r="EB160" s="2"/>
      <c r="EC160" s="2"/>
      <c r="ED160" s="2"/>
      <c r="EE160" s="2"/>
      <c r="EF160" s="2"/>
      <c r="EG160" s="2"/>
      <c r="EH160" s="2"/>
      <c r="EI160" s="2"/>
      <c r="EJ160" s="2"/>
      <c r="EK160" s="2"/>
      <c r="EL160" s="2"/>
      <c r="EM160" s="2"/>
      <c r="EN160" s="2"/>
      <c r="EO160" s="2"/>
      <c r="EP160" s="2"/>
      <c r="EQ160" s="2"/>
      <c r="ER160" s="2"/>
      <c r="ES160" s="2"/>
      <c r="ET160" s="2"/>
      <c r="EU160" s="2"/>
      <c r="EV160" s="2"/>
      <c r="EW160" s="2"/>
      <c r="EX160" s="2"/>
      <c r="EY160" s="2"/>
      <c r="EZ160" s="2"/>
      <c r="FA160" s="2"/>
      <c r="FB160" s="2"/>
      <c r="FC160" s="2"/>
      <c r="FD160" s="2"/>
      <c r="FE160" s="2"/>
      <c r="FF160" s="2"/>
      <c r="FG160" s="2"/>
      <c r="FH160" s="2"/>
      <c r="FI160" s="2"/>
      <c r="FJ160" s="2"/>
      <c r="FK160" s="2"/>
      <c r="FL160" s="2"/>
      <c r="FM160" s="2"/>
      <c r="FN160" s="2"/>
      <c r="FO160" s="2"/>
      <c r="FP160" s="2"/>
      <c r="FQ160" s="2"/>
      <c r="FR160" s="2"/>
      <c r="FS160" s="2"/>
      <c r="FT160" s="2"/>
      <c r="FU160" s="2"/>
      <c r="FV160" s="2"/>
      <c r="FW160" s="2"/>
      <c r="FX160" s="2"/>
      <c r="FY160" s="2"/>
      <c r="FZ160" s="2"/>
      <c r="GA160" s="2"/>
      <c r="GB160" s="2"/>
      <c r="GC160" s="2"/>
      <c r="GD160" s="2"/>
      <c r="GE160" s="2"/>
      <c r="GF160" s="2"/>
      <c r="GG160" s="2"/>
      <c r="GH160" s="2"/>
      <c r="GI160" s="2"/>
      <c r="GJ160" s="2"/>
      <c r="GK160" s="2"/>
      <c r="GL160" s="2"/>
      <c r="GM160" s="2"/>
      <c r="GN160" s="2"/>
      <c r="GO160" s="2"/>
      <c r="GP160" s="2"/>
      <c r="GQ160" s="2"/>
      <c r="GR160" s="2"/>
      <c r="GS160" s="2"/>
      <c r="GT160" s="2"/>
      <c r="GU160" s="2"/>
      <c r="GV160" s="2"/>
      <c r="GW160" s="2"/>
      <c r="GX160" s="2"/>
      <c r="GY160" s="2"/>
      <c r="GZ160" s="2"/>
      <c r="HA160" s="2"/>
      <c r="HB160" s="2"/>
      <c r="HC160" s="2"/>
      <c r="HD160" s="2"/>
      <c r="HE160" s="2"/>
      <c r="HF160" s="2"/>
      <c r="HG160" s="2"/>
      <c r="HH160" s="2"/>
      <c r="HI160" s="2"/>
      <c r="HJ160" s="2"/>
      <c r="HK160" s="2"/>
      <c r="HL160" s="2"/>
      <c r="HM160" s="2"/>
      <c r="HN160" s="2"/>
      <c r="HO160" s="2"/>
      <c r="HP160" s="2"/>
      <c r="HQ160" s="2"/>
      <c r="HR160" s="2"/>
      <c r="HS160" s="2"/>
      <c r="HT160" s="2"/>
      <c r="HU160" s="2"/>
      <c r="HV160" s="2"/>
      <c r="HW160" s="2"/>
      <c r="HX160" s="2"/>
      <c r="HY160" s="2"/>
      <c r="HZ160" s="2"/>
      <c r="IA160" s="2"/>
      <c r="IB160" s="2"/>
      <c r="IC160" s="2"/>
      <c r="ID160" s="2"/>
      <c r="IE160" s="2"/>
      <c r="IF160" s="2"/>
      <c r="IG160" s="2"/>
      <c r="IH160" s="2"/>
      <c r="II160" s="2"/>
      <c r="IJ160" s="2"/>
      <c r="IK160" s="2"/>
      <c r="IL160" s="2"/>
      <c r="IM160" s="2"/>
      <c r="IN160" s="2"/>
      <c r="IO160" s="2"/>
      <c r="IP160" s="2"/>
      <c r="IQ160" s="2"/>
      <c r="IR160" s="2"/>
      <c r="IS160" s="2"/>
    </row>
    <row r="161" spans="1:253" s="32" customFormat="1" ht="12.95" customHeight="1" x14ac:dyDescent="0.2">
      <c r="B161" s="75" t="s">
        <v>2415</v>
      </c>
    </row>
    <row r="162" spans="1:253" s="32" customFormat="1" ht="12.95" customHeight="1" x14ac:dyDescent="0.2">
      <c r="B162" s="62" t="s">
        <v>2425</v>
      </c>
    </row>
    <row r="163" spans="1:253" s="32" customFormat="1" ht="12.95" customHeight="1" x14ac:dyDescent="0.2">
      <c r="B163" s="62" t="s">
        <v>2396</v>
      </c>
      <c r="F163" s="31"/>
    </row>
    <row r="164" spans="1:253" s="32" customFormat="1" ht="12.95" customHeight="1" x14ac:dyDescent="0.2">
      <c r="B164" s="62" t="s">
        <v>2426</v>
      </c>
      <c r="F164" s="31"/>
    </row>
    <row r="165" spans="1:253" s="32" customFormat="1" ht="12.95" customHeight="1" x14ac:dyDescent="0.2">
      <c r="B165" s="62" t="s">
        <v>2397</v>
      </c>
      <c r="F165" s="31"/>
    </row>
    <row r="166" spans="1:253" s="6" customFormat="1" ht="15.75" customHeight="1" x14ac:dyDescent="0.25">
      <c r="A166" s="1"/>
      <c r="B166" s="27"/>
      <c r="C166" s="5"/>
      <c r="D166" s="51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  <c r="DP166" s="2"/>
      <c r="DQ166" s="2"/>
      <c r="DR166" s="2"/>
      <c r="DS166" s="2"/>
      <c r="DT166" s="2"/>
      <c r="DU166" s="2"/>
      <c r="DV166" s="2"/>
      <c r="DW166" s="2"/>
      <c r="DX166" s="2"/>
      <c r="DY166" s="2"/>
      <c r="DZ166" s="2"/>
      <c r="EA166" s="2"/>
      <c r="EB166" s="2"/>
      <c r="EC166" s="2"/>
      <c r="ED166" s="2"/>
      <c r="EE166" s="2"/>
      <c r="EF166" s="2"/>
      <c r="EG166" s="2"/>
      <c r="EH166" s="2"/>
      <c r="EI166" s="2"/>
      <c r="EJ166" s="2"/>
      <c r="EK166" s="2"/>
      <c r="EL166" s="2"/>
      <c r="EM166" s="2"/>
      <c r="EN166" s="2"/>
      <c r="EO166" s="2"/>
      <c r="EP166" s="2"/>
      <c r="EQ166" s="2"/>
      <c r="ER166" s="2"/>
      <c r="ES166" s="2"/>
      <c r="ET166" s="2"/>
      <c r="EU166" s="2"/>
      <c r="EV166" s="2"/>
      <c r="EW166" s="2"/>
      <c r="EX166" s="2"/>
      <c r="EY166" s="2"/>
      <c r="EZ166" s="2"/>
      <c r="FA166" s="2"/>
      <c r="FB166" s="2"/>
      <c r="FC166" s="2"/>
      <c r="FD166" s="2"/>
      <c r="FE166" s="2"/>
      <c r="FF166" s="2"/>
      <c r="FG166" s="2"/>
      <c r="FH166" s="2"/>
      <c r="FI166" s="2"/>
      <c r="FJ166" s="2"/>
      <c r="FK166" s="2"/>
      <c r="FL166" s="2"/>
      <c r="FM166" s="2"/>
      <c r="FN166" s="2"/>
      <c r="FO166" s="2"/>
      <c r="FP166" s="2"/>
      <c r="FQ166" s="2"/>
      <c r="FR166" s="2"/>
      <c r="FS166" s="2"/>
      <c r="FT166" s="2"/>
      <c r="FU166" s="2"/>
      <c r="FV166" s="2"/>
      <c r="FW166" s="2"/>
      <c r="FX166" s="2"/>
      <c r="FY166" s="2"/>
      <c r="FZ166" s="2"/>
      <c r="GA166" s="2"/>
      <c r="GB166" s="2"/>
      <c r="GC166" s="2"/>
      <c r="GD166" s="2"/>
      <c r="GE166" s="2"/>
      <c r="GF166" s="2"/>
      <c r="GG166" s="2"/>
      <c r="GH166" s="2"/>
      <c r="GI166" s="2"/>
      <c r="GJ166" s="2"/>
      <c r="GK166" s="2"/>
      <c r="GL166" s="2"/>
      <c r="GM166" s="2"/>
      <c r="GN166" s="2"/>
      <c r="GO166" s="2"/>
      <c r="GP166" s="2"/>
      <c r="GQ166" s="2"/>
      <c r="GR166" s="2"/>
      <c r="GS166" s="2"/>
      <c r="GT166" s="2"/>
      <c r="GU166" s="2"/>
      <c r="GV166" s="2"/>
      <c r="GW166" s="2"/>
      <c r="GX166" s="2"/>
      <c r="GY166" s="2"/>
      <c r="GZ166" s="2"/>
      <c r="HA166" s="2"/>
      <c r="HB166" s="2"/>
      <c r="HC166" s="2"/>
      <c r="HD166" s="2"/>
      <c r="HE166" s="2"/>
      <c r="HF166" s="2"/>
      <c r="HG166" s="2"/>
      <c r="HH166" s="2"/>
      <c r="HI166" s="2"/>
      <c r="HJ166" s="2"/>
      <c r="HK166" s="2"/>
      <c r="HL166" s="2"/>
      <c r="HM166" s="2"/>
      <c r="HN166" s="2"/>
      <c r="HO166" s="2"/>
      <c r="HP166" s="2"/>
      <c r="HQ166" s="2"/>
      <c r="HR166" s="2"/>
      <c r="HS166" s="2"/>
      <c r="HT166" s="2"/>
      <c r="HU166" s="2"/>
      <c r="HV166" s="2"/>
      <c r="HW166" s="2"/>
      <c r="HX166" s="2"/>
      <c r="HY166" s="2"/>
      <c r="HZ166" s="2"/>
      <c r="IA166" s="2"/>
      <c r="IB166" s="2"/>
      <c r="IC166" s="2"/>
      <c r="ID166" s="2"/>
      <c r="IE166" s="2"/>
      <c r="IF166" s="2"/>
      <c r="IG166" s="2"/>
      <c r="IH166" s="2"/>
      <c r="II166" s="2"/>
      <c r="IJ166" s="2"/>
      <c r="IK166" s="2"/>
      <c r="IL166" s="2"/>
      <c r="IM166" s="2"/>
      <c r="IN166" s="2"/>
      <c r="IO166" s="2"/>
      <c r="IP166" s="2"/>
      <c r="IQ166" s="2"/>
      <c r="IR166" s="2"/>
      <c r="IS166" s="2"/>
    </row>
    <row r="167" spans="1:253" s="6" customFormat="1" ht="15.75" customHeight="1" x14ac:dyDescent="0.25">
      <c r="A167" s="1"/>
      <c r="B167" s="26" t="s">
        <v>1974</v>
      </c>
      <c r="C167" s="5"/>
      <c r="D167" s="51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  <c r="DP167" s="2"/>
      <c r="DQ167" s="2"/>
      <c r="DR167" s="2"/>
      <c r="DS167" s="2"/>
      <c r="DT167" s="2"/>
      <c r="DU167" s="2"/>
      <c r="DV167" s="2"/>
      <c r="DW167" s="2"/>
      <c r="DX167" s="2"/>
      <c r="DY167" s="2"/>
      <c r="DZ167" s="2"/>
      <c r="EA167" s="2"/>
      <c r="EB167" s="2"/>
      <c r="EC167" s="2"/>
      <c r="ED167" s="2"/>
      <c r="EE167" s="2"/>
      <c r="EF167" s="2"/>
      <c r="EG167" s="2"/>
      <c r="EH167" s="2"/>
      <c r="EI167" s="2"/>
      <c r="EJ167" s="2"/>
      <c r="EK167" s="2"/>
      <c r="EL167" s="2"/>
      <c r="EM167" s="2"/>
      <c r="EN167" s="2"/>
      <c r="EO167" s="2"/>
      <c r="EP167" s="2"/>
      <c r="EQ167" s="2"/>
      <c r="ER167" s="2"/>
      <c r="ES167" s="2"/>
      <c r="ET167" s="2"/>
      <c r="EU167" s="2"/>
      <c r="EV167" s="2"/>
      <c r="EW167" s="2"/>
      <c r="EX167" s="2"/>
      <c r="EY167" s="2"/>
      <c r="EZ167" s="2"/>
      <c r="FA167" s="2"/>
      <c r="FB167" s="2"/>
      <c r="FC167" s="2"/>
      <c r="FD167" s="2"/>
      <c r="FE167" s="2"/>
      <c r="FF167" s="2"/>
      <c r="FG167" s="2"/>
      <c r="FH167" s="2"/>
      <c r="FI167" s="2"/>
      <c r="FJ167" s="2"/>
      <c r="FK167" s="2"/>
      <c r="FL167" s="2"/>
      <c r="FM167" s="2"/>
      <c r="FN167" s="2"/>
      <c r="FO167" s="2"/>
      <c r="FP167" s="2"/>
      <c r="FQ167" s="2"/>
      <c r="FR167" s="2"/>
      <c r="FS167" s="2"/>
      <c r="FT167" s="2"/>
      <c r="FU167" s="2"/>
      <c r="FV167" s="2"/>
      <c r="FW167" s="2"/>
      <c r="FX167" s="2"/>
      <c r="FY167" s="2"/>
      <c r="FZ167" s="2"/>
      <c r="GA167" s="2"/>
      <c r="GB167" s="2"/>
      <c r="GC167" s="2"/>
      <c r="GD167" s="2"/>
      <c r="GE167" s="2"/>
      <c r="GF167" s="2"/>
      <c r="GG167" s="2"/>
      <c r="GH167" s="2"/>
      <c r="GI167" s="2"/>
      <c r="GJ167" s="2"/>
      <c r="GK167" s="2"/>
      <c r="GL167" s="2"/>
      <c r="GM167" s="2"/>
      <c r="GN167" s="2"/>
      <c r="GO167" s="2"/>
      <c r="GP167" s="2"/>
      <c r="GQ167" s="2"/>
      <c r="GR167" s="2"/>
      <c r="GS167" s="2"/>
      <c r="GT167" s="2"/>
      <c r="GU167" s="2"/>
      <c r="GV167" s="2"/>
      <c r="GW167" s="2"/>
      <c r="GX167" s="2"/>
      <c r="GY167" s="2"/>
      <c r="GZ167" s="2"/>
      <c r="HA167" s="2"/>
      <c r="HB167" s="2"/>
      <c r="HC167" s="2"/>
      <c r="HD167" s="2"/>
      <c r="HE167" s="2"/>
      <c r="HF167" s="2"/>
      <c r="HG167" s="2"/>
      <c r="HH167" s="2"/>
      <c r="HI167" s="2"/>
      <c r="HJ167" s="2"/>
      <c r="HK167" s="2"/>
      <c r="HL167" s="2"/>
      <c r="HM167" s="2"/>
      <c r="HN167" s="2"/>
      <c r="HO167" s="2"/>
      <c r="HP167" s="2"/>
      <c r="HQ167" s="2"/>
      <c r="HR167" s="2"/>
      <c r="HS167" s="2"/>
      <c r="HT167" s="2"/>
      <c r="HU167" s="2"/>
      <c r="HV167" s="2"/>
      <c r="HW167" s="2"/>
      <c r="HX167" s="2"/>
      <c r="HY167" s="2"/>
      <c r="HZ167" s="2"/>
      <c r="IA167" s="2"/>
      <c r="IB167" s="2"/>
      <c r="IC167" s="2"/>
      <c r="ID167" s="2"/>
      <c r="IE167" s="2"/>
      <c r="IF167" s="2"/>
      <c r="IG167" s="2"/>
      <c r="IH167" s="2"/>
      <c r="II167" s="2"/>
      <c r="IJ167" s="2"/>
      <c r="IK167" s="2"/>
      <c r="IL167" s="2"/>
      <c r="IM167" s="2"/>
      <c r="IN167" s="2"/>
      <c r="IO167" s="2"/>
      <c r="IP167" s="2"/>
      <c r="IQ167" s="2"/>
      <c r="IR167" s="2"/>
      <c r="IS167" s="2"/>
    </row>
    <row r="168" spans="1:253" s="6" customFormat="1" ht="15.75" customHeight="1" x14ac:dyDescent="0.25">
      <c r="A168" s="1"/>
      <c r="B168" s="28" t="s">
        <v>1978</v>
      </c>
      <c r="C168" s="4"/>
      <c r="D168" s="51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  <c r="DP168" s="2"/>
      <c r="DQ168" s="2"/>
      <c r="DR168" s="2"/>
      <c r="DS168" s="2"/>
      <c r="DT168" s="2"/>
      <c r="DU168" s="2"/>
      <c r="DV168" s="2"/>
      <c r="DW168" s="2"/>
      <c r="DX168" s="2"/>
      <c r="DY168" s="2"/>
      <c r="DZ168" s="2"/>
      <c r="EA168" s="2"/>
      <c r="EB168" s="2"/>
      <c r="EC168" s="2"/>
      <c r="ED168" s="2"/>
      <c r="EE168" s="2"/>
      <c r="EF168" s="2"/>
      <c r="EG168" s="2"/>
      <c r="EH168" s="2"/>
      <c r="EI168" s="2"/>
      <c r="EJ168" s="2"/>
      <c r="EK168" s="2"/>
      <c r="EL168" s="2"/>
      <c r="EM168" s="2"/>
      <c r="EN168" s="2"/>
      <c r="EO168" s="2"/>
      <c r="EP168" s="2"/>
      <c r="EQ168" s="2"/>
      <c r="ER168" s="2"/>
      <c r="ES168" s="2"/>
      <c r="ET168" s="2"/>
      <c r="EU168" s="2"/>
      <c r="EV168" s="2"/>
      <c r="EW168" s="2"/>
      <c r="EX168" s="2"/>
      <c r="EY168" s="2"/>
      <c r="EZ168" s="2"/>
      <c r="FA168" s="2"/>
      <c r="FB168" s="2"/>
      <c r="FC168" s="2"/>
      <c r="FD168" s="2"/>
      <c r="FE168" s="2"/>
      <c r="FF168" s="2"/>
      <c r="FG168" s="2"/>
      <c r="FH168" s="2"/>
      <c r="FI168" s="2"/>
      <c r="FJ168" s="2"/>
      <c r="FK168" s="2"/>
      <c r="FL168" s="2"/>
      <c r="FM168" s="2"/>
      <c r="FN168" s="2"/>
      <c r="FO168" s="2"/>
      <c r="FP168" s="2"/>
      <c r="FQ168" s="2"/>
      <c r="FR168" s="2"/>
      <c r="FS168" s="2"/>
      <c r="FT168" s="2"/>
      <c r="FU168" s="2"/>
      <c r="FV168" s="2"/>
      <c r="FW168" s="2"/>
      <c r="FX168" s="2"/>
      <c r="FY168" s="2"/>
      <c r="FZ168" s="2"/>
      <c r="GA168" s="2"/>
      <c r="GB168" s="2"/>
      <c r="GC168" s="2"/>
      <c r="GD168" s="2"/>
      <c r="GE168" s="2"/>
      <c r="GF168" s="2"/>
      <c r="GG168" s="2"/>
      <c r="GH168" s="2"/>
      <c r="GI168" s="2"/>
      <c r="GJ168" s="2"/>
      <c r="GK168" s="2"/>
      <c r="GL168" s="2"/>
      <c r="GM168" s="2"/>
      <c r="GN168" s="2"/>
      <c r="GO168" s="2"/>
      <c r="GP168" s="2"/>
      <c r="GQ168" s="2"/>
      <c r="GR168" s="2"/>
      <c r="GS168" s="2"/>
      <c r="GT168" s="2"/>
      <c r="GU168" s="2"/>
      <c r="GV168" s="2"/>
      <c r="GW168" s="2"/>
      <c r="GX168" s="2"/>
      <c r="GY168" s="2"/>
      <c r="GZ168" s="2"/>
      <c r="HA168" s="2"/>
      <c r="HB168" s="2"/>
      <c r="HC168" s="2"/>
      <c r="HD168" s="2"/>
      <c r="HE168" s="2"/>
      <c r="HF168" s="2"/>
      <c r="HG168" s="2"/>
      <c r="HH168" s="2"/>
      <c r="HI168" s="2"/>
      <c r="HJ168" s="2"/>
      <c r="HK168" s="2"/>
      <c r="HL168" s="2"/>
      <c r="HM168" s="2"/>
      <c r="HN168" s="2"/>
      <c r="HO168" s="2"/>
      <c r="HP168" s="2"/>
      <c r="HQ168" s="2"/>
      <c r="HR168" s="2"/>
      <c r="HS168" s="2"/>
      <c r="HT168" s="2"/>
      <c r="HU168" s="2"/>
      <c r="HV168" s="2"/>
      <c r="HW168" s="2"/>
      <c r="HX168" s="2"/>
      <c r="HY168" s="2"/>
      <c r="HZ168" s="2"/>
      <c r="IA168" s="2"/>
      <c r="IB168" s="2"/>
      <c r="IC168" s="2"/>
      <c r="ID168" s="2"/>
      <c r="IE168" s="2"/>
      <c r="IF168" s="2"/>
      <c r="IG168" s="2"/>
      <c r="IH168" s="2"/>
      <c r="II168" s="2"/>
      <c r="IJ168" s="2"/>
      <c r="IK168" s="2"/>
      <c r="IL168" s="2"/>
      <c r="IM168" s="2"/>
      <c r="IN168" s="2"/>
      <c r="IO168" s="2"/>
      <c r="IP168" s="2"/>
      <c r="IQ168" s="2"/>
      <c r="IR168" s="2"/>
      <c r="IS168" s="2"/>
    </row>
    <row r="169" spans="1:253" ht="15.75" customHeight="1" x14ac:dyDescent="0.25">
      <c r="E169" s="6"/>
    </row>
  </sheetData>
  <mergeCells count="3">
    <mergeCell ref="B4:B5"/>
    <mergeCell ref="B1:C1"/>
    <mergeCell ref="B2:C2"/>
  </mergeCells>
  <printOptions horizontalCentered="1"/>
  <pageMargins left="0.98425196850393704" right="0.98425196850393704" top="0.98425196850393704" bottom="0.98425196850393704" header="0.51181102362204722" footer="0.51181102362204722"/>
  <pageSetup orientation="portrait" useFirstPageNumber="1" r:id="rId1"/>
  <headerFooter differentOddEven="1">
    <oddHeader>&amp;L&amp;"Arial,Bold Italic"&amp;10 2020 Census of Population and Housing&amp;R&amp;"Arial,Bold Italic"&amp;10REGION VII (CENTRAL VISAYAS)</oddHeader>
    <oddFooter>&amp;L&amp;"Arial,Bold Italic"&amp;10Philippine Statistics Authority&amp;R&amp;"Arial,Bold"&amp;10&amp;P</oddFooter>
    <evenHeader>&amp;L&amp;"Arial,Bold Italic"&amp;10REGION VII (CENTRAL VISAYAS)&amp;R&amp;"Arial,Bold Italic"&amp;10 2020 Census of Population and Housing</evenHeader>
    <evenFooter>&amp;L&amp;"Arial,Bold"&amp;10&amp;P&amp;R&amp;"Arial,Bold Italic"&amp;10Philippine Statistics Authority</evenFooter>
  </headerFooter>
  <rowBreaks count="2" manualBreakCount="2">
    <brk id="42" min="1" max="2" man="1"/>
    <brk id="78" min="1" max="2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218"/>
  <sheetViews>
    <sheetView view="pageBreakPreview" topLeftCell="A1197" zoomScaleSheetLayoutView="100" workbookViewId="0">
      <selection activeCell="B1197" sqref="A1:B1048576"/>
    </sheetView>
  </sheetViews>
  <sheetFormatPr defaultRowHeight="15.75" customHeight="1" x14ac:dyDescent="0.25"/>
  <cols>
    <col min="1" max="2" width="9.140625" style="2"/>
    <col min="3" max="3" width="56.7109375" style="2" customWidth="1"/>
    <col min="4" max="4" width="19.7109375" style="2" customWidth="1"/>
    <col min="5" max="5" width="9.140625" style="18"/>
    <col min="6" max="6" width="26.42578125" style="2" bestFit="1" customWidth="1"/>
    <col min="7" max="7" width="9.140625" style="71"/>
    <col min="8" max="16384" width="9.140625" style="2"/>
  </cols>
  <sheetData>
    <row r="1" spans="1:7" s="1" customFormat="1" ht="15.75" customHeight="1" x14ac:dyDescent="0.25">
      <c r="C1" s="83" t="s">
        <v>1979</v>
      </c>
      <c r="D1" s="83"/>
      <c r="G1" s="70"/>
    </row>
    <row r="2" spans="1:7" s="1" customFormat="1" ht="15.75" customHeight="1" x14ac:dyDescent="0.25">
      <c r="C2" s="83" t="s">
        <v>1980</v>
      </c>
      <c r="D2" s="83"/>
      <c r="E2" s="16"/>
      <c r="G2" s="70"/>
    </row>
    <row r="3" spans="1:7" s="1" customFormat="1" ht="15.75" customHeight="1" thickBot="1" x14ac:dyDescent="0.3">
      <c r="E3" s="16"/>
      <c r="G3" s="70"/>
    </row>
    <row r="4" spans="1:7" s="1" customFormat="1" ht="15.75" customHeight="1" thickTop="1" x14ac:dyDescent="0.25">
      <c r="C4" s="49" t="s">
        <v>1972</v>
      </c>
      <c r="D4" s="33" t="s">
        <v>1977</v>
      </c>
      <c r="E4" s="16"/>
      <c r="G4" s="70"/>
    </row>
    <row r="5" spans="1:7" s="1" customFormat="1" ht="15.75" customHeight="1" thickBot="1" x14ac:dyDescent="0.3">
      <c r="C5" s="50" t="s">
        <v>0</v>
      </c>
      <c r="D5" s="34" t="s">
        <v>1</v>
      </c>
      <c r="E5" s="16"/>
      <c r="G5" s="70"/>
    </row>
    <row r="6" spans="1:7" s="1" customFormat="1" ht="15.75" customHeight="1" thickTop="1" x14ac:dyDescent="0.25">
      <c r="E6" s="16"/>
      <c r="G6" s="70"/>
    </row>
    <row r="7" spans="1:7" s="3" customFormat="1" ht="15.75" customHeight="1" x14ac:dyDescent="0.25">
      <c r="A7" s="1"/>
      <c r="C7" s="35" t="s">
        <v>1949</v>
      </c>
      <c r="D7" s="44">
        <f>D9+D22+D39+D57+D79+D98+D131+D148+D169+D206+D241+D264+D295+D319+D345+D355+D371+D388+D407+D421+D458+D481+D513+D534+D586+D621+D647+D667+D693+D723+D792+D816+D840+D852+D875+D900+D926+D940+D960+D975+D999+D1011+D1028+D1055+D1077+D1113+D1159+D1195</f>
        <v>1394329</v>
      </c>
      <c r="E7" s="51"/>
      <c r="F7" s="52"/>
      <c r="G7" s="70"/>
    </row>
    <row r="8" spans="1:7" s="3" customFormat="1" ht="15.75" customHeight="1" x14ac:dyDescent="0.25">
      <c r="A8" s="1"/>
      <c r="C8" s="35"/>
      <c r="D8" s="56"/>
      <c r="E8" s="51"/>
      <c r="F8" s="52"/>
      <c r="G8" s="70"/>
    </row>
    <row r="9" spans="1:7" s="3" customFormat="1" ht="15.75" customHeight="1" x14ac:dyDescent="0.25">
      <c r="A9" s="1"/>
      <c r="C9" s="35" t="s">
        <v>251</v>
      </c>
      <c r="D9" s="44">
        <f>SUM(D10:D20)</f>
        <v>11246</v>
      </c>
      <c r="E9" s="51"/>
      <c r="F9" s="52"/>
      <c r="G9" s="70"/>
    </row>
    <row r="10" spans="1:7" s="3" customFormat="1" ht="15.75" customHeight="1" x14ac:dyDescent="0.25">
      <c r="A10" s="1"/>
      <c r="C10" s="36" t="s">
        <v>252</v>
      </c>
      <c r="D10" s="45">
        <v>1049</v>
      </c>
      <c r="E10" s="51"/>
      <c r="F10" s="52"/>
      <c r="G10" s="70"/>
    </row>
    <row r="11" spans="1:7" s="6" customFormat="1" ht="15.75" customHeight="1" x14ac:dyDescent="0.25">
      <c r="A11" s="1"/>
      <c r="B11" s="3"/>
      <c r="C11" s="36" t="s">
        <v>253</v>
      </c>
      <c r="D11" s="45">
        <v>850</v>
      </c>
      <c r="E11" s="51"/>
      <c r="F11" s="52"/>
      <c r="G11" s="70"/>
    </row>
    <row r="12" spans="1:7" s="6" customFormat="1" ht="15.75" customHeight="1" x14ac:dyDescent="0.25">
      <c r="A12" s="1"/>
      <c r="B12" s="3"/>
      <c r="C12" s="36" t="s">
        <v>254</v>
      </c>
      <c r="D12" s="45">
        <v>604</v>
      </c>
      <c r="E12" s="51"/>
      <c r="F12" s="52"/>
      <c r="G12" s="70"/>
    </row>
    <row r="13" spans="1:7" s="6" customFormat="1" ht="15.75" customHeight="1" x14ac:dyDescent="0.25">
      <c r="A13" s="1"/>
      <c r="B13" s="3"/>
      <c r="C13" s="36" t="s">
        <v>255</v>
      </c>
      <c r="D13" s="45">
        <v>795</v>
      </c>
      <c r="E13" s="51"/>
      <c r="F13" s="52"/>
      <c r="G13" s="70"/>
    </row>
    <row r="14" spans="1:7" s="6" customFormat="1" ht="15.75" customHeight="1" x14ac:dyDescent="0.25">
      <c r="A14" s="1"/>
      <c r="B14" s="3"/>
      <c r="C14" s="36" t="s">
        <v>256</v>
      </c>
      <c r="D14" s="45">
        <v>2241</v>
      </c>
      <c r="E14" s="51"/>
      <c r="F14" s="52"/>
      <c r="G14" s="70"/>
    </row>
    <row r="15" spans="1:7" s="6" customFormat="1" ht="15.75" customHeight="1" x14ac:dyDescent="0.25">
      <c r="A15" s="1"/>
      <c r="B15" s="3"/>
      <c r="C15" s="36" t="s">
        <v>257</v>
      </c>
      <c r="D15" s="45">
        <v>1263</v>
      </c>
      <c r="E15" s="51"/>
      <c r="F15" s="52"/>
      <c r="G15" s="70"/>
    </row>
    <row r="16" spans="1:7" s="6" customFormat="1" ht="15.75" customHeight="1" x14ac:dyDescent="0.25">
      <c r="A16" s="1"/>
      <c r="B16" s="3"/>
      <c r="C16" s="36" t="s">
        <v>16</v>
      </c>
      <c r="D16" s="45">
        <v>609</v>
      </c>
      <c r="E16" s="51"/>
      <c r="F16" s="52"/>
      <c r="G16" s="70"/>
    </row>
    <row r="17" spans="1:7" s="6" customFormat="1" ht="15.75" customHeight="1" x14ac:dyDescent="0.25">
      <c r="A17" s="1"/>
      <c r="B17" s="3"/>
      <c r="C17" s="36" t="s">
        <v>222</v>
      </c>
      <c r="D17" s="45">
        <v>963</v>
      </c>
      <c r="E17" s="51"/>
      <c r="F17" s="52"/>
      <c r="G17" s="70"/>
    </row>
    <row r="18" spans="1:7" s="6" customFormat="1" ht="15.75" customHeight="1" x14ac:dyDescent="0.25">
      <c r="A18" s="1"/>
      <c r="B18" s="3"/>
      <c r="C18" s="36" t="s">
        <v>258</v>
      </c>
      <c r="D18" s="45">
        <v>928</v>
      </c>
      <c r="E18" s="51"/>
      <c r="F18" s="52"/>
      <c r="G18" s="70"/>
    </row>
    <row r="19" spans="1:7" s="6" customFormat="1" ht="15.75" customHeight="1" x14ac:dyDescent="0.25">
      <c r="A19" s="1"/>
      <c r="B19" s="3"/>
      <c r="C19" s="36" t="s">
        <v>259</v>
      </c>
      <c r="D19" s="45">
        <v>816</v>
      </c>
      <c r="E19" s="51"/>
      <c r="F19" s="52"/>
      <c r="G19" s="70"/>
    </row>
    <row r="20" spans="1:7" s="6" customFormat="1" ht="15.75" customHeight="1" x14ac:dyDescent="0.25">
      <c r="A20" s="1"/>
      <c r="B20" s="3"/>
      <c r="C20" s="36" t="s">
        <v>260</v>
      </c>
      <c r="D20" s="45">
        <v>1128</v>
      </c>
      <c r="E20" s="51"/>
      <c r="F20" s="52"/>
      <c r="G20" s="70"/>
    </row>
    <row r="21" spans="1:7" s="6" customFormat="1" ht="15.75" customHeight="1" x14ac:dyDescent="0.25">
      <c r="A21" s="1"/>
      <c r="B21" s="3"/>
      <c r="C21" s="36"/>
      <c r="D21" s="46"/>
      <c r="E21" s="51"/>
      <c r="F21" s="52"/>
      <c r="G21" s="70"/>
    </row>
    <row r="22" spans="1:7" s="6" customFormat="1" ht="15.75" customHeight="1" x14ac:dyDescent="0.25">
      <c r="A22" s="1"/>
      <c r="B22" s="3"/>
      <c r="C22" s="35" t="s">
        <v>1950</v>
      </c>
      <c r="D22" s="57">
        <f>SUM(D23:D37)</f>
        <v>24374</v>
      </c>
      <c r="E22" s="51"/>
      <c r="F22" s="52"/>
      <c r="G22" s="70"/>
    </row>
    <row r="23" spans="1:7" s="6" customFormat="1" ht="15.75" customHeight="1" x14ac:dyDescent="0.25">
      <c r="A23" s="1"/>
      <c r="B23" s="3"/>
      <c r="C23" s="36" t="s">
        <v>261</v>
      </c>
      <c r="D23" s="45">
        <v>893</v>
      </c>
      <c r="E23" s="51"/>
      <c r="F23" s="52"/>
      <c r="G23" s="70"/>
    </row>
    <row r="24" spans="1:7" s="6" customFormat="1" ht="15.75" customHeight="1" x14ac:dyDescent="0.25">
      <c r="A24" s="1"/>
      <c r="B24" s="3"/>
      <c r="C24" s="36" t="s">
        <v>262</v>
      </c>
      <c r="D24" s="45">
        <v>501</v>
      </c>
      <c r="E24" s="51"/>
      <c r="F24" s="52"/>
      <c r="G24" s="70"/>
    </row>
    <row r="25" spans="1:7" s="6" customFormat="1" ht="15.75" customHeight="1" x14ac:dyDescent="0.25">
      <c r="A25" s="1"/>
      <c r="B25" s="3"/>
      <c r="C25" s="36" t="s">
        <v>263</v>
      </c>
      <c r="D25" s="45">
        <v>1139</v>
      </c>
      <c r="E25" s="51"/>
      <c r="F25" s="52"/>
      <c r="G25" s="70"/>
    </row>
    <row r="26" spans="1:7" s="7" customFormat="1" ht="15.75" customHeight="1" x14ac:dyDescent="0.25">
      <c r="A26" s="1"/>
      <c r="B26" s="3"/>
      <c r="C26" s="36" t="s">
        <v>264</v>
      </c>
      <c r="D26" s="45">
        <v>1990</v>
      </c>
      <c r="E26" s="51"/>
      <c r="F26" s="52"/>
      <c r="G26" s="70"/>
    </row>
    <row r="27" spans="1:7" s="3" customFormat="1" ht="15.75" customHeight="1" x14ac:dyDescent="0.25">
      <c r="A27" s="1"/>
      <c r="C27" s="36" t="s">
        <v>265</v>
      </c>
      <c r="D27" s="45">
        <v>856</v>
      </c>
      <c r="E27" s="51"/>
      <c r="F27" s="52"/>
      <c r="G27" s="70"/>
    </row>
    <row r="28" spans="1:7" s="8" customFormat="1" ht="15.75" customHeight="1" x14ac:dyDescent="0.25">
      <c r="A28" s="1"/>
      <c r="B28" s="3"/>
      <c r="C28" s="36" t="s">
        <v>87</v>
      </c>
      <c r="D28" s="45">
        <v>2725</v>
      </c>
      <c r="E28" s="51"/>
      <c r="F28" s="52"/>
      <c r="G28" s="70"/>
    </row>
    <row r="29" spans="1:7" s="6" customFormat="1" ht="15.75" customHeight="1" x14ac:dyDescent="0.25">
      <c r="A29" s="1"/>
      <c r="B29" s="3"/>
      <c r="C29" s="36" t="s">
        <v>266</v>
      </c>
      <c r="D29" s="45">
        <v>3796</v>
      </c>
      <c r="E29" s="51"/>
      <c r="F29" s="52"/>
      <c r="G29" s="70"/>
    </row>
    <row r="30" spans="1:7" s="6" customFormat="1" ht="15.75" customHeight="1" x14ac:dyDescent="0.25">
      <c r="A30" s="1"/>
      <c r="B30" s="3"/>
      <c r="C30" s="36" t="s">
        <v>267</v>
      </c>
      <c r="D30" s="45">
        <v>792</v>
      </c>
      <c r="E30" s="51"/>
      <c r="F30" s="52"/>
      <c r="G30" s="70"/>
    </row>
    <row r="31" spans="1:7" s="6" customFormat="1" ht="15.75" customHeight="1" x14ac:dyDescent="0.25">
      <c r="A31" s="1"/>
      <c r="B31" s="3"/>
      <c r="C31" s="36" t="s">
        <v>268</v>
      </c>
      <c r="D31" s="45">
        <v>1273</v>
      </c>
      <c r="E31" s="51"/>
      <c r="F31" s="52"/>
      <c r="G31" s="70"/>
    </row>
    <row r="32" spans="1:7" s="6" customFormat="1" ht="15.75" customHeight="1" x14ac:dyDescent="0.25">
      <c r="A32" s="1"/>
      <c r="B32" s="3"/>
      <c r="C32" s="36" t="s">
        <v>269</v>
      </c>
      <c r="D32" s="45">
        <v>610</v>
      </c>
      <c r="E32" s="51"/>
      <c r="F32" s="52"/>
      <c r="G32" s="70"/>
    </row>
    <row r="33" spans="1:7" s="6" customFormat="1" ht="15.75" customHeight="1" x14ac:dyDescent="0.25">
      <c r="A33" s="1"/>
      <c r="B33" s="3"/>
      <c r="C33" s="36" t="s">
        <v>270</v>
      </c>
      <c r="D33" s="45">
        <v>4456</v>
      </c>
      <c r="E33" s="51"/>
      <c r="F33" s="52"/>
      <c r="G33" s="70"/>
    </row>
    <row r="34" spans="1:7" s="6" customFormat="1" ht="15.75" customHeight="1" x14ac:dyDescent="0.25">
      <c r="A34" s="1"/>
      <c r="B34" s="3"/>
      <c r="C34" s="36" t="s">
        <v>89</v>
      </c>
      <c r="D34" s="45">
        <v>1140</v>
      </c>
      <c r="E34" s="51"/>
      <c r="F34" s="52"/>
      <c r="G34" s="70"/>
    </row>
    <row r="35" spans="1:7" s="6" customFormat="1" ht="15.75" customHeight="1" x14ac:dyDescent="0.25">
      <c r="A35" s="1"/>
      <c r="B35" s="3"/>
      <c r="C35" s="36" t="s">
        <v>271</v>
      </c>
      <c r="D35" s="45">
        <v>1678</v>
      </c>
      <c r="E35" s="51"/>
      <c r="F35" s="52"/>
      <c r="G35" s="70"/>
    </row>
    <row r="36" spans="1:7" s="6" customFormat="1" ht="15.75" customHeight="1" x14ac:dyDescent="0.25">
      <c r="A36" s="1"/>
      <c r="B36" s="3"/>
      <c r="C36" s="36" t="s">
        <v>272</v>
      </c>
      <c r="D36" s="45">
        <v>598</v>
      </c>
      <c r="E36" s="51"/>
      <c r="F36" s="52"/>
      <c r="G36" s="70"/>
    </row>
    <row r="37" spans="1:7" s="6" customFormat="1" ht="15.75" customHeight="1" x14ac:dyDescent="0.25">
      <c r="A37" s="1"/>
      <c r="B37" s="3"/>
      <c r="C37" s="36" t="s">
        <v>273</v>
      </c>
      <c r="D37" s="45">
        <v>1927</v>
      </c>
      <c r="E37" s="51"/>
      <c r="F37" s="52"/>
      <c r="G37" s="70"/>
    </row>
    <row r="38" spans="1:7" s="6" customFormat="1" ht="15.75" customHeight="1" x14ac:dyDescent="0.25">
      <c r="A38" s="1"/>
      <c r="B38" s="3"/>
      <c r="C38" s="36"/>
      <c r="D38" s="46"/>
      <c r="E38" s="51"/>
      <c r="F38" s="52"/>
      <c r="G38" s="70"/>
    </row>
    <row r="39" spans="1:7" s="7" customFormat="1" ht="15.75" customHeight="1" x14ac:dyDescent="0.25">
      <c r="A39" s="1"/>
      <c r="B39" s="3"/>
      <c r="C39" s="35" t="s">
        <v>274</v>
      </c>
      <c r="D39" s="57">
        <f>SUM(D40:D55)</f>
        <v>17778</v>
      </c>
      <c r="E39" s="51"/>
      <c r="F39" s="52"/>
      <c r="G39" s="70"/>
    </row>
    <row r="40" spans="1:7" s="3" customFormat="1" ht="15.75" customHeight="1" x14ac:dyDescent="0.25">
      <c r="A40" s="1"/>
      <c r="C40" s="36" t="s">
        <v>275</v>
      </c>
      <c r="D40" s="45">
        <v>400</v>
      </c>
      <c r="E40" s="51"/>
      <c r="F40" s="52"/>
      <c r="G40" s="70"/>
    </row>
    <row r="41" spans="1:7" s="6" customFormat="1" ht="15.75" customHeight="1" x14ac:dyDescent="0.25">
      <c r="A41" s="1"/>
      <c r="B41" s="3"/>
      <c r="C41" s="36" t="s">
        <v>63</v>
      </c>
      <c r="D41" s="45">
        <v>2680</v>
      </c>
      <c r="E41" s="51"/>
      <c r="F41" s="52"/>
      <c r="G41" s="70"/>
    </row>
    <row r="42" spans="1:7" s="6" customFormat="1" ht="15.75" customHeight="1" x14ac:dyDescent="0.25">
      <c r="A42" s="1"/>
      <c r="B42" s="3"/>
      <c r="C42" s="36" t="s">
        <v>97</v>
      </c>
      <c r="D42" s="45">
        <v>1455</v>
      </c>
      <c r="E42" s="51"/>
      <c r="F42" s="52"/>
      <c r="G42" s="70"/>
    </row>
    <row r="43" spans="1:7" s="6" customFormat="1" ht="15.75" customHeight="1" x14ac:dyDescent="0.25">
      <c r="A43" s="1"/>
      <c r="B43" s="3"/>
      <c r="C43" s="36" t="s">
        <v>78</v>
      </c>
      <c r="D43" s="45">
        <v>344</v>
      </c>
      <c r="E43" s="51"/>
      <c r="F43" s="52"/>
      <c r="G43" s="70"/>
    </row>
    <row r="44" spans="1:7" s="6" customFormat="1" ht="15.75" customHeight="1" x14ac:dyDescent="0.25">
      <c r="A44" s="1"/>
      <c r="B44" s="3"/>
      <c r="C44" s="36" t="s">
        <v>276</v>
      </c>
      <c r="D44" s="45">
        <v>2399</v>
      </c>
      <c r="E44" s="51"/>
      <c r="F44" s="52"/>
      <c r="G44" s="70"/>
    </row>
    <row r="45" spans="1:7" s="6" customFormat="1" ht="15.75" customHeight="1" x14ac:dyDescent="0.25">
      <c r="A45" s="1"/>
      <c r="B45" s="3"/>
      <c r="C45" s="36" t="s">
        <v>277</v>
      </c>
      <c r="D45" s="45">
        <v>434</v>
      </c>
      <c r="E45" s="51"/>
      <c r="F45" s="52"/>
      <c r="G45" s="70"/>
    </row>
    <row r="46" spans="1:7" s="6" customFormat="1" ht="15.75" customHeight="1" x14ac:dyDescent="0.25">
      <c r="A46" s="1"/>
      <c r="B46" s="3"/>
      <c r="C46" s="36" t="s">
        <v>87</v>
      </c>
      <c r="D46" s="45">
        <v>518</v>
      </c>
      <c r="E46" s="51"/>
      <c r="F46" s="52"/>
      <c r="G46" s="70"/>
    </row>
    <row r="47" spans="1:7" s="6" customFormat="1" ht="15.75" customHeight="1" x14ac:dyDescent="0.25">
      <c r="A47" s="1"/>
      <c r="B47" s="3"/>
      <c r="C47" s="36" t="s">
        <v>278</v>
      </c>
      <c r="D47" s="45">
        <v>991</v>
      </c>
      <c r="E47" s="51"/>
      <c r="F47" s="52"/>
      <c r="G47" s="70"/>
    </row>
    <row r="48" spans="1:7" s="6" customFormat="1" ht="15.75" customHeight="1" x14ac:dyDescent="0.25">
      <c r="A48" s="1"/>
      <c r="B48" s="3"/>
      <c r="C48" s="36" t="s">
        <v>279</v>
      </c>
      <c r="D48" s="45">
        <v>988</v>
      </c>
      <c r="E48" s="51"/>
      <c r="F48" s="52"/>
      <c r="G48" s="70"/>
    </row>
    <row r="49" spans="1:7" s="6" customFormat="1" ht="15.75" customHeight="1" x14ac:dyDescent="0.25">
      <c r="A49" s="1"/>
      <c r="B49" s="3"/>
      <c r="C49" s="36" t="s">
        <v>2</v>
      </c>
      <c r="D49" s="45">
        <v>1268</v>
      </c>
      <c r="E49" s="51"/>
      <c r="F49" s="52"/>
      <c r="G49" s="70"/>
    </row>
    <row r="50" spans="1:7" s="6" customFormat="1" ht="15.75" customHeight="1" x14ac:dyDescent="0.25">
      <c r="A50" s="1"/>
      <c r="B50" s="3"/>
      <c r="C50" s="36" t="s">
        <v>13</v>
      </c>
      <c r="D50" s="45">
        <v>1146</v>
      </c>
      <c r="E50" s="51"/>
      <c r="F50" s="52"/>
      <c r="G50" s="70"/>
    </row>
    <row r="51" spans="1:7" s="6" customFormat="1" ht="15.75" customHeight="1" x14ac:dyDescent="0.25">
      <c r="A51" s="1"/>
      <c r="B51" s="3"/>
      <c r="C51" s="36" t="s">
        <v>280</v>
      </c>
      <c r="D51" s="45">
        <v>1116</v>
      </c>
      <c r="E51" s="51"/>
      <c r="F51" s="52"/>
      <c r="G51" s="70"/>
    </row>
    <row r="52" spans="1:7" s="6" customFormat="1" ht="15.75" customHeight="1" x14ac:dyDescent="0.25">
      <c r="A52" s="1"/>
      <c r="B52" s="3"/>
      <c r="C52" s="36" t="s">
        <v>33</v>
      </c>
      <c r="D52" s="45">
        <v>1049</v>
      </c>
      <c r="E52" s="51"/>
      <c r="F52" s="52"/>
      <c r="G52" s="70"/>
    </row>
    <row r="53" spans="1:7" s="6" customFormat="1" ht="15.75" customHeight="1" x14ac:dyDescent="0.25">
      <c r="A53" s="1"/>
      <c r="B53" s="3"/>
      <c r="C53" s="36" t="s">
        <v>281</v>
      </c>
      <c r="D53" s="45">
        <v>387</v>
      </c>
      <c r="E53" s="51"/>
      <c r="F53" s="52"/>
      <c r="G53" s="70"/>
    </row>
    <row r="54" spans="1:7" s="6" customFormat="1" ht="15.75" customHeight="1" x14ac:dyDescent="0.25">
      <c r="A54" s="1"/>
      <c r="B54" s="3"/>
      <c r="C54" s="36" t="s">
        <v>282</v>
      </c>
      <c r="D54" s="45">
        <v>904</v>
      </c>
      <c r="E54" s="51"/>
      <c r="F54" s="52"/>
      <c r="G54" s="70"/>
    </row>
    <row r="55" spans="1:7" s="6" customFormat="1" ht="15.75" customHeight="1" x14ac:dyDescent="0.25">
      <c r="A55" s="1"/>
      <c r="B55" s="3"/>
      <c r="C55" s="36" t="s">
        <v>283</v>
      </c>
      <c r="D55" s="45">
        <v>1699</v>
      </c>
      <c r="E55" s="51"/>
      <c r="F55" s="52"/>
      <c r="G55" s="70"/>
    </row>
    <row r="56" spans="1:7" s="6" customFormat="1" ht="15.75" customHeight="1" x14ac:dyDescent="0.25">
      <c r="A56" s="1"/>
      <c r="B56" s="3"/>
      <c r="C56" s="36"/>
      <c r="D56" s="46"/>
      <c r="E56" s="51"/>
      <c r="F56" s="52"/>
      <c r="G56" s="70"/>
    </row>
    <row r="57" spans="1:7" s="6" customFormat="1" ht="15.75" customHeight="1" x14ac:dyDescent="0.25">
      <c r="A57" s="1"/>
      <c r="B57" s="3"/>
      <c r="C57" s="35" t="s">
        <v>284</v>
      </c>
      <c r="D57" s="57">
        <f>SUM(D58:D78)</f>
        <v>14990</v>
      </c>
      <c r="E57" s="51"/>
      <c r="F57" s="52"/>
      <c r="G57" s="70"/>
    </row>
    <row r="58" spans="1:7" s="6" customFormat="1" ht="15.75" customHeight="1" x14ac:dyDescent="0.25">
      <c r="A58" s="1"/>
      <c r="B58" s="3"/>
      <c r="C58" s="36" t="s">
        <v>285</v>
      </c>
      <c r="D58" s="45">
        <v>936</v>
      </c>
      <c r="E58" s="51"/>
      <c r="F58" s="52"/>
      <c r="G58" s="70"/>
    </row>
    <row r="59" spans="1:7" s="6" customFormat="1" ht="15.75" customHeight="1" x14ac:dyDescent="0.25">
      <c r="A59" s="1"/>
      <c r="B59" s="3"/>
      <c r="C59" s="36" t="s">
        <v>286</v>
      </c>
      <c r="D59" s="45">
        <v>1271</v>
      </c>
      <c r="E59" s="51"/>
      <c r="F59" s="52"/>
      <c r="G59" s="70"/>
    </row>
    <row r="60" spans="1:7" s="6" customFormat="1" ht="15.75" customHeight="1" x14ac:dyDescent="0.25">
      <c r="A60" s="1"/>
      <c r="B60" s="3"/>
      <c r="C60" s="36" t="s">
        <v>287</v>
      </c>
      <c r="D60" s="45">
        <v>766</v>
      </c>
      <c r="E60" s="51"/>
      <c r="F60" s="52"/>
      <c r="G60" s="70"/>
    </row>
    <row r="61" spans="1:7" s="6" customFormat="1" ht="15.75" customHeight="1" x14ac:dyDescent="0.25">
      <c r="A61" s="1"/>
      <c r="B61" s="3"/>
      <c r="C61" s="36" t="s">
        <v>288</v>
      </c>
      <c r="D61" s="45">
        <v>592</v>
      </c>
      <c r="E61" s="51"/>
      <c r="F61" s="52"/>
      <c r="G61" s="70"/>
    </row>
    <row r="62" spans="1:7" s="8" customFormat="1" ht="15.75" customHeight="1" x14ac:dyDescent="0.25">
      <c r="A62" s="1"/>
      <c r="B62" s="3"/>
      <c r="C62" s="36" t="s">
        <v>289</v>
      </c>
      <c r="D62" s="45">
        <v>884</v>
      </c>
      <c r="E62" s="51"/>
      <c r="F62" s="52"/>
      <c r="G62" s="70"/>
    </row>
    <row r="63" spans="1:7" s="6" customFormat="1" ht="15.75" customHeight="1" x14ac:dyDescent="0.25">
      <c r="A63" s="1"/>
      <c r="B63" s="3"/>
      <c r="C63" s="36" t="s">
        <v>290</v>
      </c>
      <c r="D63" s="45">
        <v>757</v>
      </c>
      <c r="E63" s="51"/>
      <c r="F63" s="52"/>
      <c r="G63" s="70"/>
    </row>
    <row r="64" spans="1:7" s="6" customFormat="1" ht="15.75" customHeight="1" x14ac:dyDescent="0.25">
      <c r="A64" s="1"/>
      <c r="B64" s="3"/>
      <c r="C64" s="36" t="s">
        <v>291</v>
      </c>
      <c r="D64" s="45">
        <v>614</v>
      </c>
      <c r="E64" s="51"/>
      <c r="F64" s="52"/>
      <c r="G64" s="70"/>
    </row>
    <row r="65" spans="1:7" s="6" customFormat="1" ht="15.75" customHeight="1" x14ac:dyDescent="0.25">
      <c r="A65" s="1"/>
      <c r="B65" s="3"/>
      <c r="C65" s="36" t="s">
        <v>292</v>
      </c>
      <c r="D65" s="45">
        <v>820</v>
      </c>
      <c r="E65" s="51"/>
      <c r="F65" s="52"/>
      <c r="G65" s="70"/>
    </row>
    <row r="66" spans="1:7" s="6" customFormat="1" ht="15.75" customHeight="1" x14ac:dyDescent="0.25">
      <c r="A66" s="1"/>
      <c r="B66" s="3"/>
      <c r="C66" s="36" t="s">
        <v>293</v>
      </c>
      <c r="D66" s="45">
        <v>692</v>
      </c>
      <c r="E66" s="51"/>
      <c r="F66" s="52"/>
      <c r="G66" s="70"/>
    </row>
    <row r="67" spans="1:7" s="6" customFormat="1" ht="15.75" customHeight="1" x14ac:dyDescent="0.25">
      <c r="A67" s="1"/>
      <c r="B67" s="3"/>
      <c r="C67" s="36" t="s">
        <v>48</v>
      </c>
      <c r="D67" s="45">
        <v>489</v>
      </c>
      <c r="E67" s="51"/>
      <c r="F67" s="52"/>
      <c r="G67" s="70"/>
    </row>
    <row r="68" spans="1:7" s="6" customFormat="1" ht="15.75" customHeight="1" x14ac:dyDescent="0.25">
      <c r="A68" s="1"/>
      <c r="B68" s="3"/>
      <c r="C68" s="36" t="s">
        <v>294</v>
      </c>
      <c r="D68" s="45">
        <v>716</v>
      </c>
      <c r="E68" s="51"/>
      <c r="F68" s="52"/>
      <c r="G68" s="70"/>
    </row>
    <row r="69" spans="1:7" s="6" customFormat="1" ht="15.75" customHeight="1" x14ac:dyDescent="0.25">
      <c r="A69" s="1"/>
      <c r="B69" s="3"/>
      <c r="C69" s="36" t="s">
        <v>295</v>
      </c>
      <c r="D69" s="45">
        <v>469</v>
      </c>
      <c r="E69" s="51"/>
      <c r="F69" s="52"/>
      <c r="G69" s="70"/>
    </row>
    <row r="70" spans="1:7" s="6" customFormat="1" ht="15.75" customHeight="1" x14ac:dyDescent="0.25">
      <c r="A70" s="1"/>
      <c r="B70" s="3"/>
      <c r="C70" s="36" t="s">
        <v>2</v>
      </c>
      <c r="D70" s="45">
        <v>1220</v>
      </c>
      <c r="E70" s="51"/>
      <c r="F70" s="52"/>
      <c r="G70" s="70"/>
    </row>
    <row r="71" spans="1:7" s="6" customFormat="1" ht="15.75" customHeight="1" x14ac:dyDescent="0.25">
      <c r="A71" s="1"/>
      <c r="B71" s="3"/>
      <c r="C71" s="36" t="s">
        <v>296</v>
      </c>
      <c r="D71" s="45">
        <v>258</v>
      </c>
      <c r="E71" s="51"/>
      <c r="F71" s="52"/>
      <c r="G71" s="70"/>
    </row>
    <row r="72" spans="1:7" s="7" customFormat="1" ht="15.75" customHeight="1" x14ac:dyDescent="0.25">
      <c r="A72" s="1"/>
      <c r="B72" s="3"/>
      <c r="C72" s="36" t="s">
        <v>145</v>
      </c>
      <c r="D72" s="45">
        <v>496</v>
      </c>
      <c r="E72" s="51"/>
      <c r="F72" s="52"/>
      <c r="G72" s="70"/>
    </row>
    <row r="73" spans="1:7" s="3" customFormat="1" ht="15.75" customHeight="1" x14ac:dyDescent="0.25">
      <c r="A73" s="1"/>
      <c r="C73" s="36" t="s">
        <v>297</v>
      </c>
      <c r="D73" s="45">
        <v>663</v>
      </c>
      <c r="E73" s="51"/>
      <c r="F73" s="52"/>
      <c r="G73" s="70"/>
    </row>
    <row r="74" spans="1:7" s="6" customFormat="1" ht="15.75" customHeight="1" x14ac:dyDescent="0.25">
      <c r="A74" s="1"/>
      <c r="B74" s="3"/>
      <c r="C74" s="36" t="s">
        <v>298</v>
      </c>
      <c r="D74" s="45">
        <v>421</v>
      </c>
      <c r="E74" s="51"/>
      <c r="F74" s="52"/>
      <c r="G74" s="70"/>
    </row>
    <row r="75" spans="1:7" s="6" customFormat="1" ht="15.75" customHeight="1" x14ac:dyDescent="0.25">
      <c r="A75" s="1"/>
      <c r="B75" s="3"/>
      <c r="C75" s="36" t="s">
        <v>299</v>
      </c>
      <c r="D75" s="45">
        <v>796</v>
      </c>
      <c r="E75" s="51"/>
      <c r="F75" s="52"/>
      <c r="G75" s="70"/>
    </row>
    <row r="76" spans="1:7" s="6" customFormat="1" ht="15.75" customHeight="1" x14ac:dyDescent="0.25">
      <c r="A76" s="1"/>
      <c r="B76" s="3"/>
      <c r="C76" s="36" t="s">
        <v>300</v>
      </c>
      <c r="D76" s="45">
        <v>552</v>
      </c>
      <c r="E76" s="51"/>
      <c r="F76" s="52"/>
      <c r="G76" s="70"/>
    </row>
    <row r="77" spans="1:7" s="6" customFormat="1" ht="15.75" customHeight="1" x14ac:dyDescent="0.25">
      <c r="A77" s="1"/>
      <c r="B77" s="3"/>
      <c r="C77" s="36" t="s">
        <v>301</v>
      </c>
      <c r="D77" s="45">
        <v>562</v>
      </c>
      <c r="E77" s="51"/>
      <c r="F77" s="52"/>
      <c r="G77" s="70"/>
    </row>
    <row r="78" spans="1:7" s="6" customFormat="1" ht="15.75" customHeight="1" x14ac:dyDescent="0.25">
      <c r="A78" s="1"/>
      <c r="B78" s="3"/>
      <c r="C78" s="36" t="s">
        <v>302</v>
      </c>
      <c r="D78" s="45">
        <v>1016</v>
      </c>
      <c r="E78" s="51"/>
      <c r="F78" s="52"/>
      <c r="G78" s="70"/>
    </row>
    <row r="79" spans="1:7" s="6" customFormat="1" ht="15.75" customHeight="1" x14ac:dyDescent="0.25">
      <c r="A79" s="1"/>
      <c r="B79" s="3"/>
      <c r="C79" s="54" t="s">
        <v>303</v>
      </c>
      <c r="D79" s="57">
        <f>SUM(D80:D96)</f>
        <v>22461</v>
      </c>
      <c r="E79" s="51"/>
      <c r="F79" s="52"/>
      <c r="G79" s="70"/>
    </row>
    <row r="80" spans="1:7" s="6" customFormat="1" ht="15.75" customHeight="1" x14ac:dyDescent="0.25">
      <c r="A80" s="1"/>
      <c r="B80" s="3"/>
      <c r="C80" s="36" t="s">
        <v>304</v>
      </c>
      <c r="D80" s="45">
        <v>436</v>
      </c>
      <c r="E80" s="51"/>
      <c r="F80" s="52"/>
      <c r="G80" s="70"/>
    </row>
    <row r="81" spans="1:7" s="6" customFormat="1" ht="15.75" customHeight="1" x14ac:dyDescent="0.25">
      <c r="A81" s="1"/>
      <c r="B81" s="3"/>
      <c r="C81" s="36" t="s">
        <v>305</v>
      </c>
      <c r="D81" s="45">
        <v>838</v>
      </c>
      <c r="E81" s="51"/>
      <c r="F81" s="52"/>
      <c r="G81" s="70"/>
    </row>
    <row r="82" spans="1:7" s="6" customFormat="1" ht="15.75" customHeight="1" x14ac:dyDescent="0.25">
      <c r="A82" s="1"/>
      <c r="B82" s="3"/>
      <c r="C82" s="36" t="s">
        <v>306</v>
      </c>
      <c r="D82" s="45">
        <v>420</v>
      </c>
      <c r="E82" s="51"/>
      <c r="F82" s="52"/>
      <c r="G82" s="70"/>
    </row>
    <row r="83" spans="1:7" s="6" customFormat="1" ht="15.75" customHeight="1" x14ac:dyDescent="0.25">
      <c r="A83" s="1"/>
      <c r="B83" s="3"/>
      <c r="C83" s="36" t="s">
        <v>171</v>
      </c>
      <c r="D83" s="45">
        <v>2090</v>
      </c>
      <c r="E83" s="51"/>
      <c r="F83" s="52"/>
      <c r="G83" s="70"/>
    </row>
    <row r="84" spans="1:7" s="6" customFormat="1" ht="15.75" customHeight="1" x14ac:dyDescent="0.25">
      <c r="A84" s="1"/>
      <c r="B84" s="3"/>
      <c r="C84" s="36" t="s">
        <v>307</v>
      </c>
      <c r="D84" s="45">
        <v>997</v>
      </c>
      <c r="E84" s="51"/>
      <c r="F84" s="52"/>
      <c r="G84" s="70"/>
    </row>
    <row r="85" spans="1:7" s="6" customFormat="1" ht="15.75" customHeight="1" x14ac:dyDescent="0.25">
      <c r="A85" s="1"/>
      <c r="B85" s="3"/>
      <c r="C85" s="36" t="s">
        <v>308</v>
      </c>
      <c r="D85" s="45">
        <v>1099</v>
      </c>
      <c r="E85" s="51"/>
      <c r="F85" s="52"/>
      <c r="G85" s="70"/>
    </row>
    <row r="86" spans="1:7" s="6" customFormat="1" ht="15.75" customHeight="1" x14ac:dyDescent="0.25">
      <c r="A86" s="1"/>
      <c r="B86" s="3"/>
      <c r="C86" s="36" t="s">
        <v>50</v>
      </c>
      <c r="D86" s="45">
        <v>1528</v>
      </c>
      <c r="E86" s="51"/>
      <c r="F86" s="52"/>
      <c r="G86" s="70"/>
    </row>
    <row r="87" spans="1:7" s="6" customFormat="1" ht="15.75" customHeight="1" x14ac:dyDescent="0.25">
      <c r="A87" s="1"/>
      <c r="B87" s="3"/>
      <c r="C87" s="36" t="s">
        <v>309</v>
      </c>
      <c r="D87" s="45">
        <v>1871</v>
      </c>
      <c r="E87" s="51"/>
      <c r="F87" s="52"/>
      <c r="G87" s="70"/>
    </row>
    <row r="88" spans="1:7" s="6" customFormat="1" ht="15.75" customHeight="1" x14ac:dyDescent="0.25">
      <c r="A88" s="1"/>
      <c r="B88" s="3"/>
      <c r="C88" s="36" t="s">
        <v>310</v>
      </c>
      <c r="D88" s="45">
        <v>1524</v>
      </c>
      <c r="E88" s="51"/>
      <c r="F88" s="52"/>
      <c r="G88" s="70"/>
    </row>
    <row r="89" spans="1:7" s="6" customFormat="1" ht="15.75" customHeight="1" x14ac:dyDescent="0.25">
      <c r="A89" s="1"/>
      <c r="B89" s="3"/>
      <c r="C89" s="36" t="s">
        <v>311</v>
      </c>
      <c r="D89" s="45">
        <v>1100</v>
      </c>
      <c r="E89" s="51"/>
      <c r="F89" s="52"/>
      <c r="G89" s="70"/>
    </row>
    <row r="90" spans="1:7" s="6" customFormat="1" ht="15.75" customHeight="1" x14ac:dyDescent="0.25">
      <c r="A90" s="1"/>
      <c r="B90" s="3"/>
      <c r="C90" s="36" t="s">
        <v>2</v>
      </c>
      <c r="D90" s="45">
        <v>1874</v>
      </c>
      <c r="E90" s="51"/>
      <c r="F90" s="52"/>
      <c r="G90" s="70"/>
    </row>
    <row r="91" spans="1:7" s="6" customFormat="1" ht="15.75" customHeight="1" x14ac:dyDescent="0.25">
      <c r="A91" s="1"/>
      <c r="B91" s="3"/>
      <c r="C91" s="36" t="s">
        <v>5</v>
      </c>
      <c r="D91" s="45">
        <v>941</v>
      </c>
      <c r="E91" s="51"/>
      <c r="F91" s="52"/>
      <c r="G91" s="70"/>
    </row>
    <row r="92" spans="1:7" s="8" customFormat="1" ht="15.75" customHeight="1" x14ac:dyDescent="0.25">
      <c r="A92" s="1"/>
      <c r="B92" s="3"/>
      <c r="C92" s="36" t="s">
        <v>17</v>
      </c>
      <c r="D92" s="45">
        <v>1737</v>
      </c>
      <c r="E92" s="51"/>
      <c r="F92" s="52"/>
      <c r="G92" s="70"/>
    </row>
    <row r="93" spans="1:7" s="6" customFormat="1" ht="15.75" customHeight="1" x14ac:dyDescent="0.25">
      <c r="A93" s="1"/>
      <c r="B93" s="3"/>
      <c r="C93" s="36" t="s">
        <v>10</v>
      </c>
      <c r="D93" s="45">
        <v>1399</v>
      </c>
      <c r="E93" s="51"/>
      <c r="F93" s="52"/>
      <c r="G93" s="70"/>
    </row>
    <row r="94" spans="1:7" s="7" customFormat="1" ht="15.75" customHeight="1" x14ac:dyDescent="0.25">
      <c r="A94" s="1"/>
      <c r="B94" s="3"/>
      <c r="C94" s="36" t="s">
        <v>13</v>
      </c>
      <c r="D94" s="45">
        <v>1604</v>
      </c>
      <c r="E94" s="51"/>
      <c r="F94" s="52"/>
      <c r="G94" s="70"/>
    </row>
    <row r="95" spans="1:7" s="3" customFormat="1" ht="15.75" customHeight="1" x14ac:dyDescent="0.25">
      <c r="A95" s="1"/>
      <c r="C95" s="36" t="s">
        <v>312</v>
      </c>
      <c r="D95" s="45">
        <v>2091</v>
      </c>
      <c r="E95" s="51"/>
      <c r="F95" s="52"/>
      <c r="G95" s="70"/>
    </row>
    <row r="96" spans="1:7" s="6" customFormat="1" ht="15.75" customHeight="1" x14ac:dyDescent="0.25">
      <c r="A96" s="1"/>
      <c r="B96" s="3"/>
      <c r="C96" s="36" t="s">
        <v>313</v>
      </c>
      <c r="D96" s="45">
        <v>912</v>
      </c>
      <c r="E96" s="51"/>
      <c r="F96" s="52"/>
      <c r="G96" s="70"/>
    </row>
    <row r="97" spans="1:7" s="6" customFormat="1" ht="15.75" customHeight="1" x14ac:dyDescent="0.25">
      <c r="A97" s="1"/>
      <c r="B97" s="3"/>
      <c r="C97" s="36"/>
      <c r="D97" s="45"/>
      <c r="E97" s="51"/>
      <c r="F97" s="52"/>
      <c r="G97" s="70"/>
    </row>
    <row r="98" spans="1:7" s="6" customFormat="1" ht="15.75" customHeight="1" x14ac:dyDescent="0.25">
      <c r="A98" s="1"/>
      <c r="B98" s="3"/>
      <c r="C98" s="35" t="s">
        <v>1951</v>
      </c>
      <c r="D98" s="57">
        <f>SUM(D99:D129)</f>
        <v>18694</v>
      </c>
      <c r="E98" s="51"/>
      <c r="F98" s="52"/>
      <c r="G98" s="70"/>
    </row>
    <row r="99" spans="1:7" s="6" customFormat="1" ht="15.75" customHeight="1" x14ac:dyDescent="0.25">
      <c r="A99" s="1"/>
      <c r="B99" s="3"/>
      <c r="C99" s="36" t="s">
        <v>314</v>
      </c>
      <c r="D99" s="45">
        <v>898</v>
      </c>
      <c r="E99" s="51"/>
      <c r="F99" s="52"/>
      <c r="G99" s="70"/>
    </row>
    <row r="100" spans="1:7" s="6" customFormat="1" ht="15.75" customHeight="1" x14ac:dyDescent="0.25">
      <c r="A100" s="1"/>
      <c r="B100" s="3"/>
      <c r="C100" s="36" t="s">
        <v>315</v>
      </c>
      <c r="D100" s="45">
        <v>652</v>
      </c>
      <c r="E100" s="51"/>
      <c r="F100" s="52"/>
      <c r="G100" s="70"/>
    </row>
    <row r="101" spans="1:7" s="6" customFormat="1" ht="15.75" customHeight="1" x14ac:dyDescent="0.25">
      <c r="A101" s="1"/>
      <c r="B101" s="3"/>
      <c r="C101" s="36" t="s">
        <v>316</v>
      </c>
      <c r="D101" s="45">
        <v>1313</v>
      </c>
      <c r="E101" s="51"/>
      <c r="F101" s="52"/>
      <c r="G101" s="70"/>
    </row>
    <row r="102" spans="1:7" s="6" customFormat="1" ht="15.75" customHeight="1" x14ac:dyDescent="0.25">
      <c r="A102" s="1"/>
      <c r="B102" s="3"/>
      <c r="C102" s="36" t="s">
        <v>317</v>
      </c>
      <c r="D102" s="45">
        <v>194</v>
      </c>
      <c r="E102" s="51"/>
      <c r="F102" s="52"/>
      <c r="G102" s="70"/>
    </row>
    <row r="103" spans="1:7" s="6" customFormat="1" ht="15.75" customHeight="1" x14ac:dyDescent="0.25">
      <c r="A103" s="1"/>
      <c r="B103" s="3"/>
      <c r="C103" s="36" t="s">
        <v>318</v>
      </c>
      <c r="D103" s="45">
        <v>286</v>
      </c>
      <c r="E103" s="51"/>
      <c r="F103" s="52"/>
      <c r="G103" s="70"/>
    </row>
    <row r="104" spans="1:7" s="6" customFormat="1" ht="15.75" customHeight="1" x14ac:dyDescent="0.25">
      <c r="A104" s="1"/>
      <c r="B104" s="3"/>
      <c r="C104" s="36" t="s">
        <v>319</v>
      </c>
      <c r="D104" s="45">
        <v>372</v>
      </c>
      <c r="E104" s="51"/>
      <c r="F104" s="52"/>
      <c r="G104" s="70"/>
    </row>
    <row r="105" spans="1:7" s="6" customFormat="1" ht="15.75" customHeight="1" x14ac:dyDescent="0.25">
      <c r="A105" s="1"/>
      <c r="B105" s="3"/>
      <c r="C105" s="36" t="s">
        <v>320</v>
      </c>
      <c r="D105" s="45">
        <v>694</v>
      </c>
      <c r="E105" s="51"/>
      <c r="F105" s="52"/>
      <c r="G105" s="70"/>
    </row>
    <row r="106" spans="1:7" s="6" customFormat="1" ht="15.75" customHeight="1" x14ac:dyDescent="0.25">
      <c r="A106" s="1"/>
      <c r="B106" s="3"/>
      <c r="C106" s="36" t="s">
        <v>321</v>
      </c>
      <c r="D106" s="45">
        <v>609</v>
      </c>
      <c r="E106" s="51"/>
      <c r="F106" s="52"/>
      <c r="G106" s="70"/>
    </row>
    <row r="107" spans="1:7" s="6" customFormat="1" ht="15.75" customHeight="1" x14ac:dyDescent="0.25">
      <c r="A107" s="1"/>
      <c r="B107" s="3"/>
      <c r="C107" s="36" t="s">
        <v>322</v>
      </c>
      <c r="D107" s="45">
        <v>413</v>
      </c>
      <c r="E107" s="51"/>
      <c r="F107" s="52"/>
      <c r="G107" s="70"/>
    </row>
    <row r="108" spans="1:7" s="6" customFormat="1" ht="15.75" customHeight="1" x14ac:dyDescent="0.25">
      <c r="A108" s="1"/>
      <c r="B108" s="3"/>
      <c r="C108" s="36" t="s">
        <v>323</v>
      </c>
      <c r="D108" s="45">
        <v>666</v>
      </c>
      <c r="E108" s="51"/>
      <c r="F108" s="52"/>
      <c r="G108" s="70"/>
    </row>
    <row r="109" spans="1:7" s="6" customFormat="1" ht="15.75" customHeight="1" x14ac:dyDescent="0.25">
      <c r="A109" s="1"/>
      <c r="B109" s="3"/>
      <c r="C109" s="36" t="s">
        <v>107</v>
      </c>
      <c r="D109" s="45">
        <v>748</v>
      </c>
      <c r="E109" s="51"/>
      <c r="F109" s="52"/>
      <c r="G109" s="70"/>
    </row>
    <row r="110" spans="1:7" s="6" customFormat="1" ht="15.75" customHeight="1" x14ac:dyDescent="0.25">
      <c r="A110" s="1"/>
      <c r="B110" s="3"/>
      <c r="C110" s="36" t="s">
        <v>324</v>
      </c>
      <c r="D110" s="45">
        <v>695</v>
      </c>
      <c r="E110" s="51"/>
      <c r="F110" s="52"/>
      <c r="G110" s="70"/>
    </row>
    <row r="111" spans="1:7" s="6" customFormat="1" ht="15.75" customHeight="1" x14ac:dyDescent="0.25">
      <c r="A111" s="1"/>
      <c r="B111" s="3"/>
      <c r="C111" s="36" t="s">
        <v>325</v>
      </c>
      <c r="D111" s="45">
        <v>552</v>
      </c>
      <c r="E111" s="51"/>
      <c r="F111" s="52"/>
      <c r="G111" s="70"/>
    </row>
    <row r="112" spans="1:7" s="7" customFormat="1" ht="15.75" customHeight="1" x14ac:dyDescent="0.25">
      <c r="A112" s="1"/>
      <c r="B112" s="3"/>
      <c r="C112" s="36" t="s">
        <v>326</v>
      </c>
      <c r="D112" s="45">
        <v>834</v>
      </c>
      <c r="E112" s="51"/>
      <c r="F112" s="52"/>
      <c r="G112" s="70"/>
    </row>
    <row r="113" spans="1:7" s="3" customFormat="1" ht="15.75" customHeight="1" x14ac:dyDescent="0.25">
      <c r="A113" s="1"/>
      <c r="C113" s="36" t="s">
        <v>327</v>
      </c>
      <c r="D113" s="45">
        <v>675</v>
      </c>
      <c r="E113" s="51"/>
      <c r="F113" s="52"/>
      <c r="G113" s="70"/>
    </row>
    <row r="114" spans="1:7" s="6" customFormat="1" ht="15.75" customHeight="1" x14ac:dyDescent="0.25">
      <c r="A114" s="1"/>
      <c r="B114" s="3"/>
      <c r="C114" s="36" t="s">
        <v>328</v>
      </c>
      <c r="D114" s="45">
        <v>892</v>
      </c>
      <c r="E114" s="51"/>
      <c r="F114" s="52"/>
      <c r="G114" s="70"/>
    </row>
    <row r="115" spans="1:7" s="8" customFormat="1" ht="15.75" customHeight="1" x14ac:dyDescent="0.25">
      <c r="A115" s="1"/>
      <c r="B115" s="3"/>
      <c r="C115" s="36" t="s">
        <v>329</v>
      </c>
      <c r="D115" s="45">
        <v>630</v>
      </c>
      <c r="E115" s="51"/>
      <c r="F115" s="52"/>
      <c r="G115" s="70"/>
    </row>
    <row r="116" spans="1:7" s="6" customFormat="1" ht="15.75" customHeight="1" x14ac:dyDescent="0.25">
      <c r="A116" s="1"/>
      <c r="B116" s="3"/>
      <c r="C116" s="36" t="s">
        <v>330</v>
      </c>
      <c r="D116" s="45">
        <v>248</v>
      </c>
      <c r="E116" s="51"/>
      <c r="F116" s="52"/>
      <c r="G116" s="70"/>
    </row>
    <row r="117" spans="1:7" s="6" customFormat="1" ht="15.75" customHeight="1" x14ac:dyDescent="0.25">
      <c r="A117" s="1"/>
      <c r="B117" s="3"/>
      <c r="C117" s="36" t="s">
        <v>331</v>
      </c>
      <c r="D117" s="45">
        <v>735</v>
      </c>
      <c r="E117" s="51"/>
      <c r="F117" s="52"/>
      <c r="G117" s="70"/>
    </row>
    <row r="118" spans="1:7" s="6" customFormat="1" ht="15.75" customHeight="1" x14ac:dyDescent="0.25">
      <c r="A118" s="1"/>
      <c r="B118" s="3"/>
      <c r="C118" s="36" t="s">
        <v>332</v>
      </c>
      <c r="D118" s="45">
        <v>694</v>
      </c>
      <c r="E118" s="51"/>
      <c r="F118" s="52"/>
      <c r="G118" s="70"/>
    </row>
    <row r="119" spans="1:7" s="6" customFormat="1" ht="15.75" customHeight="1" x14ac:dyDescent="0.25">
      <c r="A119" s="1"/>
      <c r="B119" s="3"/>
      <c r="C119" s="36" t="s">
        <v>333</v>
      </c>
      <c r="D119" s="45">
        <v>408</v>
      </c>
      <c r="E119" s="51"/>
      <c r="F119" s="52"/>
      <c r="G119" s="70"/>
    </row>
    <row r="120" spans="1:7" s="6" customFormat="1" ht="15.75" customHeight="1" x14ac:dyDescent="0.25">
      <c r="A120" s="1"/>
      <c r="B120" s="3"/>
      <c r="C120" s="36" t="s">
        <v>334</v>
      </c>
      <c r="D120" s="45">
        <v>390</v>
      </c>
      <c r="E120" s="51"/>
      <c r="F120" s="52"/>
      <c r="G120" s="70"/>
    </row>
    <row r="121" spans="1:7" s="6" customFormat="1" ht="15.75" customHeight="1" x14ac:dyDescent="0.25">
      <c r="A121" s="1"/>
      <c r="B121" s="3"/>
      <c r="C121" s="36" t="s">
        <v>335</v>
      </c>
      <c r="D121" s="45">
        <v>267</v>
      </c>
      <c r="E121" s="51"/>
      <c r="F121" s="52"/>
      <c r="G121" s="70"/>
    </row>
    <row r="122" spans="1:7" s="6" customFormat="1" ht="15.75" customHeight="1" x14ac:dyDescent="0.25">
      <c r="A122" s="1"/>
      <c r="B122" s="3"/>
      <c r="C122" s="36" t="s">
        <v>336</v>
      </c>
      <c r="D122" s="45">
        <v>632</v>
      </c>
      <c r="E122" s="51"/>
      <c r="F122" s="52"/>
      <c r="G122" s="70"/>
    </row>
    <row r="123" spans="1:7" s="6" customFormat="1" ht="15.75" customHeight="1" x14ac:dyDescent="0.25">
      <c r="A123" s="1"/>
      <c r="B123" s="3"/>
      <c r="C123" s="36" t="s">
        <v>337</v>
      </c>
      <c r="D123" s="45">
        <v>508</v>
      </c>
      <c r="E123" s="51"/>
      <c r="F123" s="52"/>
      <c r="G123" s="70"/>
    </row>
    <row r="124" spans="1:7" s="6" customFormat="1" ht="15.75" customHeight="1" x14ac:dyDescent="0.25">
      <c r="A124" s="1"/>
      <c r="B124" s="3"/>
      <c r="C124" s="36" t="s">
        <v>224</v>
      </c>
      <c r="D124" s="45">
        <v>674</v>
      </c>
      <c r="E124" s="51"/>
      <c r="F124" s="52"/>
      <c r="G124" s="70"/>
    </row>
    <row r="125" spans="1:7" s="6" customFormat="1" ht="15.75" customHeight="1" x14ac:dyDescent="0.25">
      <c r="A125" s="1"/>
      <c r="B125" s="3"/>
      <c r="C125" s="36" t="s">
        <v>338</v>
      </c>
      <c r="D125" s="45">
        <v>655</v>
      </c>
      <c r="E125" s="51"/>
      <c r="F125" s="52"/>
      <c r="G125" s="70"/>
    </row>
    <row r="126" spans="1:7" s="6" customFormat="1" ht="15.75" customHeight="1" x14ac:dyDescent="0.25">
      <c r="A126" s="1"/>
      <c r="B126" s="3"/>
      <c r="C126" s="36" t="s">
        <v>5</v>
      </c>
      <c r="D126" s="45">
        <v>516</v>
      </c>
      <c r="E126" s="51"/>
      <c r="F126" s="52"/>
      <c r="G126" s="70"/>
    </row>
    <row r="127" spans="1:7" s="6" customFormat="1" ht="15.75" customHeight="1" x14ac:dyDescent="0.25">
      <c r="A127" s="1"/>
      <c r="B127" s="3"/>
      <c r="C127" s="36" t="s">
        <v>17</v>
      </c>
      <c r="D127" s="45">
        <v>605</v>
      </c>
      <c r="E127" s="51"/>
      <c r="F127" s="52"/>
      <c r="G127" s="70"/>
    </row>
    <row r="128" spans="1:7" s="6" customFormat="1" ht="15.75" customHeight="1" x14ac:dyDescent="0.25">
      <c r="A128" s="1"/>
      <c r="B128" s="3"/>
      <c r="C128" s="36" t="s">
        <v>15</v>
      </c>
      <c r="D128" s="45">
        <v>555</v>
      </c>
      <c r="E128" s="51"/>
      <c r="F128" s="52"/>
      <c r="G128" s="70"/>
    </row>
    <row r="129" spans="1:7" s="6" customFormat="1" ht="15.75" customHeight="1" x14ac:dyDescent="0.25">
      <c r="A129" s="1"/>
      <c r="B129" s="3"/>
      <c r="C129" s="36" t="s">
        <v>339</v>
      </c>
      <c r="D129" s="45">
        <v>684</v>
      </c>
      <c r="E129" s="51"/>
      <c r="F129" s="52"/>
      <c r="G129" s="70"/>
    </row>
    <row r="130" spans="1:7" s="6" customFormat="1" ht="15.75" customHeight="1" x14ac:dyDescent="0.25">
      <c r="A130" s="1"/>
      <c r="B130" s="3"/>
      <c r="C130" s="36"/>
      <c r="D130" s="46"/>
      <c r="E130" s="51"/>
      <c r="F130" s="52"/>
      <c r="G130" s="70"/>
    </row>
    <row r="131" spans="1:7" s="6" customFormat="1" ht="15.75" customHeight="1" x14ac:dyDescent="0.25">
      <c r="A131" s="1"/>
      <c r="B131" s="3"/>
      <c r="C131" s="35" t="s">
        <v>340</v>
      </c>
      <c r="D131" s="57">
        <f>SUM(D132:D146)</f>
        <v>13845</v>
      </c>
      <c r="E131" s="51"/>
      <c r="F131" s="52"/>
      <c r="G131" s="70"/>
    </row>
    <row r="132" spans="1:7" s="6" customFormat="1" ht="15.75" customHeight="1" x14ac:dyDescent="0.25">
      <c r="A132" s="1"/>
      <c r="B132" s="3"/>
      <c r="C132" s="36" t="s">
        <v>341</v>
      </c>
      <c r="D132" s="45">
        <v>502</v>
      </c>
      <c r="E132" s="51"/>
      <c r="F132" s="52"/>
      <c r="G132" s="70"/>
    </row>
    <row r="133" spans="1:7" s="6" customFormat="1" ht="15.75" customHeight="1" x14ac:dyDescent="0.25">
      <c r="A133" s="1"/>
      <c r="B133" s="3"/>
      <c r="C133" s="36" t="s">
        <v>342</v>
      </c>
      <c r="D133" s="45">
        <v>662</v>
      </c>
      <c r="E133" s="51"/>
      <c r="F133" s="52"/>
      <c r="G133" s="70"/>
    </row>
    <row r="134" spans="1:7" s="6" customFormat="1" ht="15.75" customHeight="1" x14ac:dyDescent="0.25">
      <c r="A134" s="1"/>
      <c r="B134" s="3"/>
      <c r="C134" s="36" t="s">
        <v>343</v>
      </c>
      <c r="D134" s="45">
        <v>720</v>
      </c>
      <c r="E134" s="51"/>
      <c r="F134" s="52"/>
      <c r="G134" s="70"/>
    </row>
    <row r="135" spans="1:7" s="6" customFormat="1" ht="15.75" customHeight="1" x14ac:dyDescent="0.25">
      <c r="A135" s="1"/>
      <c r="B135" s="3"/>
      <c r="C135" s="36" t="s">
        <v>344</v>
      </c>
      <c r="D135" s="45">
        <v>885</v>
      </c>
      <c r="E135" s="51"/>
      <c r="F135" s="52"/>
      <c r="G135" s="70"/>
    </row>
    <row r="136" spans="1:7" s="6" customFormat="1" ht="15.75" customHeight="1" x14ac:dyDescent="0.25">
      <c r="A136" s="1"/>
      <c r="B136" s="3"/>
      <c r="C136" s="36" t="s">
        <v>170</v>
      </c>
      <c r="D136" s="45">
        <v>585</v>
      </c>
      <c r="E136" s="51"/>
      <c r="F136" s="52"/>
      <c r="G136" s="70"/>
    </row>
    <row r="137" spans="1:7" s="6" customFormat="1" ht="15.75" customHeight="1" x14ac:dyDescent="0.25">
      <c r="A137" s="1"/>
      <c r="B137" s="3"/>
      <c r="C137" s="36" t="s">
        <v>125</v>
      </c>
      <c r="D137" s="45">
        <v>927</v>
      </c>
      <c r="E137" s="51"/>
      <c r="F137" s="52"/>
      <c r="G137" s="70"/>
    </row>
    <row r="138" spans="1:7" s="6" customFormat="1" ht="15.75" customHeight="1" x14ac:dyDescent="0.25">
      <c r="A138" s="1"/>
      <c r="B138" s="3"/>
      <c r="C138" s="36" t="s">
        <v>70</v>
      </c>
      <c r="D138" s="45">
        <v>1983</v>
      </c>
      <c r="E138" s="51"/>
      <c r="F138" s="52"/>
      <c r="G138" s="70"/>
    </row>
    <row r="139" spans="1:7" s="6" customFormat="1" ht="15.75" customHeight="1" x14ac:dyDescent="0.25">
      <c r="A139" s="1"/>
      <c r="B139" s="3"/>
      <c r="C139" s="36" t="s">
        <v>71</v>
      </c>
      <c r="D139" s="45">
        <v>1288</v>
      </c>
      <c r="E139" s="51"/>
      <c r="F139" s="52"/>
      <c r="G139" s="70"/>
    </row>
    <row r="140" spans="1:7" s="6" customFormat="1" ht="15.75" customHeight="1" x14ac:dyDescent="0.25">
      <c r="A140" s="1"/>
      <c r="B140" s="3"/>
      <c r="C140" s="36" t="s">
        <v>345</v>
      </c>
      <c r="D140" s="45">
        <v>1097</v>
      </c>
      <c r="E140" s="51"/>
      <c r="F140" s="52"/>
      <c r="G140" s="70"/>
    </row>
    <row r="141" spans="1:7" s="6" customFormat="1" ht="15.75" customHeight="1" x14ac:dyDescent="0.25">
      <c r="A141" s="1"/>
      <c r="B141" s="3"/>
      <c r="C141" s="36" t="s">
        <v>30</v>
      </c>
      <c r="D141" s="45">
        <v>652</v>
      </c>
      <c r="E141" s="51"/>
      <c r="F141" s="52"/>
      <c r="G141" s="70"/>
    </row>
    <row r="142" spans="1:7" s="6" customFormat="1" ht="15.75" customHeight="1" x14ac:dyDescent="0.25">
      <c r="A142" s="1"/>
      <c r="B142" s="3"/>
      <c r="C142" s="36" t="s">
        <v>346</v>
      </c>
      <c r="D142" s="45">
        <v>530</v>
      </c>
      <c r="E142" s="51"/>
      <c r="F142" s="52"/>
      <c r="G142" s="70"/>
    </row>
    <row r="143" spans="1:7" s="6" customFormat="1" ht="15.75" customHeight="1" x14ac:dyDescent="0.25">
      <c r="A143" s="1"/>
      <c r="B143" s="3"/>
      <c r="C143" s="36" t="s">
        <v>20</v>
      </c>
      <c r="D143" s="45">
        <v>1382</v>
      </c>
      <c r="E143" s="51"/>
      <c r="F143" s="52"/>
      <c r="G143" s="70"/>
    </row>
    <row r="144" spans="1:7" s="6" customFormat="1" ht="15.75" customHeight="1" x14ac:dyDescent="0.25">
      <c r="A144" s="1"/>
      <c r="B144" s="3"/>
      <c r="C144" s="36" t="s">
        <v>347</v>
      </c>
      <c r="D144" s="45">
        <v>1084</v>
      </c>
      <c r="E144" s="51"/>
      <c r="F144" s="52"/>
      <c r="G144" s="70"/>
    </row>
    <row r="145" spans="1:7" s="8" customFormat="1" ht="15.75" customHeight="1" x14ac:dyDescent="0.25">
      <c r="A145" s="1"/>
      <c r="B145" s="3"/>
      <c r="C145" s="36" t="s">
        <v>348</v>
      </c>
      <c r="D145" s="45">
        <v>243</v>
      </c>
      <c r="E145" s="51"/>
      <c r="F145" s="52"/>
      <c r="G145" s="70"/>
    </row>
    <row r="146" spans="1:7" s="6" customFormat="1" ht="15.75" customHeight="1" x14ac:dyDescent="0.25">
      <c r="A146" s="1"/>
      <c r="B146" s="3"/>
      <c r="C146" s="36" t="s">
        <v>13</v>
      </c>
      <c r="D146" s="45">
        <v>1305</v>
      </c>
      <c r="E146" s="51"/>
      <c r="F146" s="52"/>
      <c r="G146" s="70"/>
    </row>
    <row r="147" spans="1:7" s="6" customFormat="1" ht="15.75" customHeight="1" x14ac:dyDescent="0.25">
      <c r="A147" s="1"/>
      <c r="B147" s="3"/>
      <c r="C147" s="36"/>
      <c r="D147" s="46"/>
      <c r="E147" s="51"/>
      <c r="F147" s="52"/>
      <c r="G147" s="70"/>
    </row>
    <row r="148" spans="1:7" s="6" customFormat="1" ht="15.75" customHeight="1" x14ac:dyDescent="0.25">
      <c r="A148" s="1"/>
      <c r="B148" s="3"/>
      <c r="C148" s="35" t="s">
        <v>1952</v>
      </c>
      <c r="D148" s="57">
        <f>SUM(D149:D167)</f>
        <v>18512</v>
      </c>
      <c r="E148" s="51"/>
      <c r="F148" s="52"/>
      <c r="G148" s="70"/>
    </row>
    <row r="149" spans="1:7" s="6" customFormat="1" ht="15.75" customHeight="1" x14ac:dyDescent="0.25">
      <c r="A149" s="1"/>
      <c r="B149" s="3"/>
      <c r="C149" s="36" t="s">
        <v>349</v>
      </c>
      <c r="D149" s="45">
        <v>255</v>
      </c>
      <c r="E149" s="51"/>
      <c r="F149" s="52"/>
      <c r="G149" s="70"/>
    </row>
    <row r="150" spans="1:7" s="6" customFormat="1" ht="15.75" customHeight="1" x14ac:dyDescent="0.25">
      <c r="A150" s="1"/>
      <c r="B150" s="3"/>
      <c r="C150" s="36" t="s">
        <v>350</v>
      </c>
      <c r="D150" s="45">
        <v>705</v>
      </c>
      <c r="E150" s="51"/>
      <c r="F150" s="52"/>
      <c r="G150" s="70"/>
    </row>
    <row r="151" spans="1:7" s="7" customFormat="1" ht="15.75" customHeight="1" x14ac:dyDescent="0.25">
      <c r="A151" s="1"/>
      <c r="B151" s="3"/>
      <c r="C151" s="36" t="s">
        <v>351</v>
      </c>
      <c r="D151" s="45">
        <v>991</v>
      </c>
      <c r="E151" s="51"/>
      <c r="F151" s="52"/>
      <c r="G151" s="70"/>
    </row>
    <row r="152" spans="1:7" s="3" customFormat="1" ht="15.75" customHeight="1" x14ac:dyDescent="0.25">
      <c r="A152" s="1"/>
      <c r="C152" s="36" t="s">
        <v>352</v>
      </c>
      <c r="D152" s="45">
        <v>733</v>
      </c>
      <c r="E152" s="51"/>
      <c r="F152" s="52"/>
      <c r="G152" s="70"/>
    </row>
    <row r="153" spans="1:7" s="6" customFormat="1" ht="15.75" customHeight="1" x14ac:dyDescent="0.25">
      <c r="A153" s="1"/>
      <c r="B153" s="3"/>
      <c r="C153" s="36" t="s">
        <v>353</v>
      </c>
      <c r="D153" s="45">
        <v>631</v>
      </c>
      <c r="E153" s="51"/>
      <c r="F153" s="52"/>
      <c r="G153" s="70"/>
    </row>
    <row r="154" spans="1:7" s="6" customFormat="1" ht="15.75" customHeight="1" x14ac:dyDescent="0.25">
      <c r="A154" s="1"/>
      <c r="B154" s="3"/>
      <c r="C154" s="36" t="s">
        <v>354</v>
      </c>
      <c r="D154" s="45">
        <v>1349</v>
      </c>
      <c r="E154" s="51"/>
      <c r="F154" s="52"/>
      <c r="G154" s="70"/>
    </row>
    <row r="155" spans="1:7" s="6" customFormat="1" ht="15.75" customHeight="1" x14ac:dyDescent="0.25">
      <c r="A155" s="1"/>
      <c r="B155" s="3"/>
      <c r="C155" s="36" t="s">
        <v>355</v>
      </c>
      <c r="D155" s="45">
        <v>1253</v>
      </c>
      <c r="E155" s="51"/>
      <c r="F155" s="52"/>
      <c r="G155" s="70"/>
    </row>
    <row r="156" spans="1:7" s="6" customFormat="1" ht="15.75" customHeight="1" x14ac:dyDescent="0.25">
      <c r="A156" s="1"/>
      <c r="B156" s="3"/>
      <c r="C156" s="36" t="s">
        <v>356</v>
      </c>
      <c r="D156" s="45">
        <v>782</v>
      </c>
      <c r="E156" s="51"/>
      <c r="F156" s="52"/>
      <c r="G156" s="70"/>
    </row>
    <row r="157" spans="1:7" s="6" customFormat="1" ht="15.75" customHeight="1" x14ac:dyDescent="0.25">
      <c r="A157" s="1"/>
      <c r="B157" s="3"/>
      <c r="C157" s="36" t="s">
        <v>357</v>
      </c>
      <c r="D157" s="45">
        <v>911</v>
      </c>
      <c r="E157" s="51"/>
      <c r="F157" s="52"/>
      <c r="G157" s="70"/>
    </row>
    <row r="158" spans="1:7" s="6" customFormat="1" ht="15.75" customHeight="1" x14ac:dyDescent="0.25">
      <c r="A158" s="1"/>
      <c r="B158" s="3"/>
      <c r="C158" s="36" t="s">
        <v>2</v>
      </c>
      <c r="D158" s="45">
        <v>1734</v>
      </c>
      <c r="E158" s="51"/>
      <c r="F158" s="52"/>
      <c r="G158" s="70"/>
    </row>
    <row r="159" spans="1:7" s="6" customFormat="1" ht="15.75" customHeight="1" x14ac:dyDescent="0.25">
      <c r="A159" s="1"/>
      <c r="B159" s="3"/>
      <c r="C159" s="36" t="s">
        <v>30</v>
      </c>
      <c r="D159" s="45">
        <v>739</v>
      </c>
      <c r="E159" s="51"/>
      <c r="F159" s="52"/>
      <c r="G159" s="70"/>
    </row>
    <row r="160" spans="1:7" s="6" customFormat="1" ht="15.75" customHeight="1" x14ac:dyDescent="0.25">
      <c r="A160" s="1"/>
      <c r="B160" s="3"/>
      <c r="C160" s="36" t="s">
        <v>238</v>
      </c>
      <c r="D160" s="45">
        <v>1062</v>
      </c>
      <c r="E160" s="51"/>
      <c r="F160" s="52"/>
      <c r="G160" s="70"/>
    </row>
    <row r="161" spans="1:7" s="8" customFormat="1" ht="15.75" customHeight="1" x14ac:dyDescent="0.25">
      <c r="A161" s="1"/>
      <c r="B161" s="3"/>
      <c r="C161" s="36" t="s">
        <v>20</v>
      </c>
      <c r="D161" s="45">
        <v>542</v>
      </c>
      <c r="E161" s="51"/>
      <c r="F161" s="52"/>
      <c r="G161" s="70"/>
    </row>
    <row r="162" spans="1:7" s="6" customFormat="1" ht="15.75" customHeight="1" x14ac:dyDescent="0.25">
      <c r="A162" s="1"/>
      <c r="B162" s="3"/>
      <c r="C162" s="36" t="s">
        <v>90</v>
      </c>
      <c r="D162" s="45">
        <v>1134</v>
      </c>
      <c r="E162" s="51"/>
      <c r="F162" s="52"/>
      <c r="G162" s="70"/>
    </row>
    <row r="163" spans="1:7" s="6" customFormat="1" ht="15.75" customHeight="1" x14ac:dyDescent="0.25">
      <c r="A163" s="1"/>
      <c r="B163" s="3"/>
      <c r="C163" s="36" t="s">
        <v>358</v>
      </c>
      <c r="D163" s="45">
        <v>1282</v>
      </c>
      <c r="E163" s="51"/>
      <c r="F163" s="52"/>
      <c r="G163" s="70"/>
    </row>
    <row r="164" spans="1:7" s="6" customFormat="1" ht="15.75" customHeight="1" x14ac:dyDescent="0.25">
      <c r="A164" s="1"/>
      <c r="B164" s="3"/>
      <c r="C164" s="36" t="s">
        <v>359</v>
      </c>
      <c r="D164" s="45">
        <v>696</v>
      </c>
      <c r="E164" s="51"/>
      <c r="F164" s="52"/>
      <c r="G164" s="70"/>
    </row>
    <row r="165" spans="1:7" s="6" customFormat="1" ht="15.75" customHeight="1" x14ac:dyDescent="0.25">
      <c r="A165" s="1"/>
      <c r="B165" s="3"/>
      <c r="C165" s="36" t="s">
        <v>360</v>
      </c>
      <c r="D165" s="45">
        <v>237</v>
      </c>
      <c r="E165" s="51"/>
      <c r="F165" s="52"/>
      <c r="G165" s="70"/>
    </row>
    <row r="166" spans="1:7" s="6" customFormat="1" ht="15.75" customHeight="1" x14ac:dyDescent="0.25">
      <c r="A166" s="1"/>
      <c r="B166" s="3"/>
      <c r="C166" s="36" t="s">
        <v>361</v>
      </c>
      <c r="D166" s="45">
        <v>1738</v>
      </c>
      <c r="E166" s="51"/>
      <c r="F166" s="52"/>
      <c r="G166" s="70"/>
    </row>
    <row r="167" spans="1:7" s="6" customFormat="1" ht="15.75" customHeight="1" x14ac:dyDescent="0.25">
      <c r="A167" s="1"/>
      <c r="B167" s="3"/>
      <c r="C167" s="36" t="s">
        <v>242</v>
      </c>
      <c r="D167" s="45">
        <v>1738</v>
      </c>
      <c r="E167" s="51"/>
      <c r="F167" s="52"/>
      <c r="G167" s="70"/>
    </row>
    <row r="168" spans="1:7" s="6" customFormat="1" ht="15.75" customHeight="1" x14ac:dyDescent="0.25">
      <c r="A168" s="1"/>
      <c r="B168" s="3"/>
      <c r="C168" s="36"/>
      <c r="D168" s="46"/>
      <c r="E168" s="51"/>
      <c r="F168" s="52"/>
      <c r="G168" s="70"/>
    </row>
    <row r="169" spans="1:7" s="6" customFormat="1" ht="15.75" customHeight="1" x14ac:dyDescent="0.25">
      <c r="A169" s="1"/>
      <c r="B169" s="3"/>
      <c r="C169" s="35" t="s">
        <v>1953</v>
      </c>
      <c r="D169" s="57">
        <f>SUM(D170:D204)</f>
        <v>29711</v>
      </c>
      <c r="E169" s="51"/>
      <c r="F169" s="52"/>
      <c r="G169" s="70"/>
    </row>
    <row r="170" spans="1:7" s="7" customFormat="1" ht="15.75" customHeight="1" x14ac:dyDescent="0.25">
      <c r="A170" s="1"/>
      <c r="B170" s="3"/>
      <c r="C170" s="36" t="s">
        <v>200</v>
      </c>
      <c r="D170" s="45">
        <v>308</v>
      </c>
      <c r="E170" s="51"/>
      <c r="F170" s="52"/>
      <c r="G170" s="70"/>
    </row>
    <row r="171" spans="1:7" s="3" customFormat="1" ht="15.75" customHeight="1" x14ac:dyDescent="0.25">
      <c r="A171" s="1"/>
      <c r="C171" s="36" t="s">
        <v>362</v>
      </c>
      <c r="D171" s="45">
        <v>723</v>
      </c>
      <c r="E171" s="51"/>
      <c r="F171" s="52"/>
      <c r="G171" s="70"/>
    </row>
    <row r="172" spans="1:7" s="6" customFormat="1" ht="15.75" customHeight="1" x14ac:dyDescent="0.25">
      <c r="A172" s="1"/>
      <c r="B172" s="3"/>
      <c r="C172" s="36" t="s">
        <v>166</v>
      </c>
      <c r="D172" s="45">
        <v>565</v>
      </c>
      <c r="E172" s="51"/>
      <c r="F172" s="52"/>
      <c r="G172" s="70"/>
    </row>
    <row r="173" spans="1:7" s="6" customFormat="1" ht="15.75" customHeight="1" x14ac:dyDescent="0.25">
      <c r="A173" s="1"/>
      <c r="B173" s="3"/>
      <c r="C173" s="36" t="s">
        <v>363</v>
      </c>
      <c r="D173" s="45">
        <v>378</v>
      </c>
      <c r="E173" s="51"/>
      <c r="F173" s="52"/>
      <c r="G173" s="70"/>
    </row>
    <row r="174" spans="1:7" s="6" customFormat="1" ht="15.75" customHeight="1" x14ac:dyDescent="0.25">
      <c r="A174" s="1"/>
      <c r="B174" s="3"/>
      <c r="C174" s="36" t="s">
        <v>364</v>
      </c>
      <c r="D174" s="45">
        <v>650</v>
      </c>
      <c r="E174" s="51"/>
      <c r="F174" s="52"/>
      <c r="G174" s="70"/>
    </row>
    <row r="175" spans="1:7" s="6" customFormat="1" ht="15.75" customHeight="1" x14ac:dyDescent="0.25">
      <c r="A175" s="1"/>
      <c r="B175" s="3"/>
      <c r="C175" s="36" t="s">
        <v>160</v>
      </c>
      <c r="D175" s="45">
        <v>854</v>
      </c>
      <c r="E175" s="51"/>
      <c r="F175" s="52"/>
      <c r="G175" s="70"/>
    </row>
    <row r="176" spans="1:7" s="6" customFormat="1" ht="15.75" customHeight="1" x14ac:dyDescent="0.25">
      <c r="A176" s="1"/>
      <c r="B176" s="3"/>
      <c r="C176" s="36" t="s">
        <v>365</v>
      </c>
      <c r="D176" s="45">
        <v>852</v>
      </c>
      <c r="E176" s="51"/>
      <c r="F176" s="52"/>
      <c r="G176" s="70"/>
    </row>
    <row r="177" spans="1:7" s="6" customFormat="1" ht="15.75" customHeight="1" x14ac:dyDescent="0.25">
      <c r="A177" s="1"/>
      <c r="B177" s="3"/>
      <c r="C177" s="36" t="s">
        <v>366</v>
      </c>
      <c r="D177" s="45">
        <v>506</v>
      </c>
      <c r="E177" s="51"/>
      <c r="F177" s="52"/>
      <c r="G177" s="70"/>
    </row>
    <row r="178" spans="1:7" s="6" customFormat="1" ht="15.75" customHeight="1" x14ac:dyDescent="0.25">
      <c r="A178" s="1"/>
      <c r="B178" s="3"/>
      <c r="C178" s="36" t="s">
        <v>367</v>
      </c>
      <c r="D178" s="45">
        <v>1253</v>
      </c>
      <c r="E178" s="51"/>
      <c r="F178" s="52"/>
      <c r="G178" s="70"/>
    </row>
    <row r="179" spans="1:7" s="6" customFormat="1" ht="15.75" customHeight="1" x14ac:dyDescent="0.25">
      <c r="A179" s="1"/>
      <c r="B179" s="3"/>
      <c r="C179" s="36" t="s">
        <v>368</v>
      </c>
      <c r="D179" s="45">
        <v>868</v>
      </c>
      <c r="E179" s="51"/>
      <c r="F179" s="52"/>
      <c r="G179" s="70"/>
    </row>
    <row r="180" spans="1:7" s="6" customFormat="1" ht="15.75" customHeight="1" x14ac:dyDescent="0.25">
      <c r="A180" s="1"/>
      <c r="B180" s="3"/>
      <c r="C180" s="36" t="s">
        <v>369</v>
      </c>
      <c r="D180" s="45">
        <v>1258</v>
      </c>
      <c r="E180" s="51"/>
      <c r="F180" s="52"/>
      <c r="G180" s="70"/>
    </row>
    <row r="181" spans="1:7" s="6" customFormat="1" ht="15.75" customHeight="1" x14ac:dyDescent="0.25">
      <c r="A181" s="1"/>
      <c r="B181" s="3"/>
      <c r="C181" s="36" t="s">
        <v>370</v>
      </c>
      <c r="D181" s="45">
        <v>395</v>
      </c>
      <c r="E181" s="51"/>
      <c r="F181" s="52"/>
      <c r="G181" s="70"/>
    </row>
    <row r="182" spans="1:7" s="8" customFormat="1" ht="15.75" customHeight="1" x14ac:dyDescent="0.25">
      <c r="A182" s="1"/>
      <c r="B182" s="3"/>
      <c r="C182" s="36" t="s">
        <v>371</v>
      </c>
      <c r="D182" s="45">
        <v>666</v>
      </c>
      <c r="E182" s="51"/>
      <c r="F182" s="52"/>
      <c r="G182" s="70"/>
    </row>
    <row r="183" spans="1:7" s="6" customFormat="1" ht="15.75" customHeight="1" x14ac:dyDescent="0.25">
      <c r="A183" s="1"/>
      <c r="B183" s="3"/>
      <c r="C183" s="36" t="s">
        <v>372</v>
      </c>
      <c r="D183" s="45">
        <v>1045</v>
      </c>
      <c r="E183" s="51"/>
      <c r="F183" s="52"/>
      <c r="G183" s="70"/>
    </row>
    <row r="184" spans="1:7" s="7" customFormat="1" ht="15.75" customHeight="1" x14ac:dyDescent="0.25">
      <c r="A184" s="1"/>
      <c r="B184" s="3"/>
      <c r="C184" s="36" t="s">
        <v>373</v>
      </c>
      <c r="D184" s="45">
        <v>657</v>
      </c>
      <c r="E184" s="51"/>
      <c r="F184" s="52"/>
      <c r="G184" s="70"/>
    </row>
    <row r="185" spans="1:7" s="3" customFormat="1" ht="15.75" customHeight="1" x14ac:dyDescent="0.25">
      <c r="A185" s="1"/>
      <c r="C185" s="36" t="s">
        <v>374</v>
      </c>
      <c r="D185" s="45">
        <v>699</v>
      </c>
      <c r="E185" s="51"/>
      <c r="F185" s="52"/>
      <c r="G185" s="70"/>
    </row>
    <row r="186" spans="1:7" s="6" customFormat="1" ht="15.75" customHeight="1" x14ac:dyDescent="0.25">
      <c r="A186" s="1"/>
      <c r="B186" s="3"/>
      <c r="C186" s="36" t="s">
        <v>179</v>
      </c>
      <c r="D186" s="45">
        <v>1120</v>
      </c>
      <c r="E186" s="51"/>
      <c r="F186" s="52"/>
      <c r="G186" s="70"/>
    </row>
    <row r="187" spans="1:7" s="6" customFormat="1" ht="15.75" customHeight="1" x14ac:dyDescent="0.25">
      <c r="A187" s="1"/>
      <c r="B187" s="3"/>
      <c r="C187" s="36" t="s">
        <v>375</v>
      </c>
      <c r="D187" s="45">
        <v>985</v>
      </c>
      <c r="E187" s="51"/>
      <c r="F187" s="52"/>
      <c r="G187" s="70"/>
    </row>
    <row r="188" spans="1:7" s="6" customFormat="1" ht="15.75" customHeight="1" x14ac:dyDescent="0.25">
      <c r="A188" s="1"/>
      <c r="B188" s="3"/>
      <c r="C188" s="36" t="s">
        <v>376</v>
      </c>
      <c r="D188" s="45">
        <v>2191</v>
      </c>
      <c r="E188" s="51"/>
      <c r="F188" s="52"/>
      <c r="G188" s="70"/>
    </row>
    <row r="189" spans="1:7" s="6" customFormat="1" ht="15.75" customHeight="1" x14ac:dyDescent="0.25">
      <c r="A189" s="1"/>
      <c r="B189" s="3"/>
      <c r="C189" s="36" t="s">
        <v>377</v>
      </c>
      <c r="D189" s="45">
        <v>851</v>
      </c>
      <c r="E189" s="51"/>
      <c r="F189" s="52"/>
      <c r="G189" s="70"/>
    </row>
    <row r="190" spans="1:7" s="6" customFormat="1" ht="15.75" customHeight="1" x14ac:dyDescent="0.25">
      <c r="A190" s="1"/>
      <c r="B190" s="3"/>
      <c r="C190" s="36" t="s">
        <v>378</v>
      </c>
      <c r="D190" s="45">
        <v>363</v>
      </c>
      <c r="E190" s="51"/>
      <c r="F190" s="52"/>
      <c r="G190" s="70"/>
    </row>
    <row r="191" spans="1:7" s="6" customFormat="1" ht="15.75" customHeight="1" x14ac:dyDescent="0.25">
      <c r="A191" s="1"/>
      <c r="B191" s="3"/>
      <c r="C191" s="36" t="s">
        <v>379</v>
      </c>
      <c r="D191" s="45">
        <v>537</v>
      </c>
      <c r="E191" s="51"/>
      <c r="F191" s="52"/>
      <c r="G191" s="70"/>
    </row>
    <row r="192" spans="1:7" s="6" customFormat="1" ht="15.75" customHeight="1" x14ac:dyDescent="0.25">
      <c r="A192" s="1"/>
      <c r="B192" s="3"/>
      <c r="C192" s="36" t="s">
        <v>380</v>
      </c>
      <c r="D192" s="45">
        <v>1325</v>
      </c>
      <c r="E192" s="51"/>
      <c r="F192" s="52"/>
      <c r="G192" s="70"/>
    </row>
    <row r="193" spans="1:7" s="6" customFormat="1" ht="15.75" customHeight="1" x14ac:dyDescent="0.25">
      <c r="A193" s="1"/>
      <c r="B193" s="3"/>
      <c r="C193" s="36" t="s">
        <v>381</v>
      </c>
      <c r="D193" s="45">
        <v>891</v>
      </c>
      <c r="E193" s="51"/>
      <c r="F193" s="52"/>
      <c r="G193" s="70"/>
    </row>
    <row r="194" spans="1:7" s="6" customFormat="1" ht="15.75" customHeight="1" x14ac:dyDescent="0.25">
      <c r="A194" s="1"/>
      <c r="B194" s="3"/>
      <c r="C194" s="36" t="s">
        <v>382</v>
      </c>
      <c r="D194" s="45">
        <v>746</v>
      </c>
      <c r="E194" s="51"/>
      <c r="F194" s="52"/>
      <c r="G194" s="70"/>
    </row>
    <row r="195" spans="1:7" s="6" customFormat="1" ht="15.75" customHeight="1" x14ac:dyDescent="0.25">
      <c r="A195" s="1"/>
      <c r="B195" s="3"/>
      <c r="C195" s="36" t="s">
        <v>383</v>
      </c>
      <c r="D195" s="45">
        <v>345</v>
      </c>
      <c r="E195" s="51"/>
      <c r="F195" s="52"/>
      <c r="G195" s="70"/>
    </row>
    <row r="196" spans="1:7" s="6" customFormat="1" ht="15.75" customHeight="1" x14ac:dyDescent="0.25">
      <c r="A196" s="1"/>
      <c r="B196" s="3"/>
      <c r="C196" s="36" t="s">
        <v>384</v>
      </c>
      <c r="D196" s="45">
        <v>723</v>
      </c>
      <c r="E196" s="51"/>
      <c r="F196" s="52"/>
      <c r="G196" s="70"/>
    </row>
    <row r="197" spans="1:7" s="6" customFormat="1" ht="15.75" customHeight="1" x14ac:dyDescent="0.25">
      <c r="A197" s="1"/>
      <c r="B197" s="3"/>
      <c r="C197" s="36" t="s">
        <v>385</v>
      </c>
      <c r="D197" s="45">
        <v>542</v>
      </c>
      <c r="E197" s="51"/>
      <c r="F197" s="52"/>
      <c r="G197" s="70"/>
    </row>
    <row r="198" spans="1:7" s="8" customFormat="1" ht="15.75" customHeight="1" x14ac:dyDescent="0.25">
      <c r="A198" s="1"/>
      <c r="B198" s="3"/>
      <c r="C198" s="36" t="s">
        <v>386</v>
      </c>
      <c r="D198" s="45">
        <v>1003</v>
      </c>
      <c r="E198" s="51"/>
      <c r="F198" s="52"/>
      <c r="G198" s="70"/>
    </row>
    <row r="199" spans="1:7" s="6" customFormat="1" ht="15.75" customHeight="1" x14ac:dyDescent="0.25">
      <c r="A199" s="1"/>
      <c r="B199" s="3"/>
      <c r="C199" s="36" t="s">
        <v>387</v>
      </c>
      <c r="D199" s="45">
        <v>1089</v>
      </c>
      <c r="E199" s="51"/>
      <c r="F199" s="52"/>
      <c r="G199" s="70"/>
    </row>
    <row r="200" spans="1:7" s="6" customFormat="1" ht="15.75" customHeight="1" x14ac:dyDescent="0.25">
      <c r="A200" s="1"/>
      <c r="B200" s="3"/>
      <c r="C200" s="36" t="s">
        <v>2</v>
      </c>
      <c r="D200" s="45">
        <v>1079</v>
      </c>
      <c r="E200" s="51"/>
      <c r="F200" s="52"/>
      <c r="G200" s="70"/>
    </row>
    <row r="201" spans="1:7" s="6" customFormat="1" ht="15.75" customHeight="1" x14ac:dyDescent="0.25">
      <c r="A201" s="1"/>
      <c r="B201" s="3"/>
      <c r="C201" s="36" t="s">
        <v>388</v>
      </c>
      <c r="D201" s="45">
        <v>489</v>
      </c>
      <c r="E201" s="51"/>
      <c r="F201" s="52"/>
      <c r="G201" s="70"/>
    </row>
    <row r="202" spans="1:7" s="6" customFormat="1" ht="15.75" customHeight="1" x14ac:dyDescent="0.25">
      <c r="A202" s="1"/>
      <c r="B202" s="3"/>
      <c r="C202" s="36" t="s">
        <v>389</v>
      </c>
      <c r="D202" s="45">
        <v>937</v>
      </c>
      <c r="E202" s="51"/>
      <c r="F202" s="52"/>
      <c r="G202" s="70"/>
    </row>
    <row r="203" spans="1:7" s="6" customFormat="1" ht="15.75" customHeight="1" x14ac:dyDescent="0.25">
      <c r="A203" s="1"/>
      <c r="B203" s="3"/>
      <c r="C203" s="36" t="s">
        <v>390</v>
      </c>
      <c r="D203" s="45">
        <v>936</v>
      </c>
      <c r="E203" s="51"/>
      <c r="F203" s="52"/>
      <c r="G203" s="70"/>
    </row>
    <row r="204" spans="1:7" s="6" customFormat="1" ht="15.75" customHeight="1" x14ac:dyDescent="0.25">
      <c r="A204" s="1"/>
      <c r="B204" s="3"/>
      <c r="C204" s="36" t="s">
        <v>391</v>
      </c>
      <c r="D204" s="45">
        <v>1882</v>
      </c>
      <c r="E204" s="51"/>
      <c r="F204" s="52"/>
      <c r="G204" s="70"/>
    </row>
    <row r="205" spans="1:7" s="6" customFormat="1" ht="15.75" customHeight="1" x14ac:dyDescent="0.25">
      <c r="A205" s="1"/>
      <c r="B205" s="3"/>
      <c r="C205" s="36"/>
      <c r="D205" s="46"/>
      <c r="E205" s="51"/>
      <c r="F205" s="52"/>
      <c r="G205" s="70"/>
    </row>
    <row r="206" spans="1:7" s="6" customFormat="1" ht="15.75" customHeight="1" x14ac:dyDescent="0.25">
      <c r="A206" s="1"/>
      <c r="B206" s="3"/>
      <c r="C206" s="35" t="s">
        <v>392</v>
      </c>
      <c r="D206" s="57">
        <f>SUM(D207:D239)</f>
        <v>33079</v>
      </c>
      <c r="E206" s="51"/>
      <c r="F206" s="52"/>
      <c r="G206" s="70"/>
    </row>
    <row r="207" spans="1:7" s="6" customFormat="1" ht="15.75" customHeight="1" x14ac:dyDescent="0.25">
      <c r="A207" s="1"/>
      <c r="B207" s="3"/>
      <c r="C207" s="36" t="s">
        <v>393</v>
      </c>
      <c r="D207" s="45">
        <v>1507</v>
      </c>
      <c r="E207" s="51"/>
      <c r="F207" s="52"/>
      <c r="G207" s="70"/>
    </row>
    <row r="208" spans="1:7" s="6" customFormat="1" ht="15.75" customHeight="1" x14ac:dyDescent="0.25">
      <c r="A208" s="1"/>
      <c r="B208" s="3"/>
      <c r="C208" s="36" t="s">
        <v>394</v>
      </c>
      <c r="D208" s="45">
        <v>844</v>
      </c>
      <c r="E208" s="51"/>
      <c r="F208" s="52"/>
      <c r="G208" s="70"/>
    </row>
    <row r="209" spans="1:7" s="6" customFormat="1" ht="15.75" customHeight="1" x14ac:dyDescent="0.25">
      <c r="A209" s="1"/>
      <c r="B209" s="3"/>
      <c r="C209" s="36" t="s">
        <v>395</v>
      </c>
      <c r="D209" s="45">
        <v>733</v>
      </c>
      <c r="E209" s="51"/>
      <c r="F209" s="52"/>
      <c r="G209" s="70"/>
    </row>
    <row r="210" spans="1:7" s="6" customFormat="1" ht="15.75" customHeight="1" x14ac:dyDescent="0.25">
      <c r="A210" s="1"/>
      <c r="B210" s="3"/>
      <c r="C210" s="36" t="s">
        <v>396</v>
      </c>
      <c r="D210" s="45">
        <v>2369</v>
      </c>
      <c r="E210" s="51"/>
      <c r="F210" s="52"/>
      <c r="G210" s="70"/>
    </row>
    <row r="211" spans="1:7" s="7" customFormat="1" ht="15.75" customHeight="1" x14ac:dyDescent="0.25">
      <c r="A211" s="1"/>
      <c r="B211" s="3"/>
      <c r="C211" s="36" t="s">
        <v>397</v>
      </c>
      <c r="D211" s="45">
        <v>404</v>
      </c>
      <c r="E211" s="51"/>
      <c r="F211" s="52"/>
      <c r="G211" s="70"/>
    </row>
    <row r="212" spans="1:7" s="3" customFormat="1" ht="15.75" customHeight="1" x14ac:dyDescent="0.25">
      <c r="A212" s="1"/>
      <c r="C212" s="36" t="s">
        <v>43</v>
      </c>
      <c r="D212" s="45">
        <v>1371</v>
      </c>
      <c r="E212" s="51"/>
      <c r="F212" s="52"/>
      <c r="G212" s="70"/>
    </row>
    <row r="213" spans="1:7" s="6" customFormat="1" ht="15.75" customHeight="1" x14ac:dyDescent="0.25">
      <c r="A213" s="1"/>
      <c r="B213" s="3"/>
      <c r="C213" s="36" t="s">
        <v>54</v>
      </c>
      <c r="D213" s="45">
        <v>970</v>
      </c>
      <c r="E213" s="51"/>
      <c r="F213" s="52"/>
      <c r="G213" s="70"/>
    </row>
    <row r="214" spans="1:7" s="6" customFormat="1" ht="15.75" customHeight="1" x14ac:dyDescent="0.25">
      <c r="A214" s="1"/>
      <c r="B214" s="3"/>
      <c r="C214" s="36" t="s">
        <v>398</v>
      </c>
      <c r="D214" s="45">
        <v>532</v>
      </c>
      <c r="E214" s="51"/>
      <c r="F214" s="52"/>
      <c r="G214" s="70"/>
    </row>
    <row r="215" spans="1:7" s="6" customFormat="1" ht="15.75" customHeight="1" x14ac:dyDescent="0.25">
      <c r="A215" s="1"/>
      <c r="B215" s="3"/>
      <c r="C215" s="36" t="s">
        <v>399</v>
      </c>
      <c r="D215" s="45">
        <v>926</v>
      </c>
      <c r="E215" s="51"/>
      <c r="F215" s="52"/>
      <c r="G215" s="70"/>
    </row>
    <row r="216" spans="1:7" s="6" customFormat="1" ht="15.75" customHeight="1" x14ac:dyDescent="0.25">
      <c r="A216" s="1"/>
      <c r="B216" s="3"/>
      <c r="C216" s="36" t="s">
        <v>400</v>
      </c>
      <c r="D216" s="45">
        <v>460</v>
      </c>
      <c r="E216" s="51"/>
      <c r="F216" s="52"/>
      <c r="G216" s="70"/>
    </row>
    <row r="217" spans="1:7" s="6" customFormat="1" ht="15.75" customHeight="1" x14ac:dyDescent="0.25">
      <c r="A217" s="1"/>
      <c r="B217" s="3"/>
      <c r="C217" s="36" t="s">
        <v>401</v>
      </c>
      <c r="D217" s="45">
        <v>281</v>
      </c>
      <c r="E217" s="51"/>
      <c r="F217" s="52"/>
      <c r="G217" s="70"/>
    </row>
    <row r="218" spans="1:7" s="6" customFormat="1" ht="15.75" customHeight="1" x14ac:dyDescent="0.25">
      <c r="A218" s="1"/>
      <c r="B218" s="3"/>
      <c r="C218" s="36" t="s">
        <v>402</v>
      </c>
      <c r="D218" s="45">
        <v>1451</v>
      </c>
      <c r="E218" s="51"/>
      <c r="F218" s="52"/>
      <c r="G218" s="70"/>
    </row>
    <row r="219" spans="1:7" s="6" customFormat="1" ht="15.75" customHeight="1" x14ac:dyDescent="0.25">
      <c r="A219" s="1"/>
      <c r="B219" s="3"/>
      <c r="C219" s="36" t="s">
        <v>403</v>
      </c>
      <c r="D219" s="45">
        <v>816</v>
      </c>
      <c r="E219" s="51"/>
      <c r="F219" s="52"/>
      <c r="G219" s="70"/>
    </row>
    <row r="220" spans="1:7" s="6" customFormat="1" ht="15.75" customHeight="1" x14ac:dyDescent="0.25">
      <c r="A220" s="1"/>
      <c r="B220" s="3"/>
      <c r="C220" s="36" t="s">
        <v>404</v>
      </c>
      <c r="D220" s="45">
        <v>547</v>
      </c>
      <c r="E220" s="51"/>
      <c r="F220" s="52"/>
      <c r="G220" s="70"/>
    </row>
    <row r="221" spans="1:7" s="6" customFormat="1" ht="15.75" customHeight="1" x14ac:dyDescent="0.25">
      <c r="A221" s="1"/>
      <c r="B221" s="3"/>
      <c r="C221" s="36" t="s">
        <v>405</v>
      </c>
      <c r="D221" s="45">
        <v>650</v>
      </c>
      <c r="E221" s="51"/>
      <c r="F221" s="52"/>
      <c r="G221" s="70"/>
    </row>
    <row r="222" spans="1:7" s="6" customFormat="1" ht="15.75" customHeight="1" x14ac:dyDescent="0.25">
      <c r="A222" s="1"/>
      <c r="B222" s="3"/>
      <c r="C222" s="36" t="s">
        <v>406</v>
      </c>
      <c r="D222" s="45">
        <v>584</v>
      </c>
      <c r="E222" s="51"/>
      <c r="F222" s="52"/>
      <c r="G222" s="70"/>
    </row>
    <row r="223" spans="1:7" s="6" customFormat="1" ht="15.75" customHeight="1" x14ac:dyDescent="0.25">
      <c r="A223" s="1"/>
      <c r="B223" s="3"/>
      <c r="C223" s="36" t="s">
        <v>175</v>
      </c>
      <c r="D223" s="45">
        <v>704</v>
      </c>
      <c r="E223" s="51"/>
      <c r="F223" s="52"/>
      <c r="G223" s="70"/>
    </row>
    <row r="224" spans="1:7" s="6" customFormat="1" ht="15.75" customHeight="1" x14ac:dyDescent="0.25">
      <c r="A224" s="1"/>
      <c r="B224" s="3"/>
      <c r="C224" s="36" t="s">
        <v>407</v>
      </c>
      <c r="D224" s="45">
        <v>1587</v>
      </c>
      <c r="E224" s="51"/>
      <c r="F224" s="52"/>
      <c r="G224" s="70"/>
    </row>
    <row r="225" spans="1:7" s="6" customFormat="1" ht="15.75" customHeight="1" x14ac:dyDescent="0.25">
      <c r="A225" s="1"/>
      <c r="B225" s="3"/>
      <c r="C225" s="36" t="s">
        <v>408</v>
      </c>
      <c r="D225" s="45">
        <v>493</v>
      </c>
      <c r="E225" s="51"/>
      <c r="F225" s="52"/>
      <c r="G225" s="70"/>
    </row>
    <row r="226" spans="1:7" s="6" customFormat="1" ht="15.75" customHeight="1" x14ac:dyDescent="0.25">
      <c r="A226" s="1"/>
      <c r="B226" s="3"/>
      <c r="C226" s="36" t="s">
        <v>161</v>
      </c>
      <c r="D226" s="45">
        <v>543</v>
      </c>
      <c r="E226" s="51"/>
      <c r="F226" s="52"/>
      <c r="G226" s="70"/>
    </row>
    <row r="227" spans="1:7" s="6" customFormat="1" ht="15.75" customHeight="1" x14ac:dyDescent="0.25">
      <c r="A227" s="1"/>
      <c r="B227" s="3"/>
      <c r="C227" s="36" t="s">
        <v>409</v>
      </c>
      <c r="D227" s="45">
        <v>1560</v>
      </c>
      <c r="E227" s="51"/>
      <c r="F227" s="52"/>
      <c r="G227" s="70"/>
    </row>
    <row r="228" spans="1:7" s="6" customFormat="1" ht="15.75" customHeight="1" x14ac:dyDescent="0.25">
      <c r="A228" s="1"/>
      <c r="B228" s="3"/>
      <c r="C228" s="36" t="s">
        <v>410</v>
      </c>
      <c r="D228" s="45">
        <v>750</v>
      </c>
      <c r="E228" s="51"/>
      <c r="F228" s="52"/>
      <c r="G228" s="70"/>
    </row>
    <row r="229" spans="1:7" s="6" customFormat="1" ht="15.75" customHeight="1" x14ac:dyDescent="0.25">
      <c r="A229" s="1"/>
      <c r="B229" s="3"/>
      <c r="C229" s="36" t="s">
        <v>411</v>
      </c>
      <c r="D229" s="45">
        <v>732</v>
      </c>
      <c r="E229" s="51"/>
      <c r="F229" s="52"/>
      <c r="G229" s="70"/>
    </row>
    <row r="230" spans="1:7" s="6" customFormat="1" ht="15.75" customHeight="1" x14ac:dyDescent="0.25">
      <c r="A230" s="1"/>
      <c r="B230" s="3"/>
      <c r="C230" s="36" t="s">
        <v>412</v>
      </c>
      <c r="D230" s="45">
        <v>1390</v>
      </c>
      <c r="E230" s="51"/>
      <c r="F230" s="52"/>
      <c r="G230" s="70"/>
    </row>
    <row r="231" spans="1:7" s="6" customFormat="1" ht="15.75" customHeight="1" x14ac:dyDescent="0.25">
      <c r="A231" s="1"/>
      <c r="B231" s="3"/>
      <c r="C231" s="36" t="s">
        <v>413</v>
      </c>
      <c r="D231" s="45">
        <v>972</v>
      </c>
      <c r="E231" s="51"/>
      <c r="F231" s="52"/>
      <c r="G231" s="70"/>
    </row>
    <row r="232" spans="1:7" s="6" customFormat="1" ht="15.75" customHeight="1" x14ac:dyDescent="0.25">
      <c r="A232" s="1"/>
      <c r="B232" s="3"/>
      <c r="C232" s="36" t="s">
        <v>414</v>
      </c>
      <c r="D232" s="45">
        <v>347</v>
      </c>
      <c r="E232" s="51"/>
      <c r="F232" s="52"/>
      <c r="G232" s="70"/>
    </row>
    <row r="233" spans="1:7" s="6" customFormat="1" ht="15.75" customHeight="1" x14ac:dyDescent="0.25">
      <c r="A233" s="1"/>
      <c r="B233" s="3"/>
      <c r="C233" s="36" t="s">
        <v>5</v>
      </c>
      <c r="D233" s="45">
        <v>2295</v>
      </c>
      <c r="E233" s="51"/>
      <c r="F233" s="52"/>
      <c r="G233" s="70"/>
    </row>
    <row r="234" spans="1:7" s="6" customFormat="1" ht="15.75" customHeight="1" x14ac:dyDescent="0.25">
      <c r="A234" s="1"/>
      <c r="B234" s="3"/>
      <c r="C234" s="36" t="s">
        <v>415</v>
      </c>
      <c r="D234" s="45">
        <v>2795</v>
      </c>
      <c r="E234" s="51"/>
      <c r="F234" s="52"/>
      <c r="G234" s="70"/>
    </row>
    <row r="235" spans="1:7" s="6" customFormat="1" ht="15.75" customHeight="1" x14ac:dyDescent="0.25">
      <c r="A235" s="1"/>
      <c r="B235" s="3"/>
      <c r="C235" s="36" t="s">
        <v>416</v>
      </c>
      <c r="D235" s="45">
        <v>580</v>
      </c>
      <c r="E235" s="51"/>
      <c r="F235" s="52"/>
      <c r="G235" s="70"/>
    </row>
    <row r="236" spans="1:7" s="6" customFormat="1" ht="15.75" customHeight="1" x14ac:dyDescent="0.25">
      <c r="A236" s="1"/>
      <c r="B236" s="3"/>
      <c r="C236" s="36" t="s">
        <v>33</v>
      </c>
      <c r="D236" s="45">
        <v>479</v>
      </c>
      <c r="E236" s="51"/>
      <c r="F236" s="52"/>
      <c r="G236" s="70"/>
    </row>
    <row r="237" spans="1:7" s="6" customFormat="1" ht="15.75" customHeight="1" x14ac:dyDescent="0.25">
      <c r="A237" s="1"/>
      <c r="B237" s="3"/>
      <c r="C237" s="36" t="s">
        <v>417</v>
      </c>
      <c r="D237" s="45">
        <v>714</v>
      </c>
      <c r="E237" s="51"/>
      <c r="F237" s="52"/>
      <c r="G237" s="70"/>
    </row>
    <row r="238" spans="1:7" s="7" customFormat="1" ht="15.75" customHeight="1" x14ac:dyDescent="0.25">
      <c r="A238" s="1"/>
      <c r="B238" s="3"/>
      <c r="C238" s="36" t="s">
        <v>418</v>
      </c>
      <c r="D238" s="45">
        <v>953</v>
      </c>
      <c r="E238" s="51"/>
      <c r="F238" s="52"/>
      <c r="G238" s="70"/>
    </row>
    <row r="239" spans="1:7" s="3" customFormat="1" ht="15.75" customHeight="1" x14ac:dyDescent="0.25">
      <c r="A239" s="1"/>
      <c r="C239" s="36" t="s">
        <v>419</v>
      </c>
      <c r="D239" s="45">
        <v>1740</v>
      </c>
      <c r="E239" s="51"/>
      <c r="F239" s="52"/>
      <c r="G239" s="70"/>
    </row>
    <row r="240" spans="1:7" s="3" customFormat="1" ht="15.75" customHeight="1" x14ac:dyDescent="0.25">
      <c r="A240" s="1"/>
      <c r="C240" s="36"/>
      <c r="D240" s="45"/>
      <c r="E240" s="51"/>
      <c r="F240" s="52"/>
      <c r="G240" s="70"/>
    </row>
    <row r="241" spans="1:7" s="6" customFormat="1" ht="15.75" customHeight="1" x14ac:dyDescent="0.25">
      <c r="A241" s="1"/>
      <c r="B241" s="3"/>
      <c r="C241" s="35" t="s">
        <v>420</v>
      </c>
      <c r="D241" s="44">
        <f>SUM(D242:D262)</f>
        <v>30119</v>
      </c>
      <c r="E241" s="51"/>
      <c r="F241" s="52"/>
      <c r="G241" s="70"/>
    </row>
    <row r="242" spans="1:7" s="6" customFormat="1" ht="15.75" customHeight="1" x14ac:dyDescent="0.25">
      <c r="A242" s="1"/>
      <c r="B242" s="3"/>
      <c r="C242" s="36" t="s">
        <v>421</v>
      </c>
      <c r="D242" s="45">
        <v>1093</v>
      </c>
      <c r="E242" s="51"/>
      <c r="F242" s="52"/>
      <c r="G242" s="70"/>
    </row>
    <row r="243" spans="1:7" s="6" customFormat="1" ht="15.75" customHeight="1" x14ac:dyDescent="0.25">
      <c r="A243" s="1"/>
      <c r="B243" s="3"/>
      <c r="C243" s="36" t="s">
        <v>422</v>
      </c>
      <c r="D243" s="45">
        <v>1520</v>
      </c>
      <c r="E243" s="51"/>
      <c r="F243" s="52"/>
      <c r="G243" s="70"/>
    </row>
    <row r="244" spans="1:7" s="6" customFormat="1" ht="15.75" customHeight="1" x14ac:dyDescent="0.25">
      <c r="A244" s="1"/>
      <c r="B244" s="3"/>
      <c r="C244" s="36" t="s">
        <v>423</v>
      </c>
      <c r="D244" s="45">
        <v>1428</v>
      </c>
      <c r="E244" s="51"/>
      <c r="F244" s="52"/>
      <c r="G244" s="70"/>
    </row>
    <row r="245" spans="1:7" s="6" customFormat="1" ht="15.75" customHeight="1" x14ac:dyDescent="0.25">
      <c r="A245" s="1"/>
      <c r="B245" s="3"/>
      <c r="C245" s="36" t="s">
        <v>424</v>
      </c>
      <c r="D245" s="45">
        <v>1336</v>
      </c>
      <c r="E245" s="51"/>
      <c r="F245" s="52"/>
      <c r="G245" s="70"/>
    </row>
    <row r="246" spans="1:7" s="6" customFormat="1" ht="15.75" customHeight="1" x14ac:dyDescent="0.25">
      <c r="A246" s="1"/>
      <c r="B246" s="3"/>
      <c r="C246" s="36" t="s">
        <v>425</v>
      </c>
      <c r="D246" s="45">
        <v>420</v>
      </c>
      <c r="E246" s="51"/>
      <c r="F246" s="52"/>
      <c r="G246" s="70"/>
    </row>
    <row r="247" spans="1:7" s="6" customFormat="1" ht="15.75" customHeight="1" x14ac:dyDescent="0.25">
      <c r="A247" s="1"/>
      <c r="B247" s="3"/>
      <c r="C247" s="36" t="s">
        <v>426</v>
      </c>
      <c r="D247" s="45">
        <v>2200</v>
      </c>
      <c r="E247" s="51"/>
      <c r="F247" s="52"/>
      <c r="G247" s="70"/>
    </row>
    <row r="248" spans="1:7" s="6" customFormat="1" ht="15.75" customHeight="1" x14ac:dyDescent="0.25">
      <c r="A248" s="1"/>
      <c r="B248" s="3"/>
      <c r="C248" s="36" t="s">
        <v>427</v>
      </c>
      <c r="D248" s="45">
        <v>1226</v>
      </c>
      <c r="E248" s="51"/>
      <c r="F248" s="52"/>
      <c r="G248" s="70"/>
    </row>
    <row r="249" spans="1:7" s="6" customFormat="1" ht="15.75" customHeight="1" x14ac:dyDescent="0.25">
      <c r="A249" s="1"/>
      <c r="B249" s="3"/>
      <c r="C249" s="36" t="s">
        <v>428</v>
      </c>
      <c r="D249" s="45">
        <v>2496</v>
      </c>
      <c r="E249" s="51"/>
      <c r="F249" s="52"/>
      <c r="G249" s="70"/>
    </row>
    <row r="250" spans="1:7" s="6" customFormat="1" ht="15.75" customHeight="1" x14ac:dyDescent="0.25">
      <c r="A250" s="1"/>
      <c r="B250" s="3"/>
      <c r="C250" s="36" t="s">
        <v>108</v>
      </c>
      <c r="D250" s="45">
        <v>1507</v>
      </c>
      <c r="E250" s="51"/>
      <c r="F250" s="52"/>
      <c r="G250" s="70"/>
    </row>
    <row r="251" spans="1:7" s="6" customFormat="1" ht="15.75" customHeight="1" x14ac:dyDescent="0.25">
      <c r="A251" s="1"/>
      <c r="B251" s="3"/>
      <c r="C251" s="36" t="s">
        <v>429</v>
      </c>
      <c r="D251" s="45">
        <v>867</v>
      </c>
      <c r="E251" s="51"/>
      <c r="F251" s="52"/>
      <c r="G251" s="70"/>
    </row>
    <row r="252" spans="1:7" s="6" customFormat="1" ht="15.75" customHeight="1" x14ac:dyDescent="0.25">
      <c r="A252" s="1"/>
      <c r="B252" s="3"/>
      <c r="C252" s="36" t="s">
        <v>430</v>
      </c>
      <c r="D252" s="45">
        <v>1542</v>
      </c>
      <c r="E252" s="51"/>
      <c r="F252" s="52"/>
      <c r="G252" s="70"/>
    </row>
    <row r="253" spans="1:7" s="6" customFormat="1" ht="15.75" customHeight="1" x14ac:dyDescent="0.25">
      <c r="A253" s="1"/>
      <c r="B253" s="3"/>
      <c r="C253" s="36" t="s">
        <v>431</v>
      </c>
      <c r="D253" s="45">
        <v>914</v>
      </c>
      <c r="E253" s="51"/>
      <c r="F253" s="52"/>
      <c r="G253" s="70"/>
    </row>
    <row r="254" spans="1:7" s="6" customFormat="1" ht="15.75" customHeight="1" x14ac:dyDescent="0.25">
      <c r="A254" s="1"/>
      <c r="B254" s="3"/>
      <c r="C254" s="36" t="s">
        <v>269</v>
      </c>
      <c r="D254" s="45">
        <v>333</v>
      </c>
      <c r="E254" s="51"/>
      <c r="F254" s="52"/>
      <c r="G254" s="70"/>
    </row>
    <row r="255" spans="1:7" s="6" customFormat="1" ht="15.75" customHeight="1" x14ac:dyDescent="0.25">
      <c r="A255" s="1"/>
      <c r="B255" s="3"/>
      <c r="C255" s="36" t="s">
        <v>432</v>
      </c>
      <c r="D255" s="45">
        <v>922</v>
      </c>
      <c r="E255" s="51"/>
      <c r="F255" s="52"/>
      <c r="G255" s="70"/>
    </row>
    <row r="256" spans="1:7" s="6" customFormat="1" ht="15.75" customHeight="1" x14ac:dyDescent="0.25">
      <c r="A256" s="1"/>
      <c r="B256" s="3"/>
      <c r="C256" s="36" t="s">
        <v>433</v>
      </c>
      <c r="D256" s="45">
        <v>1767</v>
      </c>
      <c r="E256" s="51"/>
      <c r="F256" s="52"/>
      <c r="G256" s="70"/>
    </row>
    <row r="257" spans="1:7" s="6" customFormat="1" ht="15.75" customHeight="1" x14ac:dyDescent="0.25">
      <c r="A257" s="1"/>
      <c r="B257" s="3"/>
      <c r="C257" s="36" t="s">
        <v>2</v>
      </c>
      <c r="D257" s="45">
        <v>3476</v>
      </c>
      <c r="E257" s="51"/>
      <c r="F257" s="52"/>
      <c r="G257" s="70"/>
    </row>
    <row r="258" spans="1:7" s="6" customFormat="1" ht="15.75" customHeight="1" x14ac:dyDescent="0.25">
      <c r="A258" s="1"/>
      <c r="B258" s="3"/>
      <c r="C258" s="36" t="s">
        <v>5</v>
      </c>
      <c r="D258" s="45">
        <v>1346</v>
      </c>
      <c r="E258" s="51"/>
      <c r="F258" s="52"/>
      <c r="G258" s="70"/>
    </row>
    <row r="259" spans="1:7" s="7" customFormat="1" ht="15.75" customHeight="1" x14ac:dyDescent="0.25">
      <c r="A259" s="1"/>
      <c r="B259" s="3"/>
      <c r="C259" s="36" t="s">
        <v>434</v>
      </c>
      <c r="D259" s="45">
        <v>1792</v>
      </c>
      <c r="E259" s="51"/>
      <c r="F259" s="52"/>
      <c r="G259" s="70"/>
    </row>
    <row r="260" spans="1:7" s="3" customFormat="1" ht="15.75" customHeight="1" x14ac:dyDescent="0.25">
      <c r="A260" s="1"/>
      <c r="C260" s="36" t="s">
        <v>282</v>
      </c>
      <c r="D260" s="45">
        <v>1208</v>
      </c>
      <c r="E260" s="51"/>
      <c r="F260" s="52"/>
      <c r="G260" s="70"/>
    </row>
    <row r="261" spans="1:7" s="6" customFormat="1" ht="15.75" customHeight="1" x14ac:dyDescent="0.25">
      <c r="A261" s="1"/>
      <c r="B261" s="3"/>
      <c r="C261" s="36" t="s">
        <v>113</v>
      </c>
      <c r="D261" s="45">
        <v>1803</v>
      </c>
      <c r="E261" s="51"/>
      <c r="F261" s="52"/>
      <c r="G261" s="70"/>
    </row>
    <row r="262" spans="1:7" s="6" customFormat="1" ht="15.75" customHeight="1" x14ac:dyDescent="0.25">
      <c r="A262" s="1"/>
      <c r="B262" s="3"/>
      <c r="C262" s="36" t="s">
        <v>435</v>
      </c>
      <c r="D262" s="45">
        <v>923</v>
      </c>
      <c r="E262" s="51"/>
      <c r="F262" s="52"/>
      <c r="G262" s="70"/>
    </row>
    <row r="263" spans="1:7" s="6" customFormat="1" ht="15.75" customHeight="1" x14ac:dyDescent="0.25">
      <c r="A263" s="1"/>
      <c r="B263" s="3"/>
      <c r="C263" s="36"/>
      <c r="D263" s="46"/>
      <c r="E263" s="51"/>
      <c r="F263" s="52"/>
      <c r="G263" s="70"/>
    </row>
    <row r="264" spans="1:7" s="6" customFormat="1" ht="15.75" customHeight="1" x14ac:dyDescent="0.25">
      <c r="A264" s="1"/>
      <c r="B264" s="3"/>
      <c r="C264" s="35" t="s">
        <v>436</v>
      </c>
      <c r="D264" s="57">
        <f>SUM(D265:D293)</f>
        <v>49191</v>
      </c>
      <c r="E264" s="51"/>
      <c r="F264" s="52"/>
      <c r="G264" s="70"/>
    </row>
    <row r="265" spans="1:7" s="6" customFormat="1" ht="15.75" customHeight="1" x14ac:dyDescent="0.25">
      <c r="A265" s="1"/>
      <c r="B265" s="3"/>
      <c r="C265" s="36" t="s">
        <v>56</v>
      </c>
      <c r="D265" s="45">
        <v>1446</v>
      </c>
      <c r="E265" s="51"/>
      <c r="F265" s="52"/>
      <c r="G265" s="70"/>
    </row>
    <row r="266" spans="1:7" s="6" customFormat="1" ht="15.75" customHeight="1" x14ac:dyDescent="0.25">
      <c r="A266" s="1"/>
      <c r="B266" s="3"/>
      <c r="C266" s="36" t="s">
        <v>437</v>
      </c>
      <c r="D266" s="45">
        <v>2603</v>
      </c>
      <c r="E266" s="51"/>
      <c r="F266" s="52"/>
      <c r="G266" s="70"/>
    </row>
    <row r="267" spans="1:7" s="6" customFormat="1" ht="15.75" customHeight="1" x14ac:dyDescent="0.25">
      <c r="A267" s="1"/>
      <c r="B267" s="3"/>
      <c r="C267" s="36" t="s">
        <v>26</v>
      </c>
      <c r="D267" s="45">
        <v>2785</v>
      </c>
      <c r="E267" s="51"/>
      <c r="F267" s="52"/>
      <c r="G267" s="70"/>
    </row>
    <row r="268" spans="1:7" s="8" customFormat="1" ht="15.75" customHeight="1" x14ac:dyDescent="0.25">
      <c r="A268" s="1"/>
      <c r="B268" s="3"/>
      <c r="C268" s="36" t="s">
        <v>438</v>
      </c>
      <c r="D268" s="45">
        <v>1658</v>
      </c>
      <c r="E268" s="51"/>
      <c r="F268" s="52"/>
      <c r="G268" s="70"/>
    </row>
    <row r="269" spans="1:7" s="6" customFormat="1" ht="15.75" customHeight="1" x14ac:dyDescent="0.25">
      <c r="A269" s="1"/>
      <c r="B269" s="3"/>
      <c r="C269" s="36" t="s">
        <v>439</v>
      </c>
      <c r="D269" s="45">
        <v>2044</v>
      </c>
      <c r="E269" s="51"/>
      <c r="F269" s="52"/>
      <c r="G269" s="70"/>
    </row>
    <row r="270" spans="1:7" s="6" customFormat="1" ht="15.75" customHeight="1" x14ac:dyDescent="0.25">
      <c r="A270" s="1"/>
      <c r="B270" s="3"/>
      <c r="C270" s="36" t="s">
        <v>123</v>
      </c>
      <c r="D270" s="45">
        <v>961</v>
      </c>
      <c r="E270" s="51"/>
      <c r="F270" s="52"/>
      <c r="G270" s="70"/>
    </row>
    <row r="271" spans="1:7" s="6" customFormat="1" ht="15.75" customHeight="1" x14ac:dyDescent="0.25">
      <c r="A271" s="1"/>
      <c r="B271" s="3"/>
      <c r="C271" s="36" t="s">
        <v>440</v>
      </c>
      <c r="D271" s="45">
        <v>615</v>
      </c>
      <c r="E271" s="51"/>
      <c r="F271" s="52"/>
      <c r="G271" s="70"/>
    </row>
    <row r="272" spans="1:7" s="6" customFormat="1" ht="15.75" customHeight="1" x14ac:dyDescent="0.25">
      <c r="A272" s="1"/>
      <c r="B272" s="3"/>
      <c r="C272" s="36" t="s">
        <v>53</v>
      </c>
      <c r="D272" s="45">
        <v>2348</v>
      </c>
      <c r="E272" s="51"/>
      <c r="F272" s="52"/>
      <c r="G272" s="70"/>
    </row>
    <row r="273" spans="1:7" s="6" customFormat="1" ht="15.75" customHeight="1" x14ac:dyDescent="0.25">
      <c r="A273" s="1"/>
      <c r="B273" s="3"/>
      <c r="C273" s="36" t="s">
        <v>87</v>
      </c>
      <c r="D273" s="45">
        <v>3106</v>
      </c>
      <c r="E273" s="51"/>
      <c r="F273" s="52"/>
      <c r="G273" s="70"/>
    </row>
    <row r="274" spans="1:7" s="6" customFormat="1" ht="15.75" customHeight="1" x14ac:dyDescent="0.25">
      <c r="A274" s="1"/>
      <c r="B274" s="3"/>
      <c r="C274" s="36" t="s">
        <v>441</v>
      </c>
      <c r="D274" s="45">
        <v>918</v>
      </c>
      <c r="E274" s="51"/>
      <c r="F274" s="52"/>
      <c r="G274" s="70"/>
    </row>
    <row r="275" spans="1:7" s="6" customFormat="1" ht="15.75" customHeight="1" x14ac:dyDescent="0.25">
      <c r="A275" s="1"/>
      <c r="B275" s="3"/>
      <c r="C275" s="36" t="s">
        <v>142</v>
      </c>
      <c r="D275" s="45">
        <v>1848</v>
      </c>
      <c r="E275" s="51"/>
      <c r="F275" s="52"/>
      <c r="G275" s="70"/>
    </row>
    <row r="276" spans="1:7" s="6" customFormat="1" ht="15.75" customHeight="1" x14ac:dyDescent="0.25">
      <c r="A276" s="1"/>
      <c r="B276" s="3"/>
      <c r="C276" s="36" t="s">
        <v>442</v>
      </c>
      <c r="D276" s="45">
        <v>920</v>
      </c>
      <c r="E276" s="51"/>
      <c r="F276" s="52"/>
      <c r="G276" s="70"/>
    </row>
    <row r="277" spans="1:7" s="6" customFormat="1" ht="15.75" customHeight="1" x14ac:dyDescent="0.25">
      <c r="A277" s="1"/>
      <c r="B277" s="3"/>
      <c r="C277" s="36" t="s">
        <v>443</v>
      </c>
      <c r="D277" s="45">
        <v>1178</v>
      </c>
      <c r="E277" s="51"/>
      <c r="F277" s="52"/>
      <c r="G277" s="70"/>
    </row>
    <row r="278" spans="1:7" s="6" customFormat="1" ht="15.75" customHeight="1" x14ac:dyDescent="0.25">
      <c r="A278" s="1"/>
      <c r="B278" s="3"/>
      <c r="C278" s="36" t="s">
        <v>444</v>
      </c>
      <c r="D278" s="45">
        <v>962</v>
      </c>
      <c r="E278" s="51"/>
      <c r="F278" s="52"/>
      <c r="G278" s="70"/>
    </row>
    <row r="279" spans="1:7" s="7" customFormat="1" ht="15.75" customHeight="1" x14ac:dyDescent="0.25">
      <c r="A279" s="1"/>
      <c r="B279" s="3"/>
      <c r="C279" s="36" t="s">
        <v>445</v>
      </c>
      <c r="D279" s="45">
        <v>1056</v>
      </c>
      <c r="E279" s="51"/>
      <c r="F279" s="52"/>
      <c r="G279" s="70"/>
    </row>
    <row r="280" spans="1:7" s="3" customFormat="1" ht="15.75" customHeight="1" x14ac:dyDescent="0.25">
      <c r="A280" s="1"/>
      <c r="C280" s="36" t="s">
        <v>446</v>
      </c>
      <c r="D280" s="45">
        <v>2943</v>
      </c>
      <c r="E280" s="51"/>
      <c r="F280" s="52"/>
      <c r="G280" s="70"/>
    </row>
    <row r="281" spans="1:7" s="6" customFormat="1" ht="15.75" customHeight="1" x14ac:dyDescent="0.25">
      <c r="A281" s="1"/>
      <c r="B281" s="3"/>
      <c r="C281" s="36" t="s">
        <v>447</v>
      </c>
      <c r="D281" s="45">
        <v>890</v>
      </c>
      <c r="E281" s="51"/>
      <c r="F281" s="52"/>
      <c r="G281" s="70"/>
    </row>
    <row r="282" spans="1:7" s="6" customFormat="1" ht="15.75" customHeight="1" x14ac:dyDescent="0.25">
      <c r="A282" s="1"/>
      <c r="B282" s="3"/>
      <c r="C282" s="36" t="s">
        <v>448</v>
      </c>
      <c r="D282" s="45">
        <v>1037</v>
      </c>
      <c r="E282" s="51"/>
      <c r="F282" s="52"/>
      <c r="G282" s="70"/>
    </row>
    <row r="283" spans="1:7" s="6" customFormat="1" ht="15.75" customHeight="1" x14ac:dyDescent="0.25">
      <c r="A283" s="1"/>
      <c r="B283" s="3"/>
      <c r="C283" s="36" t="s">
        <v>449</v>
      </c>
      <c r="D283" s="45">
        <v>2570</v>
      </c>
      <c r="E283" s="51"/>
      <c r="F283" s="52"/>
      <c r="G283" s="70"/>
    </row>
    <row r="284" spans="1:7" s="6" customFormat="1" ht="15.75" customHeight="1" x14ac:dyDescent="0.25">
      <c r="A284" s="1"/>
      <c r="B284" s="3"/>
      <c r="C284" s="36" t="s">
        <v>450</v>
      </c>
      <c r="D284" s="45">
        <v>1081</v>
      </c>
      <c r="E284" s="51"/>
      <c r="F284" s="52"/>
      <c r="G284" s="70"/>
    </row>
    <row r="285" spans="1:7" s="6" customFormat="1" ht="15.75" customHeight="1" x14ac:dyDescent="0.25">
      <c r="A285" s="1"/>
      <c r="B285" s="3"/>
      <c r="C285" s="36" t="s">
        <v>451</v>
      </c>
      <c r="D285" s="45">
        <v>925</v>
      </c>
      <c r="E285" s="51"/>
      <c r="F285" s="52"/>
      <c r="G285" s="70"/>
    </row>
    <row r="286" spans="1:7" s="6" customFormat="1" ht="15.75" customHeight="1" x14ac:dyDescent="0.25">
      <c r="A286" s="1"/>
      <c r="B286" s="3"/>
      <c r="C286" s="36" t="s">
        <v>452</v>
      </c>
      <c r="D286" s="45">
        <v>864</v>
      </c>
      <c r="E286" s="51"/>
      <c r="F286" s="52"/>
      <c r="G286" s="70"/>
    </row>
    <row r="287" spans="1:7" s="6" customFormat="1" ht="15.75" customHeight="1" x14ac:dyDescent="0.25">
      <c r="A287" s="1"/>
      <c r="B287" s="3"/>
      <c r="C287" s="36" t="s">
        <v>70</v>
      </c>
      <c r="D287" s="45">
        <v>3529</v>
      </c>
      <c r="E287" s="51"/>
      <c r="F287" s="52"/>
      <c r="G287" s="70"/>
    </row>
    <row r="288" spans="1:7" s="6" customFormat="1" ht="15.75" customHeight="1" x14ac:dyDescent="0.25">
      <c r="A288" s="1"/>
      <c r="B288" s="3"/>
      <c r="C288" s="36" t="s">
        <v>71</v>
      </c>
      <c r="D288" s="45">
        <v>3243</v>
      </c>
      <c r="E288" s="51"/>
      <c r="F288" s="52"/>
      <c r="G288" s="70"/>
    </row>
    <row r="289" spans="1:7" s="6" customFormat="1" ht="15.75" customHeight="1" x14ac:dyDescent="0.25">
      <c r="A289" s="1"/>
      <c r="B289" s="3"/>
      <c r="C289" s="36" t="s">
        <v>453</v>
      </c>
      <c r="D289" s="45">
        <v>1374</v>
      </c>
      <c r="E289" s="51"/>
      <c r="F289" s="52"/>
      <c r="G289" s="70"/>
    </row>
    <row r="290" spans="1:7" s="6" customFormat="1" ht="15.75" customHeight="1" x14ac:dyDescent="0.25">
      <c r="A290" s="1"/>
      <c r="B290" s="3"/>
      <c r="C290" s="36" t="s">
        <v>454</v>
      </c>
      <c r="D290" s="45">
        <v>2089</v>
      </c>
      <c r="E290" s="51"/>
      <c r="F290" s="52"/>
      <c r="G290" s="70"/>
    </row>
    <row r="291" spans="1:7" s="6" customFormat="1" ht="15.75" customHeight="1" x14ac:dyDescent="0.25">
      <c r="A291" s="1"/>
      <c r="B291" s="3"/>
      <c r="C291" s="36" t="s">
        <v>141</v>
      </c>
      <c r="D291" s="45">
        <v>1008</v>
      </c>
      <c r="E291" s="51"/>
      <c r="F291" s="52"/>
      <c r="G291" s="70"/>
    </row>
    <row r="292" spans="1:7" s="6" customFormat="1" ht="15.75" customHeight="1" x14ac:dyDescent="0.25">
      <c r="A292" s="1"/>
      <c r="B292" s="3"/>
      <c r="C292" s="36" t="s">
        <v>455</v>
      </c>
      <c r="D292" s="45">
        <v>1230</v>
      </c>
      <c r="E292" s="51"/>
      <c r="F292" s="52"/>
      <c r="G292" s="70"/>
    </row>
    <row r="293" spans="1:7" s="6" customFormat="1" ht="15.75" customHeight="1" x14ac:dyDescent="0.25">
      <c r="A293" s="1"/>
      <c r="B293" s="3"/>
      <c r="C293" s="36" t="s">
        <v>456</v>
      </c>
      <c r="D293" s="45">
        <v>1960</v>
      </c>
      <c r="E293" s="51"/>
      <c r="F293" s="52"/>
      <c r="G293" s="70"/>
    </row>
    <row r="294" spans="1:7" s="6" customFormat="1" ht="15.75" customHeight="1" x14ac:dyDescent="0.25">
      <c r="A294" s="1"/>
      <c r="B294" s="3"/>
      <c r="C294" s="36"/>
      <c r="D294" s="46"/>
      <c r="E294" s="51"/>
      <c r="F294" s="52"/>
      <c r="G294" s="70"/>
    </row>
    <row r="295" spans="1:7" s="6" customFormat="1" ht="15.75" customHeight="1" x14ac:dyDescent="0.25">
      <c r="A295" s="1"/>
      <c r="B295" s="3"/>
      <c r="C295" s="35" t="s">
        <v>1954</v>
      </c>
      <c r="D295" s="57">
        <f>SUM(D296:D317)</f>
        <v>23805</v>
      </c>
      <c r="E295" s="51"/>
      <c r="F295" s="52"/>
      <c r="G295" s="70"/>
    </row>
    <row r="296" spans="1:7" s="6" customFormat="1" ht="15.75" customHeight="1" x14ac:dyDescent="0.25">
      <c r="A296" s="1"/>
      <c r="B296" s="3"/>
      <c r="C296" s="36" t="s">
        <v>56</v>
      </c>
      <c r="D296" s="45">
        <v>1301</v>
      </c>
      <c r="E296" s="51"/>
      <c r="F296" s="52"/>
      <c r="G296" s="70"/>
    </row>
    <row r="297" spans="1:7" s="6" customFormat="1" ht="15.75" customHeight="1" x14ac:dyDescent="0.25">
      <c r="A297" s="1"/>
      <c r="B297" s="3"/>
      <c r="C297" s="36" t="s">
        <v>457</v>
      </c>
      <c r="D297" s="45">
        <v>1235</v>
      </c>
      <c r="E297" s="51"/>
      <c r="F297" s="52"/>
      <c r="G297" s="70"/>
    </row>
    <row r="298" spans="1:7" s="6" customFormat="1" ht="15.75" customHeight="1" x14ac:dyDescent="0.25">
      <c r="A298" s="1"/>
      <c r="B298" s="3"/>
      <c r="C298" s="36" t="s">
        <v>458</v>
      </c>
      <c r="D298" s="45">
        <v>1435</v>
      </c>
      <c r="E298" s="51"/>
      <c r="F298" s="52"/>
      <c r="G298" s="70"/>
    </row>
    <row r="299" spans="1:7" s="6" customFormat="1" ht="15.75" customHeight="1" x14ac:dyDescent="0.25">
      <c r="A299" s="1"/>
      <c r="B299" s="3"/>
      <c r="C299" s="36" t="s">
        <v>243</v>
      </c>
      <c r="D299" s="45">
        <v>1051</v>
      </c>
      <c r="E299" s="51"/>
      <c r="F299" s="52"/>
      <c r="G299" s="70"/>
    </row>
    <row r="300" spans="1:7" s="6" customFormat="1" ht="15.75" customHeight="1" x14ac:dyDescent="0.25">
      <c r="A300" s="1"/>
      <c r="B300" s="3"/>
      <c r="C300" s="36" t="s">
        <v>459</v>
      </c>
      <c r="D300" s="45">
        <v>616</v>
      </c>
      <c r="E300" s="51"/>
      <c r="F300" s="52"/>
      <c r="G300" s="70"/>
    </row>
    <row r="301" spans="1:7" s="6" customFormat="1" ht="15.75" customHeight="1" x14ac:dyDescent="0.25">
      <c r="A301" s="1"/>
      <c r="B301" s="3"/>
      <c r="C301" s="36" t="s">
        <v>460</v>
      </c>
      <c r="D301" s="45">
        <v>854</v>
      </c>
      <c r="E301" s="51"/>
      <c r="F301" s="52"/>
      <c r="G301" s="70"/>
    </row>
    <row r="302" spans="1:7" s="6" customFormat="1" ht="15.75" customHeight="1" x14ac:dyDescent="0.25">
      <c r="A302" s="1"/>
      <c r="B302" s="3"/>
      <c r="C302" s="36" t="s">
        <v>461</v>
      </c>
      <c r="D302" s="45">
        <v>1605</v>
      </c>
      <c r="E302" s="51"/>
      <c r="F302" s="52"/>
      <c r="G302" s="70"/>
    </row>
    <row r="303" spans="1:7" s="6" customFormat="1" ht="15.75" customHeight="1" x14ac:dyDescent="0.25">
      <c r="A303" s="1"/>
      <c r="B303" s="3"/>
      <c r="C303" s="36" t="s">
        <v>462</v>
      </c>
      <c r="D303" s="45">
        <v>737</v>
      </c>
      <c r="E303" s="51"/>
      <c r="F303" s="52"/>
      <c r="G303" s="70"/>
    </row>
    <row r="304" spans="1:7" s="6" customFormat="1" ht="15.75" customHeight="1" x14ac:dyDescent="0.25">
      <c r="A304" s="1"/>
      <c r="B304" s="3"/>
      <c r="C304" s="36" t="s">
        <v>463</v>
      </c>
      <c r="D304" s="45">
        <v>1910</v>
      </c>
      <c r="E304" s="51"/>
      <c r="F304" s="52"/>
      <c r="G304" s="70"/>
    </row>
    <row r="305" spans="1:7" s="7" customFormat="1" ht="15.75" customHeight="1" x14ac:dyDescent="0.25">
      <c r="A305" s="1"/>
      <c r="B305" s="3"/>
      <c r="C305" s="36" t="s">
        <v>464</v>
      </c>
      <c r="D305" s="45">
        <v>940</v>
      </c>
      <c r="E305" s="51"/>
      <c r="F305" s="52"/>
      <c r="G305" s="70"/>
    </row>
    <row r="306" spans="1:7" s="3" customFormat="1" ht="15.75" customHeight="1" x14ac:dyDescent="0.25">
      <c r="A306" s="1"/>
      <c r="C306" s="36" t="s">
        <v>465</v>
      </c>
      <c r="D306" s="45">
        <v>1098</v>
      </c>
      <c r="E306" s="51"/>
      <c r="F306" s="52"/>
      <c r="G306" s="70"/>
    </row>
    <row r="307" spans="1:7" s="6" customFormat="1" ht="15.75" customHeight="1" x14ac:dyDescent="0.25">
      <c r="A307" s="1"/>
      <c r="B307" s="3"/>
      <c r="C307" s="36" t="s">
        <v>466</v>
      </c>
      <c r="D307" s="45">
        <v>409</v>
      </c>
      <c r="E307" s="51"/>
      <c r="F307" s="52"/>
      <c r="G307" s="70"/>
    </row>
    <row r="308" spans="1:7" s="6" customFormat="1" ht="15.75" customHeight="1" x14ac:dyDescent="0.25">
      <c r="A308" s="1"/>
      <c r="B308" s="3"/>
      <c r="C308" s="36" t="s">
        <v>407</v>
      </c>
      <c r="D308" s="45">
        <v>1039</v>
      </c>
      <c r="E308" s="51"/>
      <c r="F308" s="52"/>
      <c r="G308" s="70"/>
    </row>
    <row r="309" spans="1:7" s="6" customFormat="1" ht="15.75" customHeight="1" x14ac:dyDescent="0.25">
      <c r="A309" s="1"/>
      <c r="B309" s="3"/>
      <c r="C309" s="36" t="s">
        <v>467</v>
      </c>
      <c r="D309" s="45">
        <v>650</v>
      </c>
      <c r="E309" s="51"/>
      <c r="F309" s="52"/>
      <c r="G309" s="70"/>
    </row>
    <row r="310" spans="1:7" s="6" customFormat="1" ht="15.75" customHeight="1" x14ac:dyDescent="0.25">
      <c r="A310" s="1"/>
      <c r="B310" s="3"/>
      <c r="C310" s="36" t="s">
        <v>468</v>
      </c>
      <c r="D310" s="45">
        <v>290</v>
      </c>
      <c r="E310" s="51"/>
      <c r="F310" s="52"/>
      <c r="G310" s="70"/>
    </row>
    <row r="311" spans="1:7" s="8" customFormat="1" ht="15.75" customHeight="1" x14ac:dyDescent="0.25">
      <c r="A311" s="1"/>
      <c r="B311" s="3"/>
      <c r="C311" s="36" t="s">
        <v>469</v>
      </c>
      <c r="D311" s="45">
        <v>881</v>
      </c>
      <c r="E311" s="51"/>
      <c r="F311" s="52"/>
      <c r="G311" s="70"/>
    </row>
    <row r="312" spans="1:7" s="6" customFormat="1" ht="15.75" customHeight="1" x14ac:dyDescent="0.25">
      <c r="A312" s="1"/>
      <c r="B312" s="3"/>
      <c r="C312" s="36" t="s">
        <v>470</v>
      </c>
      <c r="D312" s="45">
        <v>1140</v>
      </c>
      <c r="E312" s="51"/>
      <c r="F312" s="52"/>
      <c r="G312" s="70"/>
    </row>
    <row r="313" spans="1:7" s="6" customFormat="1" ht="15.75" customHeight="1" x14ac:dyDescent="0.25">
      <c r="A313" s="1"/>
      <c r="B313" s="3"/>
      <c r="C313" s="36" t="s">
        <v>2</v>
      </c>
      <c r="D313" s="45">
        <v>2176</v>
      </c>
      <c r="E313" s="51"/>
      <c r="F313" s="52"/>
      <c r="G313" s="70"/>
    </row>
    <row r="314" spans="1:7" s="8" customFormat="1" ht="15.75" customHeight="1" x14ac:dyDescent="0.25">
      <c r="A314" s="1"/>
      <c r="B314" s="3"/>
      <c r="C314" s="36" t="s">
        <v>20</v>
      </c>
      <c r="D314" s="45">
        <v>759</v>
      </c>
      <c r="E314" s="51"/>
      <c r="F314" s="52"/>
      <c r="G314" s="70"/>
    </row>
    <row r="315" spans="1:7" s="6" customFormat="1" ht="15.75" customHeight="1" x14ac:dyDescent="0.25">
      <c r="A315" s="1"/>
      <c r="B315" s="3"/>
      <c r="C315" s="36" t="s">
        <v>471</v>
      </c>
      <c r="D315" s="45">
        <v>1008</v>
      </c>
      <c r="E315" s="51"/>
      <c r="F315" s="52"/>
      <c r="G315" s="70"/>
    </row>
    <row r="316" spans="1:7" s="6" customFormat="1" ht="15.75" customHeight="1" x14ac:dyDescent="0.25">
      <c r="A316" s="1"/>
      <c r="B316" s="3"/>
      <c r="C316" s="36" t="s">
        <v>472</v>
      </c>
      <c r="D316" s="45">
        <v>1118</v>
      </c>
      <c r="E316" s="51"/>
      <c r="F316" s="52"/>
      <c r="G316" s="70"/>
    </row>
    <row r="317" spans="1:7" s="8" customFormat="1" ht="15.75" customHeight="1" x14ac:dyDescent="0.25">
      <c r="A317" s="1"/>
      <c r="B317" s="3"/>
      <c r="C317" s="36" t="s">
        <v>473</v>
      </c>
      <c r="D317" s="45">
        <v>1553</v>
      </c>
      <c r="E317" s="51"/>
      <c r="F317" s="52"/>
      <c r="G317" s="70"/>
    </row>
    <row r="318" spans="1:7" s="8" customFormat="1" ht="15.75" customHeight="1" x14ac:dyDescent="0.25">
      <c r="A318" s="1"/>
      <c r="B318" s="3"/>
      <c r="C318" s="36"/>
      <c r="D318" s="46"/>
      <c r="E318" s="51"/>
      <c r="F318" s="52"/>
      <c r="G318" s="70"/>
    </row>
    <row r="319" spans="1:7" s="6" customFormat="1" ht="15.75" customHeight="1" x14ac:dyDescent="0.25">
      <c r="A319" s="1"/>
      <c r="B319" s="3"/>
      <c r="C319" s="35" t="s">
        <v>1955</v>
      </c>
      <c r="D319" s="57">
        <f>SUM(D320:D343)</f>
        <v>21158</v>
      </c>
      <c r="E319" s="51"/>
      <c r="F319" s="52"/>
      <c r="G319" s="70"/>
    </row>
    <row r="320" spans="1:7" s="6" customFormat="1" ht="15.75" customHeight="1" x14ac:dyDescent="0.25">
      <c r="A320" s="1"/>
      <c r="B320" s="3"/>
      <c r="C320" s="36" t="s">
        <v>474</v>
      </c>
      <c r="D320" s="45">
        <v>1141</v>
      </c>
      <c r="E320" s="51"/>
      <c r="F320" s="52"/>
      <c r="G320" s="70"/>
    </row>
    <row r="321" spans="1:7" s="6" customFormat="1" ht="15.75" customHeight="1" x14ac:dyDescent="0.25">
      <c r="A321" s="1"/>
      <c r="B321" s="3"/>
      <c r="C321" s="36" t="s">
        <v>475</v>
      </c>
      <c r="D321" s="45">
        <v>1485</v>
      </c>
      <c r="E321" s="51"/>
      <c r="F321" s="52"/>
      <c r="G321" s="70"/>
    </row>
    <row r="322" spans="1:7" s="6" customFormat="1" ht="15.75" customHeight="1" x14ac:dyDescent="0.25">
      <c r="A322" s="1"/>
      <c r="B322" s="3"/>
      <c r="C322" s="36" t="s">
        <v>43</v>
      </c>
      <c r="D322" s="45">
        <v>1622</v>
      </c>
      <c r="E322" s="51"/>
      <c r="F322" s="52"/>
      <c r="G322" s="70"/>
    </row>
    <row r="323" spans="1:7" s="6" customFormat="1" ht="15.75" customHeight="1" x14ac:dyDescent="0.25">
      <c r="A323" s="1"/>
      <c r="B323" s="3"/>
      <c r="C323" s="36" t="s">
        <v>476</v>
      </c>
      <c r="D323" s="45">
        <v>639</v>
      </c>
      <c r="E323" s="51"/>
      <c r="F323" s="52"/>
      <c r="G323" s="70"/>
    </row>
    <row r="324" spans="1:7" s="6" customFormat="1" ht="15.75" customHeight="1" x14ac:dyDescent="0.25">
      <c r="A324" s="1"/>
      <c r="B324" s="3"/>
      <c r="C324" s="36" t="s">
        <v>477</v>
      </c>
      <c r="D324" s="45">
        <v>748</v>
      </c>
      <c r="E324" s="51"/>
      <c r="F324" s="52"/>
      <c r="G324" s="70"/>
    </row>
    <row r="325" spans="1:7" s="6" customFormat="1" ht="15.75" customHeight="1" x14ac:dyDescent="0.25">
      <c r="A325" s="1"/>
      <c r="B325" s="3"/>
      <c r="C325" s="36" t="s">
        <v>478</v>
      </c>
      <c r="D325" s="45">
        <v>860</v>
      </c>
      <c r="E325" s="51"/>
      <c r="F325" s="52"/>
      <c r="G325" s="70"/>
    </row>
    <row r="326" spans="1:7" s="6" customFormat="1" ht="15.75" customHeight="1" x14ac:dyDescent="0.25">
      <c r="A326" s="1"/>
      <c r="B326" s="3"/>
      <c r="C326" s="36" t="s">
        <v>479</v>
      </c>
      <c r="D326" s="45">
        <v>1074</v>
      </c>
      <c r="E326" s="51"/>
      <c r="F326" s="52"/>
      <c r="G326" s="70"/>
    </row>
    <row r="327" spans="1:7" s="8" customFormat="1" ht="15.75" customHeight="1" x14ac:dyDescent="0.25">
      <c r="A327" s="1"/>
      <c r="B327" s="3"/>
      <c r="C327" s="36" t="s">
        <v>480</v>
      </c>
      <c r="D327" s="45">
        <v>579</v>
      </c>
      <c r="E327" s="51"/>
      <c r="F327" s="52"/>
      <c r="G327" s="70"/>
    </row>
    <row r="328" spans="1:7" s="3" customFormat="1" ht="15.75" customHeight="1" x14ac:dyDescent="0.25">
      <c r="A328" s="1"/>
      <c r="C328" s="36" t="s">
        <v>481</v>
      </c>
      <c r="D328" s="45">
        <v>250</v>
      </c>
      <c r="E328" s="51"/>
      <c r="F328" s="52"/>
      <c r="G328" s="70"/>
    </row>
    <row r="329" spans="1:7" s="3" customFormat="1" ht="15.75" customHeight="1" x14ac:dyDescent="0.25">
      <c r="A329" s="1"/>
      <c r="C329" s="36" t="s">
        <v>482</v>
      </c>
      <c r="D329" s="45">
        <v>661</v>
      </c>
      <c r="E329" s="51"/>
      <c r="F329" s="52"/>
      <c r="G329" s="70"/>
    </row>
    <row r="330" spans="1:7" s="6" customFormat="1" ht="15.75" customHeight="1" x14ac:dyDescent="0.25">
      <c r="A330" s="1"/>
      <c r="B330" s="3"/>
      <c r="C330" s="36" t="s">
        <v>483</v>
      </c>
      <c r="D330" s="45">
        <v>322</v>
      </c>
      <c r="E330" s="51"/>
      <c r="F330" s="52"/>
      <c r="G330" s="70"/>
    </row>
    <row r="331" spans="1:7" s="6" customFormat="1" ht="15.75" customHeight="1" x14ac:dyDescent="0.25">
      <c r="A331" s="1"/>
      <c r="B331" s="3"/>
      <c r="C331" s="36" t="s">
        <v>484</v>
      </c>
      <c r="D331" s="45">
        <v>473</v>
      </c>
      <c r="E331" s="51"/>
      <c r="F331" s="52"/>
      <c r="G331" s="70"/>
    </row>
    <row r="332" spans="1:7" s="6" customFormat="1" ht="15.75" customHeight="1" x14ac:dyDescent="0.25">
      <c r="A332" s="1"/>
      <c r="B332" s="3"/>
      <c r="C332" s="36" t="s">
        <v>485</v>
      </c>
      <c r="D332" s="45">
        <v>734</v>
      </c>
      <c r="E332" s="51"/>
      <c r="F332" s="52"/>
      <c r="G332" s="70"/>
    </row>
    <row r="333" spans="1:7" s="6" customFormat="1" ht="15.75" customHeight="1" x14ac:dyDescent="0.25">
      <c r="A333" s="1"/>
      <c r="B333" s="3"/>
      <c r="C333" s="36" t="s">
        <v>87</v>
      </c>
      <c r="D333" s="45">
        <v>297</v>
      </c>
      <c r="E333" s="51"/>
      <c r="F333" s="52"/>
      <c r="G333" s="70"/>
    </row>
    <row r="334" spans="1:7" s="6" customFormat="1" ht="15.75" customHeight="1" x14ac:dyDescent="0.25">
      <c r="A334" s="1"/>
      <c r="B334" s="3"/>
      <c r="C334" s="36" t="s">
        <v>486</v>
      </c>
      <c r="D334" s="45">
        <v>1271</v>
      </c>
      <c r="E334" s="51"/>
      <c r="F334" s="52"/>
      <c r="G334" s="70"/>
    </row>
    <row r="335" spans="1:7" s="6" customFormat="1" ht="15.75" customHeight="1" x14ac:dyDescent="0.25">
      <c r="A335" s="1"/>
      <c r="B335" s="3"/>
      <c r="C335" s="36" t="s">
        <v>487</v>
      </c>
      <c r="D335" s="45">
        <v>641</v>
      </c>
      <c r="E335" s="51"/>
      <c r="F335" s="52"/>
      <c r="G335" s="70"/>
    </row>
    <row r="336" spans="1:7" s="6" customFormat="1" ht="15.75" customHeight="1" x14ac:dyDescent="0.25">
      <c r="A336" s="1"/>
      <c r="B336" s="3"/>
      <c r="C336" s="36" t="s">
        <v>488</v>
      </c>
      <c r="D336" s="45">
        <v>2411</v>
      </c>
      <c r="E336" s="51"/>
      <c r="F336" s="52"/>
      <c r="G336" s="70"/>
    </row>
    <row r="337" spans="1:7" s="6" customFormat="1" ht="15.75" customHeight="1" x14ac:dyDescent="0.25">
      <c r="A337" s="1"/>
      <c r="B337" s="3"/>
      <c r="C337" s="36" t="s">
        <v>189</v>
      </c>
      <c r="D337" s="45">
        <v>1364</v>
      </c>
      <c r="E337" s="51"/>
      <c r="F337" s="52"/>
      <c r="G337" s="70"/>
    </row>
    <row r="338" spans="1:7" s="6" customFormat="1" ht="15.75" customHeight="1" x14ac:dyDescent="0.25">
      <c r="A338" s="1"/>
      <c r="B338" s="3"/>
      <c r="C338" s="36" t="s">
        <v>70</v>
      </c>
      <c r="D338" s="45">
        <v>825</v>
      </c>
      <c r="E338" s="51"/>
      <c r="F338" s="52"/>
      <c r="G338" s="70"/>
    </row>
    <row r="339" spans="1:7" s="6" customFormat="1" ht="15.75" customHeight="1" x14ac:dyDescent="0.25">
      <c r="A339" s="1"/>
      <c r="B339" s="3"/>
      <c r="C339" s="36" t="s">
        <v>71</v>
      </c>
      <c r="D339" s="45">
        <v>1381</v>
      </c>
      <c r="E339" s="51"/>
      <c r="F339" s="52"/>
      <c r="G339" s="70"/>
    </row>
    <row r="340" spans="1:7" s="6" customFormat="1" ht="15.75" customHeight="1" x14ac:dyDescent="0.25">
      <c r="A340" s="1"/>
      <c r="B340" s="3"/>
      <c r="C340" s="36" t="s">
        <v>489</v>
      </c>
      <c r="D340" s="45">
        <v>860</v>
      </c>
      <c r="E340" s="51"/>
      <c r="F340" s="52"/>
      <c r="G340" s="70"/>
    </row>
    <row r="341" spans="1:7" s="6" customFormat="1" ht="15.75" customHeight="1" x14ac:dyDescent="0.25">
      <c r="A341" s="1"/>
      <c r="B341" s="3"/>
      <c r="C341" s="36" t="s">
        <v>490</v>
      </c>
      <c r="D341" s="45">
        <v>569</v>
      </c>
      <c r="E341" s="51"/>
      <c r="F341" s="52"/>
      <c r="G341" s="70"/>
    </row>
    <row r="342" spans="1:7" s="6" customFormat="1" ht="15.75" customHeight="1" x14ac:dyDescent="0.25">
      <c r="A342" s="1"/>
      <c r="B342" s="3"/>
      <c r="C342" s="36" t="s">
        <v>104</v>
      </c>
      <c r="D342" s="45">
        <v>522</v>
      </c>
      <c r="E342" s="51"/>
      <c r="F342" s="52"/>
      <c r="G342" s="70"/>
    </row>
    <row r="343" spans="1:7" s="6" customFormat="1" ht="15.75" customHeight="1" x14ac:dyDescent="0.25">
      <c r="A343" s="1"/>
      <c r="B343" s="3"/>
      <c r="C343" s="36" t="s">
        <v>141</v>
      </c>
      <c r="D343" s="45">
        <v>429</v>
      </c>
      <c r="E343" s="51"/>
      <c r="F343" s="52"/>
      <c r="G343" s="70"/>
    </row>
    <row r="344" spans="1:7" s="6" customFormat="1" ht="15.75" customHeight="1" x14ac:dyDescent="0.25">
      <c r="A344" s="1"/>
      <c r="B344" s="3"/>
      <c r="C344" s="36"/>
      <c r="D344" s="46"/>
      <c r="E344" s="51"/>
      <c r="F344" s="52"/>
      <c r="G344" s="70"/>
    </row>
    <row r="345" spans="1:7" s="6" customFormat="1" ht="15.75" customHeight="1" x14ac:dyDescent="0.25">
      <c r="A345" s="1"/>
      <c r="B345" s="3"/>
      <c r="C345" s="35" t="s">
        <v>491</v>
      </c>
      <c r="D345" s="57">
        <f>SUM(D346:D353)</f>
        <v>9479</v>
      </c>
      <c r="E345" s="51"/>
      <c r="F345" s="52"/>
      <c r="G345" s="70"/>
    </row>
    <row r="346" spans="1:7" s="6" customFormat="1" ht="15.75" customHeight="1" x14ac:dyDescent="0.25">
      <c r="A346" s="1"/>
      <c r="B346" s="3"/>
      <c r="C346" s="36" t="s">
        <v>492</v>
      </c>
      <c r="D346" s="45">
        <v>1564</v>
      </c>
      <c r="E346" s="51"/>
      <c r="F346" s="52"/>
      <c r="G346" s="70"/>
    </row>
    <row r="347" spans="1:7" s="7" customFormat="1" ht="15.75" customHeight="1" x14ac:dyDescent="0.25">
      <c r="A347" s="1"/>
      <c r="B347" s="3"/>
      <c r="C347" s="36" t="s">
        <v>493</v>
      </c>
      <c r="D347" s="45">
        <v>1034</v>
      </c>
      <c r="E347" s="51"/>
      <c r="F347" s="52"/>
      <c r="G347" s="70"/>
    </row>
    <row r="348" spans="1:7" s="3" customFormat="1" ht="15.75" customHeight="1" x14ac:dyDescent="0.25">
      <c r="A348" s="1"/>
      <c r="C348" s="36" t="s">
        <v>494</v>
      </c>
      <c r="D348" s="45">
        <v>940</v>
      </c>
      <c r="E348" s="51"/>
      <c r="F348" s="52"/>
      <c r="G348" s="70"/>
    </row>
    <row r="349" spans="1:7" s="6" customFormat="1" ht="15.75" customHeight="1" x14ac:dyDescent="0.25">
      <c r="A349" s="1"/>
      <c r="B349" s="3"/>
      <c r="C349" s="36" t="s">
        <v>495</v>
      </c>
      <c r="D349" s="45">
        <v>1081</v>
      </c>
      <c r="E349" s="51"/>
      <c r="F349" s="52"/>
      <c r="G349" s="70"/>
    </row>
    <row r="350" spans="1:7" s="6" customFormat="1" ht="15.75" customHeight="1" x14ac:dyDescent="0.25">
      <c r="A350" s="1"/>
      <c r="B350" s="3"/>
      <c r="C350" s="36" t="s">
        <v>496</v>
      </c>
      <c r="D350" s="45">
        <v>802</v>
      </c>
      <c r="E350" s="51"/>
      <c r="F350" s="52"/>
      <c r="G350" s="70"/>
    </row>
    <row r="351" spans="1:7" s="6" customFormat="1" ht="15.75" customHeight="1" x14ac:dyDescent="0.25">
      <c r="A351" s="1"/>
      <c r="B351" s="3"/>
      <c r="C351" s="36" t="s">
        <v>2</v>
      </c>
      <c r="D351" s="45">
        <v>1332</v>
      </c>
      <c r="E351" s="51"/>
      <c r="F351" s="52"/>
      <c r="G351" s="70"/>
    </row>
    <row r="352" spans="1:7" s="6" customFormat="1" ht="15.75" customHeight="1" x14ac:dyDescent="0.25">
      <c r="A352" s="1"/>
      <c r="B352" s="3"/>
      <c r="C352" s="36" t="s">
        <v>497</v>
      </c>
      <c r="D352" s="45">
        <v>1896</v>
      </c>
      <c r="E352" s="51"/>
      <c r="F352" s="52"/>
      <c r="G352" s="70"/>
    </row>
    <row r="353" spans="1:7" s="6" customFormat="1" ht="15.75" customHeight="1" x14ac:dyDescent="0.25">
      <c r="A353" s="1"/>
      <c r="B353" s="3"/>
      <c r="C353" s="36" t="s">
        <v>313</v>
      </c>
      <c r="D353" s="45">
        <v>830</v>
      </c>
      <c r="E353" s="51"/>
      <c r="F353" s="52"/>
      <c r="G353" s="70"/>
    </row>
    <row r="354" spans="1:7" s="6" customFormat="1" ht="15.75" customHeight="1" x14ac:dyDescent="0.25">
      <c r="A354" s="1"/>
      <c r="B354" s="3"/>
      <c r="C354" s="36"/>
      <c r="D354" s="46"/>
      <c r="E354" s="51"/>
      <c r="F354" s="52"/>
      <c r="G354" s="70"/>
    </row>
    <row r="355" spans="1:7" s="6" customFormat="1" ht="15.75" customHeight="1" x14ac:dyDescent="0.25">
      <c r="A355" s="1"/>
      <c r="B355" s="3"/>
      <c r="C355" s="35" t="s">
        <v>498</v>
      </c>
      <c r="D355" s="57">
        <f>SUM(D356:D369)</f>
        <v>18344</v>
      </c>
      <c r="E355" s="51"/>
      <c r="F355" s="52"/>
      <c r="G355" s="70"/>
    </row>
    <row r="356" spans="1:7" s="6" customFormat="1" ht="15.75" customHeight="1" x14ac:dyDescent="0.25">
      <c r="A356" s="1"/>
      <c r="B356" s="3"/>
      <c r="C356" s="36" t="s">
        <v>499</v>
      </c>
      <c r="D356" s="45">
        <v>2948</v>
      </c>
      <c r="E356" s="51"/>
      <c r="F356" s="52"/>
      <c r="G356" s="70"/>
    </row>
    <row r="357" spans="1:7" s="6" customFormat="1" ht="15.75" customHeight="1" x14ac:dyDescent="0.25">
      <c r="A357" s="1"/>
      <c r="B357" s="3"/>
      <c r="C357" s="36" t="s">
        <v>64</v>
      </c>
      <c r="D357" s="45">
        <v>1154</v>
      </c>
      <c r="E357" s="51"/>
      <c r="F357" s="52"/>
      <c r="G357" s="70"/>
    </row>
    <row r="358" spans="1:7" s="6" customFormat="1" ht="15.75" customHeight="1" x14ac:dyDescent="0.25">
      <c r="A358" s="1"/>
      <c r="B358" s="3"/>
      <c r="C358" s="36" t="s">
        <v>500</v>
      </c>
      <c r="D358" s="45">
        <v>1542</v>
      </c>
      <c r="E358" s="51"/>
      <c r="F358" s="52"/>
      <c r="G358" s="70"/>
    </row>
    <row r="359" spans="1:7" s="6" customFormat="1" ht="15.75" customHeight="1" x14ac:dyDescent="0.25">
      <c r="A359" s="1"/>
      <c r="B359" s="3"/>
      <c r="C359" s="36" t="s">
        <v>501</v>
      </c>
      <c r="D359" s="45">
        <v>2351</v>
      </c>
      <c r="E359" s="51"/>
      <c r="F359" s="52"/>
      <c r="G359" s="70"/>
    </row>
    <row r="360" spans="1:7" s="6" customFormat="1" ht="15.75" customHeight="1" x14ac:dyDescent="0.25">
      <c r="A360" s="1"/>
      <c r="B360" s="3"/>
      <c r="C360" s="36" t="s">
        <v>502</v>
      </c>
      <c r="D360" s="45">
        <v>1468</v>
      </c>
      <c r="E360" s="51"/>
      <c r="F360" s="52"/>
      <c r="G360" s="70"/>
    </row>
    <row r="361" spans="1:7" s="6" customFormat="1" ht="15.75" customHeight="1" x14ac:dyDescent="0.25">
      <c r="A361" s="1"/>
      <c r="B361" s="3"/>
      <c r="C361" s="36" t="s">
        <v>503</v>
      </c>
      <c r="D361" s="45">
        <v>766</v>
      </c>
      <c r="E361" s="51"/>
      <c r="F361" s="52"/>
      <c r="G361" s="70"/>
    </row>
    <row r="362" spans="1:7" s="6" customFormat="1" ht="15.75" customHeight="1" x14ac:dyDescent="0.25">
      <c r="A362" s="1"/>
      <c r="B362" s="3"/>
      <c r="C362" s="36" t="s">
        <v>504</v>
      </c>
      <c r="D362" s="45">
        <v>495</v>
      </c>
      <c r="E362" s="51"/>
      <c r="F362" s="52"/>
      <c r="G362" s="70"/>
    </row>
    <row r="363" spans="1:7" s="6" customFormat="1" ht="15.75" customHeight="1" x14ac:dyDescent="0.25">
      <c r="A363" s="1"/>
      <c r="B363" s="3"/>
      <c r="C363" s="36" t="s">
        <v>505</v>
      </c>
      <c r="D363" s="45">
        <v>1239</v>
      </c>
      <c r="E363" s="51"/>
      <c r="F363" s="52"/>
      <c r="G363" s="70"/>
    </row>
    <row r="364" spans="1:7" s="6" customFormat="1" ht="15.75" customHeight="1" x14ac:dyDescent="0.25">
      <c r="A364" s="1"/>
      <c r="B364" s="3"/>
      <c r="C364" s="36" t="s">
        <v>506</v>
      </c>
      <c r="D364" s="45">
        <v>855</v>
      </c>
      <c r="E364" s="51"/>
      <c r="F364" s="52"/>
      <c r="G364" s="70"/>
    </row>
    <row r="365" spans="1:7" s="6" customFormat="1" ht="15.75" customHeight="1" x14ac:dyDescent="0.25">
      <c r="A365" s="1"/>
      <c r="B365" s="3"/>
      <c r="C365" s="36" t="s">
        <v>2</v>
      </c>
      <c r="D365" s="45">
        <v>1334</v>
      </c>
      <c r="E365" s="51"/>
      <c r="F365" s="52"/>
      <c r="G365" s="70"/>
    </row>
    <row r="366" spans="1:7" s="6" customFormat="1" ht="15.75" customHeight="1" x14ac:dyDescent="0.25">
      <c r="A366" s="1"/>
      <c r="B366" s="3"/>
      <c r="C366" s="36" t="s">
        <v>132</v>
      </c>
      <c r="D366" s="45">
        <v>775</v>
      </c>
      <c r="E366" s="51"/>
      <c r="F366" s="52"/>
      <c r="G366" s="70"/>
    </row>
    <row r="367" spans="1:7" s="7" customFormat="1" ht="15.75" customHeight="1" x14ac:dyDescent="0.25">
      <c r="A367" s="1"/>
      <c r="B367" s="3"/>
      <c r="C367" s="36" t="s">
        <v>507</v>
      </c>
      <c r="D367" s="45">
        <v>1249</v>
      </c>
      <c r="E367" s="51"/>
      <c r="F367" s="52"/>
      <c r="G367" s="70"/>
    </row>
    <row r="368" spans="1:7" s="3" customFormat="1" ht="15.75" customHeight="1" x14ac:dyDescent="0.25">
      <c r="A368" s="1"/>
      <c r="C368" s="36" t="s">
        <v>17</v>
      </c>
      <c r="D368" s="45">
        <v>1093</v>
      </c>
      <c r="E368" s="51"/>
      <c r="F368" s="52"/>
      <c r="G368" s="70"/>
    </row>
    <row r="369" spans="1:7" s="6" customFormat="1" ht="15.75" customHeight="1" x14ac:dyDescent="0.25">
      <c r="A369" s="1"/>
      <c r="B369" s="3"/>
      <c r="C369" s="36" t="s">
        <v>508</v>
      </c>
      <c r="D369" s="45">
        <v>1075</v>
      </c>
      <c r="E369" s="51"/>
      <c r="F369" s="52"/>
      <c r="G369" s="70"/>
    </row>
    <row r="370" spans="1:7" s="6" customFormat="1" ht="15.75" customHeight="1" x14ac:dyDescent="0.25">
      <c r="A370" s="1"/>
      <c r="B370" s="3"/>
      <c r="C370" s="36"/>
      <c r="D370" s="45"/>
      <c r="E370" s="51"/>
      <c r="F370" s="52"/>
      <c r="G370" s="70"/>
    </row>
    <row r="371" spans="1:7" s="6" customFormat="1" ht="15.75" customHeight="1" x14ac:dyDescent="0.25">
      <c r="A371" s="1"/>
      <c r="B371" s="3"/>
      <c r="C371" s="35" t="s">
        <v>1956</v>
      </c>
      <c r="D371" s="57">
        <f>SUM(D372:D386)</f>
        <v>19874</v>
      </c>
      <c r="E371" s="51"/>
      <c r="F371" s="52"/>
      <c r="G371" s="70"/>
    </row>
    <row r="372" spans="1:7" s="6" customFormat="1" ht="15.75" customHeight="1" x14ac:dyDescent="0.25">
      <c r="A372" s="1"/>
      <c r="B372" s="3"/>
      <c r="C372" s="36" t="s">
        <v>509</v>
      </c>
      <c r="D372" s="45">
        <v>1230</v>
      </c>
      <c r="E372" s="51"/>
      <c r="F372" s="52"/>
      <c r="G372" s="70"/>
    </row>
    <row r="373" spans="1:7" s="6" customFormat="1" ht="15.75" customHeight="1" x14ac:dyDescent="0.25">
      <c r="A373" s="1"/>
      <c r="B373" s="3"/>
      <c r="C373" s="36" t="s">
        <v>510</v>
      </c>
      <c r="D373" s="45">
        <v>690</v>
      </c>
      <c r="E373" s="51"/>
      <c r="F373" s="52"/>
      <c r="G373" s="70"/>
    </row>
    <row r="374" spans="1:7" s="6" customFormat="1" ht="15.75" customHeight="1" x14ac:dyDescent="0.25">
      <c r="A374" s="1"/>
      <c r="B374" s="3"/>
      <c r="C374" s="36" t="s">
        <v>105</v>
      </c>
      <c r="D374" s="45">
        <v>1020</v>
      </c>
      <c r="E374" s="51"/>
      <c r="F374" s="52"/>
      <c r="G374" s="70"/>
    </row>
    <row r="375" spans="1:7" s="6" customFormat="1" ht="15.75" customHeight="1" x14ac:dyDescent="0.25">
      <c r="A375" s="1"/>
      <c r="B375" s="3"/>
      <c r="C375" s="36" t="s">
        <v>511</v>
      </c>
      <c r="D375" s="45">
        <v>545</v>
      </c>
      <c r="E375" s="51"/>
      <c r="F375" s="52"/>
      <c r="G375" s="70"/>
    </row>
    <row r="376" spans="1:7" s="8" customFormat="1" ht="15.75" customHeight="1" x14ac:dyDescent="0.25">
      <c r="A376" s="1"/>
      <c r="B376" s="3"/>
      <c r="C376" s="36" t="s">
        <v>512</v>
      </c>
      <c r="D376" s="45">
        <v>1189</v>
      </c>
      <c r="E376" s="51"/>
      <c r="F376" s="52"/>
      <c r="G376" s="70"/>
    </row>
    <row r="377" spans="1:7" s="6" customFormat="1" ht="15.75" customHeight="1" x14ac:dyDescent="0.25">
      <c r="A377" s="1"/>
      <c r="B377" s="3"/>
      <c r="C377" s="36" t="s">
        <v>513</v>
      </c>
      <c r="D377" s="45">
        <v>665</v>
      </c>
      <c r="E377" s="51"/>
      <c r="F377" s="52"/>
      <c r="G377" s="70"/>
    </row>
    <row r="378" spans="1:7" s="6" customFormat="1" ht="15.75" customHeight="1" x14ac:dyDescent="0.25">
      <c r="A378" s="1"/>
      <c r="B378" s="3"/>
      <c r="C378" s="36" t="s">
        <v>514</v>
      </c>
      <c r="D378" s="45">
        <v>2131</v>
      </c>
      <c r="E378" s="51"/>
      <c r="F378" s="52"/>
      <c r="G378" s="70"/>
    </row>
    <row r="379" spans="1:7" s="6" customFormat="1" ht="15.75" customHeight="1" x14ac:dyDescent="0.25">
      <c r="A379" s="1"/>
      <c r="B379" s="3"/>
      <c r="C379" s="36" t="s">
        <v>515</v>
      </c>
      <c r="D379" s="45">
        <v>1075</v>
      </c>
      <c r="E379" s="51"/>
      <c r="F379" s="52"/>
      <c r="G379" s="70"/>
    </row>
    <row r="380" spans="1:7" s="6" customFormat="1" ht="15.75" customHeight="1" x14ac:dyDescent="0.25">
      <c r="A380" s="1"/>
      <c r="B380" s="3"/>
      <c r="C380" s="36" t="s">
        <v>267</v>
      </c>
      <c r="D380" s="45">
        <v>1008</v>
      </c>
      <c r="E380" s="51"/>
      <c r="F380" s="52"/>
      <c r="G380" s="70"/>
    </row>
    <row r="381" spans="1:7" s="6" customFormat="1" ht="15.75" customHeight="1" x14ac:dyDescent="0.25">
      <c r="A381" s="1"/>
      <c r="B381" s="3"/>
      <c r="C381" s="36" t="s">
        <v>51</v>
      </c>
      <c r="D381" s="45">
        <v>1757</v>
      </c>
      <c r="E381" s="51"/>
      <c r="F381" s="52"/>
      <c r="G381" s="70"/>
    </row>
    <row r="382" spans="1:7" s="6" customFormat="1" ht="15.75" customHeight="1" x14ac:dyDescent="0.25">
      <c r="A382" s="1"/>
      <c r="B382" s="3"/>
      <c r="C382" s="36" t="s">
        <v>2</v>
      </c>
      <c r="D382" s="45">
        <v>2732</v>
      </c>
      <c r="E382" s="51"/>
      <c r="F382" s="52"/>
      <c r="G382" s="70"/>
    </row>
    <row r="383" spans="1:7" s="6" customFormat="1" ht="15.75" customHeight="1" x14ac:dyDescent="0.25">
      <c r="A383" s="1"/>
      <c r="B383" s="3"/>
      <c r="C383" s="36" t="s">
        <v>4</v>
      </c>
      <c r="D383" s="45">
        <v>2798</v>
      </c>
      <c r="E383" s="51"/>
      <c r="F383" s="52"/>
      <c r="G383" s="70"/>
    </row>
    <row r="384" spans="1:7" s="6" customFormat="1" ht="15.75" customHeight="1" x14ac:dyDescent="0.25">
      <c r="A384" s="1"/>
      <c r="B384" s="3"/>
      <c r="C384" s="36" t="s">
        <v>10</v>
      </c>
      <c r="D384" s="45">
        <v>1645</v>
      </c>
      <c r="E384" s="51"/>
      <c r="F384" s="52"/>
      <c r="G384" s="70"/>
    </row>
    <row r="385" spans="1:7" s="6" customFormat="1" ht="15.75" customHeight="1" x14ac:dyDescent="0.25">
      <c r="A385" s="1"/>
      <c r="B385" s="3"/>
      <c r="C385" s="36" t="s">
        <v>13</v>
      </c>
      <c r="D385" s="45">
        <v>953</v>
      </c>
      <c r="E385" s="51"/>
      <c r="F385" s="52"/>
      <c r="G385" s="70"/>
    </row>
    <row r="386" spans="1:7" s="6" customFormat="1" ht="15.75" customHeight="1" x14ac:dyDescent="0.25">
      <c r="A386" s="1"/>
      <c r="B386" s="3"/>
      <c r="C386" s="36" t="s">
        <v>359</v>
      </c>
      <c r="D386" s="45">
        <v>436</v>
      </c>
      <c r="E386" s="51"/>
      <c r="F386" s="52"/>
      <c r="G386" s="70"/>
    </row>
    <row r="387" spans="1:7" s="6" customFormat="1" ht="15.75" customHeight="1" x14ac:dyDescent="0.25">
      <c r="A387" s="1"/>
      <c r="B387" s="3"/>
      <c r="C387" s="36"/>
      <c r="D387" s="46"/>
      <c r="E387" s="51"/>
      <c r="F387" s="52"/>
      <c r="G387" s="70"/>
    </row>
    <row r="388" spans="1:7" s="6" customFormat="1" ht="15.75" customHeight="1" x14ac:dyDescent="0.25">
      <c r="A388" s="1"/>
      <c r="B388" s="3"/>
      <c r="C388" s="35" t="s">
        <v>516</v>
      </c>
      <c r="D388" s="57">
        <f>SUM(D389:D405)</f>
        <v>20245</v>
      </c>
      <c r="E388" s="51"/>
      <c r="F388" s="52"/>
      <c r="G388" s="70"/>
    </row>
    <row r="389" spans="1:7" s="6" customFormat="1" ht="15.75" customHeight="1" x14ac:dyDescent="0.25">
      <c r="A389" s="1"/>
      <c r="B389" s="3"/>
      <c r="C389" s="36" t="s">
        <v>517</v>
      </c>
      <c r="D389" s="45">
        <v>1846</v>
      </c>
      <c r="E389" s="51"/>
      <c r="F389" s="52"/>
      <c r="G389" s="70"/>
    </row>
    <row r="390" spans="1:7" s="6" customFormat="1" ht="15.75" customHeight="1" x14ac:dyDescent="0.25">
      <c r="A390" s="1"/>
      <c r="B390" s="3"/>
      <c r="C390" s="36" t="s">
        <v>518</v>
      </c>
      <c r="D390" s="45">
        <v>1112</v>
      </c>
      <c r="E390" s="51"/>
      <c r="F390" s="52"/>
      <c r="G390" s="70"/>
    </row>
    <row r="391" spans="1:7" s="6" customFormat="1" ht="15.75" customHeight="1" x14ac:dyDescent="0.25">
      <c r="A391" s="1"/>
      <c r="B391" s="3"/>
      <c r="C391" s="36" t="s">
        <v>519</v>
      </c>
      <c r="D391" s="45">
        <v>426</v>
      </c>
      <c r="E391" s="51"/>
      <c r="F391" s="52"/>
      <c r="G391" s="70"/>
    </row>
    <row r="392" spans="1:7" s="6" customFormat="1" ht="15.75" customHeight="1" x14ac:dyDescent="0.25">
      <c r="A392" s="1"/>
      <c r="B392" s="3"/>
      <c r="C392" s="36" t="s">
        <v>18</v>
      </c>
      <c r="D392" s="45">
        <v>1690</v>
      </c>
      <c r="E392" s="51"/>
      <c r="F392" s="52"/>
      <c r="G392" s="70"/>
    </row>
    <row r="393" spans="1:7" s="6" customFormat="1" ht="15.75" customHeight="1" x14ac:dyDescent="0.25">
      <c r="A393" s="1"/>
      <c r="B393" s="3"/>
      <c r="C393" s="36" t="s">
        <v>356</v>
      </c>
      <c r="D393" s="45">
        <v>810</v>
      </c>
      <c r="E393" s="51"/>
      <c r="F393" s="52"/>
      <c r="G393" s="70"/>
    </row>
    <row r="394" spans="1:7" s="6" customFormat="1" ht="15.75" customHeight="1" x14ac:dyDescent="0.25">
      <c r="A394" s="1"/>
      <c r="B394" s="3"/>
      <c r="C394" s="36" t="s">
        <v>520</v>
      </c>
      <c r="D394" s="45">
        <v>874</v>
      </c>
      <c r="E394" s="51"/>
      <c r="F394" s="52"/>
      <c r="G394" s="70"/>
    </row>
    <row r="395" spans="1:7" s="6" customFormat="1" ht="15.75" customHeight="1" x14ac:dyDescent="0.25">
      <c r="A395" s="1"/>
      <c r="B395" s="3"/>
      <c r="C395" s="36" t="s">
        <v>521</v>
      </c>
      <c r="D395" s="45">
        <v>1284</v>
      </c>
      <c r="E395" s="51"/>
      <c r="F395" s="52"/>
      <c r="G395" s="70"/>
    </row>
    <row r="396" spans="1:7" s="6" customFormat="1" ht="15.75" customHeight="1" x14ac:dyDescent="0.25">
      <c r="A396" s="1"/>
      <c r="B396" s="3"/>
      <c r="C396" s="36" t="s">
        <v>522</v>
      </c>
      <c r="D396" s="45">
        <v>1196</v>
      </c>
      <c r="E396" s="51"/>
      <c r="F396" s="52"/>
      <c r="G396" s="70"/>
    </row>
    <row r="397" spans="1:7" s="6" customFormat="1" ht="15.75" customHeight="1" x14ac:dyDescent="0.25">
      <c r="A397" s="1"/>
      <c r="B397" s="3"/>
      <c r="C397" s="36" t="s">
        <v>2</v>
      </c>
      <c r="D397" s="45">
        <v>3622</v>
      </c>
      <c r="E397" s="51"/>
      <c r="F397" s="52"/>
      <c r="G397" s="70"/>
    </row>
    <row r="398" spans="1:7" s="6" customFormat="1" ht="15.75" customHeight="1" x14ac:dyDescent="0.25">
      <c r="A398" s="1"/>
      <c r="B398" s="3"/>
      <c r="C398" s="36" t="s">
        <v>523</v>
      </c>
      <c r="D398" s="45">
        <v>1554</v>
      </c>
      <c r="E398" s="51"/>
      <c r="F398" s="52"/>
      <c r="G398" s="70"/>
    </row>
    <row r="399" spans="1:7" s="6" customFormat="1" ht="15.75" customHeight="1" x14ac:dyDescent="0.25">
      <c r="A399" s="1"/>
      <c r="B399" s="3"/>
      <c r="C399" s="36" t="s">
        <v>8</v>
      </c>
      <c r="D399" s="45">
        <v>1318</v>
      </c>
      <c r="E399" s="51"/>
      <c r="F399" s="52"/>
      <c r="G399" s="70"/>
    </row>
    <row r="400" spans="1:7" s="6" customFormat="1" ht="15.75" customHeight="1" x14ac:dyDescent="0.25">
      <c r="A400" s="1"/>
      <c r="B400" s="3"/>
      <c r="C400" s="36" t="s">
        <v>4</v>
      </c>
      <c r="D400" s="45">
        <v>528</v>
      </c>
      <c r="E400" s="51"/>
      <c r="F400" s="52"/>
      <c r="G400" s="70"/>
    </row>
    <row r="401" spans="1:7" s="6" customFormat="1" ht="15.75" customHeight="1" x14ac:dyDescent="0.25">
      <c r="A401" s="1"/>
      <c r="B401" s="3"/>
      <c r="C401" s="36" t="s">
        <v>99</v>
      </c>
      <c r="D401" s="45">
        <v>644</v>
      </c>
      <c r="E401" s="51"/>
      <c r="F401" s="52"/>
      <c r="G401" s="70"/>
    </row>
    <row r="402" spans="1:7" s="6" customFormat="1" ht="15.75" customHeight="1" x14ac:dyDescent="0.25">
      <c r="A402" s="1"/>
      <c r="B402" s="3"/>
      <c r="C402" s="36" t="s">
        <v>15</v>
      </c>
      <c r="D402" s="45">
        <v>892</v>
      </c>
      <c r="E402" s="51"/>
      <c r="F402" s="52"/>
      <c r="G402" s="70"/>
    </row>
    <row r="403" spans="1:7" s="6" customFormat="1" ht="15.75" customHeight="1" x14ac:dyDescent="0.25">
      <c r="A403" s="1"/>
      <c r="B403" s="3"/>
      <c r="C403" s="36" t="s">
        <v>524</v>
      </c>
      <c r="D403" s="45">
        <v>1209</v>
      </c>
      <c r="E403" s="51"/>
      <c r="F403" s="52"/>
      <c r="G403" s="70"/>
    </row>
    <row r="404" spans="1:7" s="6" customFormat="1" ht="15.75" customHeight="1" x14ac:dyDescent="0.25">
      <c r="A404" s="1"/>
      <c r="B404" s="3"/>
      <c r="C404" s="36" t="s">
        <v>525</v>
      </c>
      <c r="D404" s="45">
        <v>1035</v>
      </c>
      <c r="E404" s="51"/>
      <c r="F404" s="52"/>
      <c r="G404" s="70"/>
    </row>
    <row r="405" spans="1:7" s="6" customFormat="1" ht="15.75" customHeight="1" x14ac:dyDescent="0.25">
      <c r="A405" s="1"/>
      <c r="B405" s="3"/>
      <c r="C405" s="36" t="s">
        <v>526</v>
      </c>
      <c r="D405" s="45">
        <v>205</v>
      </c>
      <c r="E405" s="51"/>
      <c r="F405" s="52"/>
      <c r="G405" s="70"/>
    </row>
    <row r="406" spans="1:7" s="6" customFormat="1" ht="15.75" customHeight="1" x14ac:dyDescent="0.25">
      <c r="A406" s="1"/>
      <c r="B406" s="3"/>
      <c r="C406" s="36"/>
      <c r="D406" s="45"/>
      <c r="E406" s="51"/>
      <c r="F406" s="52"/>
      <c r="G406" s="70"/>
    </row>
    <row r="407" spans="1:7" s="6" customFormat="1" ht="15.75" customHeight="1" x14ac:dyDescent="0.25">
      <c r="A407" s="1"/>
      <c r="B407" s="3"/>
      <c r="C407" s="35" t="s">
        <v>527</v>
      </c>
      <c r="D407" s="57">
        <f>SUM(D408:D419)</f>
        <v>52492</v>
      </c>
      <c r="E407" s="51"/>
      <c r="F407" s="1"/>
      <c r="G407" s="70"/>
    </row>
    <row r="408" spans="1:7" s="6" customFormat="1" ht="15.75" customHeight="1" x14ac:dyDescent="0.25">
      <c r="A408" s="1"/>
      <c r="B408" s="3"/>
      <c r="C408" s="36" t="s">
        <v>528</v>
      </c>
      <c r="D408" s="45">
        <v>3870</v>
      </c>
      <c r="E408" s="51"/>
      <c r="F408" s="2"/>
      <c r="G408" s="71"/>
    </row>
    <row r="409" spans="1:7" s="6" customFormat="1" ht="15.75" customHeight="1" x14ac:dyDescent="0.25">
      <c r="A409" s="1"/>
      <c r="B409" s="3"/>
      <c r="C409" s="36" t="s">
        <v>1957</v>
      </c>
      <c r="D409" s="45">
        <v>5107</v>
      </c>
      <c r="E409" s="51"/>
      <c r="F409" s="53"/>
      <c r="G409" s="71"/>
    </row>
    <row r="410" spans="1:7" s="6" customFormat="1" ht="15.75" customHeight="1" x14ac:dyDescent="0.25">
      <c r="A410" s="1"/>
      <c r="B410" s="3"/>
      <c r="C410" s="36" t="s">
        <v>529</v>
      </c>
      <c r="D410" s="45">
        <v>1800</v>
      </c>
      <c r="E410" s="51"/>
      <c r="F410" s="53"/>
      <c r="G410" s="71"/>
    </row>
    <row r="411" spans="1:7" s="6" customFormat="1" ht="15.75" customHeight="1" x14ac:dyDescent="0.25">
      <c r="A411" s="1"/>
      <c r="B411" s="3"/>
      <c r="C411" s="36" t="s">
        <v>530</v>
      </c>
      <c r="D411" s="45">
        <v>5130</v>
      </c>
      <c r="E411" s="51"/>
      <c r="F411" s="2"/>
      <c r="G411" s="71"/>
    </row>
    <row r="412" spans="1:7" s="6" customFormat="1" ht="15.75" customHeight="1" x14ac:dyDescent="0.25">
      <c r="A412" s="1"/>
      <c r="B412" s="3"/>
      <c r="C412" s="36" t="s">
        <v>38</v>
      </c>
      <c r="D412" s="45">
        <v>2386</v>
      </c>
      <c r="E412" s="51"/>
      <c r="F412" s="2"/>
      <c r="G412" s="71"/>
    </row>
    <row r="413" spans="1:7" s="6" customFormat="1" ht="15.75" customHeight="1" x14ac:dyDescent="0.25">
      <c r="A413" s="1"/>
      <c r="B413" s="3"/>
      <c r="C413" s="36" t="s">
        <v>531</v>
      </c>
      <c r="D413" s="45">
        <v>4861</v>
      </c>
      <c r="E413" s="51"/>
      <c r="F413" s="2"/>
      <c r="G413" s="71"/>
    </row>
    <row r="414" spans="1:7" s="6" customFormat="1" ht="15.75" customHeight="1" x14ac:dyDescent="0.25">
      <c r="A414" s="1"/>
      <c r="B414" s="3"/>
      <c r="C414" s="36" t="s">
        <v>2</v>
      </c>
      <c r="D414" s="45">
        <v>2976</v>
      </c>
      <c r="E414" s="51"/>
      <c r="F414" s="2"/>
      <c r="G414" s="71"/>
    </row>
    <row r="415" spans="1:7" s="6" customFormat="1" ht="15.75" customHeight="1" x14ac:dyDescent="0.25">
      <c r="A415" s="1"/>
      <c r="B415" s="3"/>
      <c r="C415" s="36" t="s">
        <v>532</v>
      </c>
      <c r="D415" s="45">
        <v>5127</v>
      </c>
      <c r="E415" s="51"/>
      <c r="F415" s="2"/>
      <c r="G415" s="71"/>
    </row>
    <row r="416" spans="1:7" s="6" customFormat="1" ht="15.75" customHeight="1" x14ac:dyDescent="0.25">
      <c r="A416" s="1"/>
      <c r="B416" s="3"/>
      <c r="C416" s="36" t="s">
        <v>1958</v>
      </c>
      <c r="D416" s="45">
        <v>6202</v>
      </c>
      <c r="E416" s="51"/>
      <c r="F416" s="2"/>
      <c r="G416" s="71"/>
    </row>
    <row r="417" spans="1:7" s="6" customFormat="1" ht="15.75" customHeight="1" x14ac:dyDescent="0.25">
      <c r="A417" s="1"/>
      <c r="B417" s="3"/>
      <c r="C417" s="36" t="s">
        <v>533</v>
      </c>
      <c r="D417" s="45">
        <v>3325</v>
      </c>
      <c r="E417" s="51"/>
      <c r="F417" s="2"/>
      <c r="G417" s="71"/>
    </row>
    <row r="418" spans="1:7" s="6" customFormat="1" ht="15.75" customHeight="1" x14ac:dyDescent="0.25">
      <c r="A418" s="1"/>
      <c r="B418" s="3"/>
      <c r="C418" s="36" t="s">
        <v>534</v>
      </c>
      <c r="D418" s="45">
        <v>7911</v>
      </c>
      <c r="E418" s="51"/>
      <c r="F418" s="2"/>
      <c r="G418" s="71"/>
    </row>
    <row r="419" spans="1:7" s="6" customFormat="1" ht="15.75" customHeight="1" x14ac:dyDescent="0.25">
      <c r="A419" s="1"/>
      <c r="B419" s="3"/>
      <c r="C419" s="36" t="s">
        <v>535</v>
      </c>
      <c r="D419" s="45">
        <v>3797</v>
      </c>
      <c r="E419" s="51"/>
      <c r="F419" s="2"/>
      <c r="G419" s="71"/>
    </row>
    <row r="420" spans="1:7" s="6" customFormat="1" ht="15.75" customHeight="1" x14ac:dyDescent="0.25">
      <c r="A420" s="1"/>
      <c r="B420" s="3"/>
      <c r="C420" s="36"/>
      <c r="D420" s="46"/>
      <c r="E420" s="51"/>
      <c r="F420" s="2"/>
      <c r="G420" s="71"/>
    </row>
    <row r="421" spans="1:7" s="6" customFormat="1" ht="15.75" customHeight="1" x14ac:dyDescent="0.25">
      <c r="A421" s="1"/>
      <c r="B421" s="3"/>
      <c r="C421" s="35" t="s">
        <v>536</v>
      </c>
      <c r="D421" s="57">
        <f>SUM(D422:D456)</f>
        <v>14889</v>
      </c>
      <c r="E421" s="51"/>
      <c r="F421" s="2"/>
      <c r="G421" s="71"/>
    </row>
    <row r="422" spans="1:7" s="6" customFormat="1" ht="15.75" customHeight="1" x14ac:dyDescent="0.25">
      <c r="A422" s="1"/>
      <c r="B422" s="3"/>
      <c r="C422" s="36" t="s">
        <v>537</v>
      </c>
      <c r="D422" s="45">
        <v>347</v>
      </c>
      <c r="E422" s="51"/>
      <c r="F422" s="2"/>
      <c r="G422" s="71"/>
    </row>
    <row r="423" spans="1:7" s="6" customFormat="1" ht="15.75" customHeight="1" x14ac:dyDescent="0.25">
      <c r="A423" s="1"/>
      <c r="B423" s="3"/>
      <c r="C423" s="36" t="s">
        <v>538</v>
      </c>
      <c r="D423" s="45">
        <v>193</v>
      </c>
      <c r="E423" s="51"/>
      <c r="F423" s="2"/>
      <c r="G423" s="71"/>
    </row>
    <row r="424" spans="1:7" s="6" customFormat="1" ht="15.75" customHeight="1" x14ac:dyDescent="0.25">
      <c r="A424" s="1"/>
      <c r="B424" s="3"/>
      <c r="C424" s="36" t="s">
        <v>539</v>
      </c>
      <c r="D424" s="45">
        <v>357</v>
      </c>
      <c r="E424" s="51"/>
      <c r="F424" s="2"/>
      <c r="G424" s="71"/>
    </row>
    <row r="425" spans="1:7" s="6" customFormat="1" ht="15.75" customHeight="1" x14ac:dyDescent="0.25">
      <c r="A425" s="1"/>
      <c r="B425" s="3"/>
      <c r="C425" s="36" t="s">
        <v>540</v>
      </c>
      <c r="D425" s="45">
        <v>180</v>
      </c>
      <c r="E425" s="51"/>
      <c r="F425" s="2"/>
      <c r="G425" s="71"/>
    </row>
    <row r="426" spans="1:7" s="6" customFormat="1" ht="15.75" customHeight="1" x14ac:dyDescent="0.25">
      <c r="A426" s="1"/>
      <c r="B426" s="3"/>
      <c r="C426" s="36" t="s">
        <v>541</v>
      </c>
      <c r="D426" s="45">
        <v>317</v>
      </c>
      <c r="E426" s="51"/>
      <c r="F426" s="2"/>
      <c r="G426" s="71"/>
    </row>
    <row r="427" spans="1:7" s="6" customFormat="1" ht="15.75" customHeight="1" x14ac:dyDescent="0.25">
      <c r="A427" s="1"/>
      <c r="B427" s="3"/>
      <c r="C427" s="36" t="s">
        <v>109</v>
      </c>
      <c r="D427" s="45">
        <v>547</v>
      </c>
      <c r="E427" s="51"/>
      <c r="F427" s="2"/>
      <c r="G427" s="71"/>
    </row>
    <row r="428" spans="1:7" s="6" customFormat="1" ht="15.75" customHeight="1" x14ac:dyDescent="0.25">
      <c r="A428" s="1"/>
      <c r="B428" s="3"/>
      <c r="C428" s="36" t="s">
        <v>542</v>
      </c>
      <c r="D428" s="45">
        <v>358</v>
      </c>
      <c r="E428" s="51"/>
      <c r="F428" s="2"/>
      <c r="G428" s="71"/>
    </row>
    <row r="429" spans="1:7" s="6" customFormat="1" ht="15.75" customHeight="1" x14ac:dyDescent="0.25">
      <c r="A429" s="1"/>
      <c r="B429" s="3"/>
      <c r="C429" s="36" t="s">
        <v>543</v>
      </c>
      <c r="D429" s="45">
        <v>143</v>
      </c>
      <c r="E429" s="51"/>
      <c r="F429" s="2"/>
      <c r="G429" s="71"/>
    </row>
    <row r="430" spans="1:7" s="6" customFormat="1" ht="15.75" customHeight="1" x14ac:dyDescent="0.25">
      <c r="A430" s="1"/>
      <c r="B430" s="3"/>
      <c r="C430" s="36" t="s">
        <v>544</v>
      </c>
      <c r="D430" s="45">
        <v>525</v>
      </c>
      <c r="E430" s="51"/>
      <c r="F430" s="2"/>
      <c r="G430" s="71"/>
    </row>
    <row r="431" spans="1:7" s="6" customFormat="1" ht="15.75" customHeight="1" x14ac:dyDescent="0.25">
      <c r="A431" s="1"/>
      <c r="B431" s="3"/>
      <c r="C431" s="36" t="s">
        <v>72</v>
      </c>
      <c r="D431" s="45">
        <v>348</v>
      </c>
      <c r="E431" s="51"/>
      <c r="F431" s="2"/>
      <c r="G431" s="71"/>
    </row>
    <row r="432" spans="1:7" s="6" customFormat="1" ht="15.75" customHeight="1" x14ac:dyDescent="0.25">
      <c r="A432" s="1"/>
      <c r="B432" s="3"/>
      <c r="C432" s="36" t="s">
        <v>545</v>
      </c>
      <c r="D432" s="45">
        <v>425</v>
      </c>
      <c r="E432" s="51"/>
      <c r="F432" s="2"/>
      <c r="G432" s="71"/>
    </row>
    <row r="433" spans="1:7" s="6" customFormat="1" ht="15.75" customHeight="1" x14ac:dyDescent="0.25">
      <c r="A433" s="1"/>
      <c r="B433" s="3"/>
      <c r="C433" s="36" t="s">
        <v>546</v>
      </c>
      <c r="D433" s="45">
        <v>264</v>
      </c>
      <c r="E433" s="51"/>
      <c r="F433" s="2"/>
      <c r="G433" s="71"/>
    </row>
    <row r="434" spans="1:7" s="6" customFormat="1" ht="15.75" customHeight="1" x14ac:dyDescent="0.25">
      <c r="A434" s="1"/>
      <c r="B434" s="3"/>
      <c r="C434" s="36" t="s">
        <v>547</v>
      </c>
      <c r="D434" s="45">
        <v>427</v>
      </c>
      <c r="E434" s="51"/>
      <c r="F434" s="2"/>
      <c r="G434" s="71"/>
    </row>
    <row r="435" spans="1:7" s="6" customFormat="1" ht="15.75" customHeight="1" x14ac:dyDescent="0.25">
      <c r="A435" s="1"/>
      <c r="B435" s="3"/>
      <c r="C435" s="36" t="s">
        <v>548</v>
      </c>
      <c r="D435" s="45">
        <v>595</v>
      </c>
      <c r="E435" s="51"/>
      <c r="F435" s="2"/>
      <c r="G435" s="71"/>
    </row>
    <row r="436" spans="1:7" s="6" customFormat="1" ht="15.75" customHeight="1" x14ac:dyDescent="0.25">
      <c r="A436" s="1"/>
      <c r="B436" s="3"/>
      <c r="C436" s="36" t="s">
        <v>549</v>
      </c>
      <c r="D436" s="45">
        <v>411</v>
      </c>
      <c r="E436" s="51"/>
      <c r="F436" s="2"/>
      <c r="G436" s="71"/>
    </row>
    <row r="437" spans="1:7" s="6" customFormat="1" ht="15.75" customHeight="1" x14ac:dyDescent="0.25">
      <c r="A437" s="1"/>
      <c r="B437" s="3"/>
      <c r="C437" s="36" t="s">
        <v>550</v>
      </c>
      <c r="D437" s="45">
        <v>226</v>
      </c>
      <c r="E437" s="51"/>
      <c r="F437" s="2"/>
      <c r="G437" s="71"/>
    </row>
    <row r="438" spans="1:7" s="6" customFormat="1" ht="15.75" customHeight="1" x14ac:dyDescent="0.25">
      <c r="A438" s="1"/>
      <c r="B438" s="3"/>
      <c r="C438" s="36" t="s">
        <v>551</v>
      </c>
      <c r="D438" s="45">
        <v>317</v>
      </c>
      <c r="E438" s="51"/>
      <c r="F438" s="2"/>
      <c r="G438" s="71"/>
    </row>
    <row r="439" spans="1:7" s="6" customFormat="1" ht="15.75" customHeight="1" x14ac:dyDescent="0.25">
      <c r="A439" s="1"/>
      <c r="B439" s="3"/>
      <c r="C439" s="36" t="s">
        <v>552</v>
      </c>
      <c r="D439" s="45">
        <v>231</v>
      </c>
      <c r="E439" s="51"/>
      <c r="F439" s="2"/>
      <c r="G439" s="71"/>
    </row>
    <row r="440" spans="1:7" s="6" customFormat="1" ht="15.75" customHeight="1" x14ac:dyDescent="0.25">
      <c r="A440" s="1"/>
      <c r="B440" s="3"/>
      <c r="C440" s="36" t="s">
        <v>553</v>
      </c>
      <c r="D440" s="45">
        <v>425</v>
      </c>
      <c r="E440" s="51"/>
      <c r="F440" s="2"/>
      <c r="G440" s="71"/>
    </row>
    <row r="441" spans="1:7" s="6" customFormat="1" ht="15.75" customHeight="1" x14ac:dyDescent="0.25">
      <c r="A441" s="1"/>
      <c r="B441" s="3"/>
      <c r="C441" s="36" t="s">
        <v>554</v>
      </c>
      <c r="D441" s="45">
        <v>470</v>
      </c>
      <c r="E441" s="51"/>
      <c r="F441" s="2"/>
      <c r="G441" s="71"/>
    </row>
    <row r="442" spans="1:7" s="6" customFormat="1" ht="15.75" customHeight="1" x14ac:dyDescent="0.25">
      <c r="A442" s="1"/>
      <c r="B442" s="3"/>
      <c r="C442" s="36" t="s">
        <v>555</v>
      </c>
      <c r="D442" s="45">
        <v>212</v>
      </c>
      <c r="E442" s="51"/>
      <c r="F442" s="2"/>
      <c r="G442" s="71"/>
    </row>
    <row r="443" spans="1:7" s="6" customFormat="1" ht="15.75" customHeight="1" x14ac:dyDescent="0.25">
      <c r="A443" s="1"/>
      <c r="B443" s="3"/>
      <c r="C443" s="36" t="s">
        <v>556</v>
      </c>
      <c r="D443" s="45">
        <v>487</v>
      </c>
      <c r="E443" s="51"/>
      <c r="F443" s="2"/>
      <c r="G443" s="71"/>
    </row>
    <row r="444" spans="1:7" s="6" customFormat="1" ht="15.75" customHeight="1" x14ac:dyDescent="0.25">
      <c r="A444" s="1"/>
      <c r="B444" s="3"/>
      <c r="C444" s="36" t="s">
        <v>557</v>
      </c>
      <c r="D444" s="45">
        <v>537</v>
      </c>
      <c r="E444" s="51"/>
      <c r="F444" s="2"/>
      <c r="G444" s="71"/>
    </row>
    <row r="445" spans="1:7" s="6" customFormat="1" ht="15.75" customHeight="1" x14ac:dyDescent="0.25">
      <c r="A445" s="1"/>
      <c r="B445" s="3"/>
      <c r="C445" s="36" t="s">
        <v>558</v>
      </c>
      <c r="D445" s="45">
        <v>678</v>
      </c>
      <c r="E445" s="51"/>
      <c r="F445" s="2"/>
      <c r="G445" s="71"/>
    </row>
    <row r="446" spans="1:7" s="6" customFormat="1" ht="15.75" customHeight="1" x14ac:dyDescent="0.25">
      <c r="A446" s="1"/>
      <c r="B446" s="3"/>
      <c r="C446" s="36" t="s">
        <v>559</v>
      </c>
      <c r="D446" s="45">
        <v>914</v>
      </c>
      <c r="E446" s="51"/>
      <c r="F446" s="2"/>
      <c r="G446" s="71"/>
    </row>
    <row r="447" spans="1:7" s="6" customFormat="1" ht="15.75" customHeight="1" x14ac:dyDescent="0.25">
      <c r="A447" s="1"/>
      <c r="B447" s="3"/>
      <c r="C447" s="36" t="s">
        <v>560</v>
      </c>
      <c r="D447" s="45">
        <v>228</v>
      </c>
      <c r="E447" s="51"/>
      <c r="F447" s="2"/>
      <c r="G447" s="71"/>
    </row>
    <row r="448" spans="1:7" s="6" customFormat="1" ht="15.75" customHeight="1" x14ac:dyDescent="0.25">
      <c r="A448" s="1"/>
      <c r="B448" s="3"/>
      <c r="C448" s="36" t="s">
        <v>561</v>
      </c>
      <c r="D448" s="45">
        <v>794</v>
      </c>
      <c r="E448" s="51"/>
      <c r="F448" s="2"/>
      <c r="G448" s="71"/>
    </row>
    <row r="449" spans="1:7" s="6" customFormat="1" ht="15.75" customHeight="1" x14ac:dyDescent="0.25">
      <c r="A449" s="1"/>
      <c r="B449" s="3"/>
      <c r="C449" s="36" t="s">
        <v>562</v>
      </c>
      <c r="D449" s="45">
        <v>345</v>
      </c>
      <c r="E449" s="51"/>
      <c r="F449" s="2"/>
      <c r="G449" s="71"/>
    </row>
    <row r="450" spans="1:7" s="6" customFormat="1" ht="15.75" customHeight="1" x14ac:dyDescent="0.25">
      <c r="A450" s="1"/>
      <c r="B450" s="3"/>
      <c r="C450" s="36" t="s">
        <v>563</v>
      </c>
      <c r="D450" s="45">
        <v>220</v>
      </c>
      <c r="E450" s="51"/>
      <c r="F450" s="2"/>
      <c r="G450" s="71"/>
    </row>
    <row r="451" spans="1:7" s="6" customFormat="1" ht="15.75" customHeight="1" x14ac:dyDescent="0.25">
      <c r="A451" s="1"/>
      <c r="B451" s="3"/>
      <c r="C451" s="36" t="s">
        <v>39</v>
      </c>
      <c r="D451" s="45">
        <v>519</v>
      </c>
      <c r="E451" s="51"/>
      <c r="F451" s="2"/>
      <c r="G451" s="71"/>
    </row>
    <row r="452" spans="1:7" s="6" customFormat="1" ht="15.75" customHeight="1" x14ac:dyDescent="0.25">
      <c r="A452" s="1"/>
      <c r="B452" s="3"/>
      <c r="C452" s="36" t="s">
        <v>564</v>
      </c>
      <c r="D452" s="45">
        <v>344</v>
      </c>
      <c r="E452" s="51"/>
      <c r="F452" s="2"/>
      <c r="G452" s="71"/>
    </row>
    <row r="453" spans="1:7" s="6" customFormat="1" ht="15.75" customHeight="1" x14ac:dyDescent="0.25">
      <c r="A453" s="1"/>
      <c r="B453" s="3"/>
      <c r="C453" s="36" t="s">
        <v>565</v>
      </c>
      <c r="D453" s="45">
        <v>759</v>
      </c>
      <c r="E453" s="51"/>
      <c r="F453" s="2"/>
      <c r="G453" s="71"/>
    </row>
    <row r="454" spans="1:7" s="6" customFormat="1" ht="15.75" customHeight="1" x14ac:dyDescent="0.25">
      <c r="A454" s="1"/>
      <c r="B454" s="3"/>
      <c r="C454" s="36" t="s">
        <v>566</v>
      </c>
      <c r="D454" s="45">
        <v>558</v>
      </c>
      <c r="E454" s="51"/>
      <c r="F454" s="2"/>
      <c r="G454" s="71"/>
    </row>
    <row r="455" spans="1:7" s="6" customFormat="1" ht="15.75" customHeight="1" x14ac:dyDescent="0.25">
      <c r="A455" s="1"/>
      <c r="B455" s="3"/>
      <c r="C455" s="36" t="s">
        <v>567</v>
      </c>
      <c r="D455" s="45">
        <v>349</v>
      </c>
      <c r="E455" s="51"/>
      <c r="F455" s="2"/>
      <c r="G455" s="71"/>
    </row>
    <row r="456" spans="1:7" s="6" customFormat="1" ht="15.75" customHeight="1" x14ac:dyDescent="0.25">
      <c r="A456" s="1"/>
      <c r="B456" s="3"/>
      <c r="C456" s="36" t="s">
        <v>568</v>
      </c>
      <c r="D456" s="45">
        <v>839</v>
      </c>
      <c r="E456" s="51"/>
      <c r="F456" s="2"/>
      <c r="G456" s="71"/>
    </row>
    <row r="457" spans="1:7" s="6" customFormat="1" ht="15.75" customHeight="1" x14ac:dyDescent="0.25">
      <c r="A457" s="1"/>
      <c r="B457" s="3"/>
      <c r="C457" s="36"/>
      <c r="D457" s="46"/>
      <c r="E457" s="51"/>
      <c r="F457" s="2"/>
      <c r="G457" s="71"/>
    </row>
    <row r="458" spans="1:7" s="6" customFormat="1" ht="15.75" customHeight="1" x14ac:dyDescent="0.25">
      <c r="A458" s="1"/>
      <c r="B458" s="3"/>
      <c r="C458" s="35" t="s">
        <v>569</v>
      </c>
      <c r="D458" s="57">
        <f>SUM(D459:D479)</f>
        <v>18861</v>
      </c>
      <c r="E458" s="51"/>
      <c r="F458" s="2"/>
      <c r="G458" s="71"/>
    </row>
    <row r="459" spans="1:7" s="6" customFormat="1" ht="15.75" customHeight="1" x14ac:dyDescent="0.25">
      <c r="A459" s="1"/>
      <c r="B459" s="3"/>
      <c r="C459" s="36" t="s">
        <v>570</v>
      </c>
      <c r="D459" s="45">
        <v>815</v>
      </c>
      <c r="E459" s="51"/>
      <c r="F459" s="2"/>
      <c r="G459" s="71"/>
    </row>
    <row r="460" spans="1:7" s="6" customFormat="1" ht="15.75" customHeight="1" x14ac:dyDescent="0.25">
      <c r="A460" s="1"/>
      <c r="B460" s="3"/>
      <c r="C460" s="36" t="s">
        <v>285</v>
      </c>
      <c r="D460" s="45">
        <v>512</v>
      </c>
      <c r="E460" s="51"/>
      <c r="F460" s="2"/>
      <c r="G460" s="71"/>
    </row>
    <row r="461" spans="1:7" s="6" customFormat="1" ht="15.75" customHeight="1" x14ac:dyDescent="0.25">
      <c r="A461" s="1"/>
      <c r="B461" s="3"/>
      <c r="C461" s="36" t="s">
        <v>571</v>
      </c>
      <c r="D461" s="45">
        <v>506</v>
      </c>
      <c r="E461" s="51"/>
      <c r="F461" s="2"/>
      <c r="G461" s="71"/>
    </row>
    <row r="462" spans="1:7" s="6" customFormat="1" ht="15.75" customHeight="1" x14ac:dyDescent="0.25">
      <c r="A462" s="1"/>
      <c r="B462" s="3"/>
      <c r="C462" s="36" t="s">
        <v>572</v>
      </c>
      <c r="D462" s="45">
        <v>1432</v>
      </c>
      <c r="E462" s="51"/>
      <c r="F462" s="2"/>
      <c r="G462" s="71"/>
    </row>
    <row r="463" spans="1:7" s="6" customFormat="1" ht="15.75" customHeight="1" x14ac:dyDescent="0.25">
      <c r="A463" s="1"/>
      <c r="B463" s="3"/>
      <c r="C463" s="36" t="s">
        <v>573</v>
      </c>
      <c r="D463" s="45">
        <v>789</v>
      </c>
      <c r="E463" s="51"/>
      <c r="F463" s="2"/>
      <c r="G463" s="71"/>
    </row>
    <row r="464" spans="1:7" s="6" customFormat="1" ht="15.75" customHeight="1" x14ac:dyDescent="0.25">
      <c r="A464" s="1"/>
      <c r="B464" s="3"/>
      <c r="C464" s="36" t="s">
        <v>48</v>
      </c>
      <c r="D464" s="45">
        <v>689</v>
      </c>
      <c r="E464" s="51"/>
      <c r="F464" s="2"/>
      <c r="G464" s="71"/>
    </row>
    <row r="465" spans="1:7" s="6" customFormat="1" ht="15.75" customHeight="1" x14ac:dyDescent="0.25">
      <c r="A465" s="1"/>
      <c r="B465" s="3"/>
      <c r="C465" s="36" t="s">
        <v>574</v>
      </c>
      <c r="D465" s="45">
        <v>536</v>
      </c>
      <c r="E465" s="51"/>
      <c r="F465" s="2"/>
      <c r="G465" s="71"/>
    </row>
    <row r="466" spans="1:7" s="6" customFormat="1" ht="15.75" customHeight="1" x14ac:dyDescent="0.25">
      <c r="A466" s="1"/>
      <c r="B466" s="3"/>
      <c r="C466" s="36" t="s">
        <v>575</v>
      </c>
      <c r="D466" s="45">
        <v>1733</v>
      </c>
      <c r="E466" s="51"/>
      <c r="F466" s="2"/>
      <c r="G466" s="71"/>
    </row>
    <row r="467" spans="1:7" s="6" customFormat="1" ht="15.75" customHeight="1" x14ac:dyDescent="0.25">
      <c r="A467" s="1"/>
      <c r="B467" s="3"/>
      <c r="C467" s="36" t="s">
        <v>576</v>
      </c>
      <c r="D467" s="45">
        <v>1183</v>
      </c>
      <c r="E467" s="51"/>
      <c r="F467" s="2"/>
      <c r="G467" s="71"/>
    </row>
    <row r="468" spans="1:7" s="6" customFormat="1" ht="15.75" customHeight="1" x14ac:dyDescent="0.25">
      <c r="A468" s="1"/>
      <c r="B468" s="3"/>
      <c r="C468" s="36" t="s">
        <v>577</v>
      </c>
      <c r="D468" s="45">
        <v>1095</v>
      </c>
      <c r="E468" s="51"/>
      <c r="F468" s="2"/>
      <c r="G468" s="71"/>
    </row>
    <row r="469" spans="1:7" s="6" customFormat="1" ht="15.75" customHeight="1" x14ac:dyDescent="0.25">
      <c r="A469" s="1"/>
      <c r="B469" s="3"/>
      <c r="C469" s="36" t="s">
        <v>578</v>
      </c>
      <c r="D469" s="45">
        <v>1389</v>
      </c>
      <c r="E469" s="51"/>
      <c r="F469" s="2"/>
      <c r="G469" s="71"/>
    </row>
    <row r="470" spans="1:7" s="6" customFormat="1" ht="15.75" customHeight="1" x14ac:dyDescent="0.25">
      <c r="A470" s="1"/>
      <c r="B470" s="3"/>
      <c r="C470" s="36" t="s">
        <v>579</v>
      </c>
      <c r="D470" s="45">
        <v>570</v>
      </c>
      <c r="E470" s="51"/>
      <c r="F470" s="2"/>
      <c r="G470" s="71"/>
    </row>
    <row r="471" spans="1:7" s="6" customFormat="1" ht="15.75" customHeight="1" x14ac:dyDescent="0.25">
      <c r="A471" s="1"/>
      <c r="B471" s="3"/>
      <c r="C471" s="36" t="s">
        <v>580</v>
      </c>
      <c r="D471" s="45">
        <v>823</v>
      </c>
      <c r="E471" s="51"/>
      <c r="F471" s="2"/>
      <c r="G471" s="71"/>
    </row>
    <row r="472" spans="1:7" s="6" customFormat="1" ht="15.75" customHeight="1" x14ac:dyDescent="0.25">
      <c r="A472" s="1"/>
      <c r="B472" s="3"/>
      <c r="C472" s="36" t="s">
        <v>581</v>
      </c>
      <c r="D472" s="45">
        <v>668</v>
      </c>
      <c r="E472" s="51"/>
      <c r="F472" s="2"/>
      <c r="G472" s="71"/>
    </row>
    <row r="473" spans="1:7" s="6" customFormat="1" ht="15.75" customHeight="1" x14ac:dyDescent="0.25">
      <c r="A473" s="1"/>
      <c r="B473" s="3"/>
      <c r="C473" s="36" t="s">
        <v>582</v>
      </c>
      <c r="D473" s="45">
        <v>521</v>
      </c>
      <c r="E473" s="51"/>
      <c r="F473" s="2"/>
      <c r="G473" s="71"/>
    </row>
    <row r="474" spans="1:7" s="6" customFormat="1" ht="15.75" customHeight="1" x14ac:dyDescent="0.25">
      <c r="A474" s="1"/>
      <c r="B474" s="3"/>
      <c r="C474" s="36" t="s">
        <v>225</v>
      </c>
      <c r="D474" s="45">
        <v>617</v>
      </c>
      <c r="E474" s="51"/>
      <c r="F474" s="2"/>
      <c r="G474" s="71"/>
    </row>
    <row r="475" spans="1:7" s="6" customFormat="1" ht="15.75" customHeight="1" x14ac:dyDescent="0.25">
      <c r="A475" s="1"/>
      <c r="B475" s="3"/>
      <c r="C475" s="36" t="s">
        <v>583</v>
      </c>
      <c r="D475" s="45">
        <v>1189</v>
      </c>
      <c r="E475" s="51"/>
      <c r="F475" s="2"/>
      <c r="G475" s="71"/>
    </row>
    <row r="476" spans="1:7" s="6" customFormat="1" ht="15.75" customHeight="1" x14ac:dyDescent="0.25">
      <c r="A476" s="1"/>
      <c r="B476" s="3"/>
      <c r="C476" s="36" t="s">
        <v>5</v>
      </c>
      <c r="D476" s="45">
        <v>933</v>
      </c>
      <c r="E476" s="51"/>
      <c r="F476" s="2"/>
      <c r="G476" s="71"/>
    </row>
    <row r="477" spans="1:7" s="6" customFormat="1" ht="15.75" customHeight="1" x14ac:dyDescent="0.25">
      <c r="A477" s="1"/>
      <c r="B477" s="3"/>
      <c r="C477" s="36" t="s">
        <v>11</v>
      </c>
      <c r="D477" s="45">
        <v>1575</v>
      </c>
      <c r="E477" s="51"/>
      <c r="F477" s="2"/>
      <c r="G477" s="71"/>
    </row>
    <row r="478" spans="1:7" s="6" customFormat="1" ht="15.75" customHeight="1" x14ac:dyDescent="0.25">
      <c r="A478" s="1"/>
      <c r="B478" s="3"/>
      <c r="C478" s="36" t="s">
        <v>584</v>
      </c>
      <c r="D478" s="45">
        <v>574</v>
      </c>
      <c r="E478" s="51"/>
      <c r="F478" s="2"/>
      <c r="G478" s="71"/>
    </row>
    <row r="479" spans="1:7" s="6" customFormat="1" ht="15.75" customHeight="1" x14ac:dyDescent="0.25">
      <c r="A479" s="1"/>
      <c r="B479" s="3"/>
      <c r="C479" s="36" t="s">
        <v>197</v>
      </c>
      <c r="D479" s="45">
        <v>712</v>
      </c>
      <c r="E479" s="51"/>
      <c r="F479" s="2"/>
      <c r="G479" s="71"/>
    </row>
    <row r="480" spans="1:7" s="6" customFormat="1" ht="15.75" customHeight="1" x14ac:dyDescent="0.25">
      <c r="A480" s="1"/>
      <c r="B480" s="3"/>
      <c r="C480" s="36"/>
      <c r="D480" s="46"/>
      <c r="E480" s="51"/>
      <c r="F480" s="2"/>
      <c r="G480" s="71"/>
    </row>
    <row r="481" spans="1:7" s="6" customFormat="1" ht="15.75" customHeight="1" x14ac:dyDescent="0.25">
      <c r="A481" s="1"/>
      <c r="B481" s="3"/>
      <c r="C481" s="35" t="s">
        <v>1959</v>
      </c>
      <c r="D481" s="57">
        <f>SUM(D482:D511)</f>
        <v>24430</v>
      </c>
      <c r="E481" s="51"/>
      <c r="F481" s="2"/>
      <c r="G481" s="71"/>
    </row>
    <row r="482" spans="1:7" s="6" customFormat="1" ht="15.75" customHeight="1" x14ac:dyDescent="0.25">
      <c r="A482" s="1"/>
      <c r="B482" s="3"/>
      <c r="C482" s="36" t="s">
        <v>585</v>
      </c>
      <c r="D482" s="45">
        <v>1556</v>
      </c>
      <c r="E482" s="51"/>
      <c r="F482" s="2"/>
      <c r="G482" s="71"/>
    </row>
    <row r="483" spans="1:7" s="6" customFormat="1" ht="15.75" customHeight="1" x14ac:dyDescent="0.25">
      <c r="A483" s="1"/>
      <c r="B483" s="3"/>
      <c r="C483" s="36" t="s">
        <v>35</v>
      </c>
      <c r="D483" s="45">
        <v>695</v>
      </c>
      <c r="E483" s="51"/>
      <c r="F483" s="2"/>
      <c r="G483" s="71"/>
    </row>
    <row r="484" spans="1:7" s="6" customFormat="1" ht="15.75" customHeight="1" x14ac:dyDescent="0.25">
      <c r="A484" s="1"/>
      <c r="B484" s="3"/>
      <c r="C484" s="36" t="s">
        <v>156</v>
      </c>
      <c r="D484" s="45">
        <v>543</v>
      </c>
      <c r="E484" s="51"/>
      <c r="F484" s="2"/>
      <c r="G484" s="71"/>
    </row>
    <row r="485" spans="1:7" s="6" customFormat="1" ht="15.75" customHeight="1" x14ac:dyDescent="0.25">
      <c r="A485" s="1"/>
      <c r="B485" s="3"/>
      <c r="C485" s="36" t="s">
        <v>586</v>
      </c>
      <c r="D485" s="45">
        <v>244</v>
      </c>
      <c r="E485" s="51"/>
      <c r="F485" s="2"/>
      <c r="G485" s="71"/>
    </row>
    <row r="486" spans="1:7" s="6" customFormat="1" ht="15.75" customHeight="1" x14ac:dyDescent="0.25">
      <c r="A486" s="1"/>
      <c r="B486" s="3"/>
      <c r="C486" s="36" t="s">
        <v>587</v>
      </c>
      <c r="D486" s="45">
        <v>927</v>
      </c>
      <c r="E486" s="51"/>
      <c r="F486" s="2"/>
      <c r="G486" s="71"/>
    </row>
    <row r="487" spans="1:7" s="6" customFormat="1" ht="15.75" customHeight="1" x14ac:dyDescent="0.25">
      <c r="A487" s="1"/>
      <c r="B487" s="3"/>
      <c r="C487" s="36" t="s">
        <v>588</v>
      </c>
      <c r="D487" s="45">
        <v>650</v>
      </c>
      <c r="E487" s="51"/>
      <c r="F487" s="2"/>
      <c r="G487" s="71"/>
    </row>
    <row r="488" spans="1:7" s="6" customFormat="1" ht="15.75" customHeight="1" x14ac:dyDescent="0.25">
      <c r="A488" s="1"/>
      <c r="B488" s="3"/>
      <c r="C488" s="36" t="s">
        <v>589</v>
      </c>
      <c r="D488" s="45">
        <v>996</v>
      </c>
      <c r="E488" s="51"/>
      <c r="F488" s="2"/>
      <c r="G488" s="71"/>
    </row>
    <row r="489" spans="1:7" s="6" customFormat="1" ht="15.75" customHeight="1" x14ac:dyDescent="0.25">
      <c r="A489" s="1"/>
      <c r="B489" s="3"/>
      <c r="C489" s="36" t="s">
        <v>590</v>
      </c>
      <c r="D489" s="45">
        <v>924</v>
      </c>
      <c r="E489" s="51"/>
      <c r="F489" s="2"/>
      <c r="G489" s="71"/>
    </row>
    <row r="490" spans="1:7" s="6" customFormat="1" ht="15.75" customHeight="1" x14ac:dyDescent="0.25">
      <c r="A490" s="1"/>
      <c r="B490" s="3"/>
      <c r="C490" s="36" t="s">
        <v>591</v>
      </c>
      <c r="D490" s="45">
        <v>796</v>
      </c>
      <c r="E490" s="51"/>
      <c r="F490" s="2"/>
      <c r="G490" s="71"/>
    </row>
    <row r="491" spans="1:7" s="6" customFormat="1" ht="15.75" customHeight="1" x14ac:dyDescent="0.25">
      <c r="A491" s="1"/>
      <c r="B491" s="3"/>
      <c r="C491" s="36" t="s">
        <v>592</v>
      </c>
      <c r="D491" s="45">
        <v>456</v>
      </c>
      <c r="E491" s="51"/>
      <c r="F491" s="2"/>
      <c r="G491" s="71"/>
    </row>
    <row r="492" spans="1:7" s="6" customFormat="1" ht="15.75" customHeight="1" x14ac:dyDescent="0.25">
      <c r="A492" s="1"/>
      <c r="B492" s="3"/>
      <c r="C492" s="36" t="s">
        <v>116</v>
      </c>
      <c r="D492" s="45">
        <v>236</v>
      </c>
      <c r="E492" s="51"/>
      <c r="F492" s="2"/>
      <c r="G492" s="71"/>
    </row>
    <row r="493" spans="1:7" s="6" customFormat="1" ht="15.75" customHeight="1" x14ac:dyDescent="0.25">
      <c r="A493" s="1"/>
      <c r="B493" s="3"/>
      <c r="C493" s="36" t="s">
        <v>593</v>
      </c>
      <c r="D493" s="45">
        <v>1254</v>
      </c>
      <c r="E493" s="51"/>
      <c r="F493" s="2"/>
      <c r="G493" s="71"/>
    </row>
    <row r="494" spans="1:7" s="6" customFormat="1" ht="15.75" customHeight="1" x14ac:dyDescent="0.25">
      <c r="A494" s="1"/>
      <c r="B494" s="3"/>
      <c r="C494" s="36" t="s">
        <v>594</v>
      </c>
      <c r="D494" s="45">
        <v>208</v>
      </c>
      <c r="E494" s="51"/>
      <c r="F494" s="2"/>
      <c r="G494" s="71"/>
    </row>
    <row r="495" spans="1:7" s="6" customFormat="1" ht="15.75" customHeight="1" x14ac:dyDescent="0.25">
      <c r="A495" s="1"/>
      <c r="B495" s="3"/>
      <c r="C495" s="36" t="s">
        <v>552</v>
      </c>
      <c r="D495" s="45">
        <v>1252</v>
      </c>
      <c r="E495" s="51"/>
      <c r="F495" s="2"/>
      <c r="G495" s="71"/>
    </row>
    <row r="496" spans="1:7" s="6" customFormat="1" ht="15.75" customHeight="1" x14ac:dyDescent="0.25">
      <c r="A496" s="1"/>
      <c r="B496" s="3"/>
      <c r="C496" s="36" t="s">
        <v>511</v>
      </c>
      <c r="D496" s="45">
        <v>175</v>
      </c>
      <c r="E496" s="51"/>
      <c r="F496" s="2"/>
      <c r="G496" s="71"/>
    </row>
    <row r="497" spans="1:7" s="6" customFormat="1" ht="15.75" customHeight="1" x14ac:dyDescent="0.25">
      <c r="A497" s="1"/>
      <c r="B497" s="3"/>
      <c r="C497" s="36" t="s">
        <v>50</v>
      </c>
      <c r="D497" s="45">
        <v>429</v>
      </c>
      <c r="E497" s="51"/>
      <c r="F497" s="2"/>
      <c r="G497" s="71"/>
    </row>
    <row r="498" spans="1:7" s="6" customFormat="1" ht="15.75" customHeight="1" x14ac:dyDescent="0.25">
      <c r="A498" s="1"/>
      <c r="B498" s="3"/>
      <c r="C498" s="36" t="s">
        <v>595</v>
      </c>
      <c r="D498" s="45">
        <v>1013</v>
      </c>
      <c r="E498" s="51"/>
      <c r="F498" s="2"/>
      <c r="G498" s="71"/>
    </row>
    <row r="499" spans="1:7" s="6" customFormat="1" ht="15.75" customHeight="1" x14ac:dyDescent="0.25">
      <c r="A499" s="1"/>
      <c r="B499" s="3"/>
      <c r="C499" s="36" t="s">
        <v>596</v>
      </c>
      <c r="D499" s="45">
        <v>1110</v>
      </c>
      <c r="E499" s="51"/>
      <c r="F499" s="2"/>
      <c r="G499" s="71"/>
    </row>
    <row r="500" spans="1:7" s="6" customFormat="1" ht="15.75" customHeight="1" x14ac:dyDescent="0.25">
      <c r="A500" s="1"/>
      <c r="B500" s="3"/>
      <c r="C500" s="36" t="s">
        <v>597</v>
      </c>
      <c r="D500" s="45">
        <v>1239</v>
      </c>
      <c r="E500" s="51"/>
      <c r="F500" s="2"/>
      <c r="G500" s="71"/>
    </row>
    <row r="501" spans="1:7" s="6" customFormat="1" ht="15.75" customHeight="1" x14ac:dyDescent="0.25">
      <c r="A501" s="1"/>
      <c r="B501" s="3"/>
      <c r="C501" s="36" t="s">
        <v>598</v>
      </c>
      <c r="D501" s="45">
        <v>1835</v>
      </c>
      <c r="E501" s="51"/>
      <c r="F501" s="2"/>
      <c r="G501" s="71"/>
    </row>
    <row r="502" spans="1:7" s="6" customFormat="1" ht="15.75" customHeight="1" x14ac:dyDescent="0.25">
      <c r="A502" s="1"/>
      <c r="B502" s="3"/>
      <c r="C502" s="36" t="s">
        <v>151</v>
      </c>
      <c r="D502" s="45">
        <v>1097</v>
      </c>
      <c r="E502" s="51"/>
      <c r="F502" s="2"/>
      <c r="G502" s="71"/>
    </row>
    <row r="503" spans="1:7" s="6" customFormat="1" ht="15.75" customHeight="1" x14ac:dyDescent="0.25">
      <c r="A503" s="1"/>
      <c r="B503" s="3"/>
      <c r="C503" s="36" t="s">
        <v>81</v>
      </c>
      <c r="D503" s="45">
        <v>1262</v>
      </c>
      <c r="E503" s="51"/>
      <c r="F503" s="2"/>
      <c r="G503" s="71"/>
    </row>
    <row r="504" spans="1:7" s="6" customFormat="1" ht="15.75" customHeight="1" x14ac:dyDescent="0.25">
      <c r="A504" s="1"/>
      <c r="B504" s="3"/>
      <c r="C504" s="36" t="s">
        <v>82</v>
      </c>
      <c r="D504" s="45">
        <v>995</v>
      </c>
      <c r="E504" s="51"/>
      <c r="F504" s="2"/>
      <c r="G504" s="71"/>
    </row>
    <row r="505" spans="1:7" s="6" customFormat="1" ht="15.75" customHeight="1" x14ac:dyDescent="0.25">
      <c r="A505" s="1"/>
      <c r="B505" s="3"/>
      <c r="C505" s="36" t="s">
        <v>599</v>
      </c>
      <c r="D505" s="45">
        <v>622</v>
      </c>
      <c r="E505" s="51"/>
      <c r="F505" s="2"/>
      <c r="G505" s="71"/>
    </row>
    <row r="506" spans="1:7" s="6" customFormat="1" ht="15.75" customHeight="1" x14ac:dyDescent="0.25">
      <c r="A506" s="1"/>
      <c r="B506" s="3"/>
      <c r="C506" s="36" t="s">
        <v>600</v>
      </c>
      <c r="D506" s="45">
        <v>293</v>
      </c>
      <c r="E506" s="51"/>
      <c r="F506" s="2"/>
      <c r="G506" s="71"/>
    </row>
    <row r="507" spans="1:7" s="6" customFormat="1" ht="15.75" customHeight="1" x14ac:dyDescent="0.25">
      <c r="A507" s="1"/>
      <c r="B507" s="3"/>
      <c r="C507" s="36" t="s">
        <v>297</v>
      </c>
      <c r="D507" s="45">
        <v>1405</v>
      </c>
      <c r="E507" s="51"/>
      <c r="F507" s="2"/>
      <c r="G507" s="71"/>
    </row>
    <row r="508" spans="1:7" s="6" customFormat="1" ht="15.75" customHeight="1" x14ac:dyDescent="0.25">
      <c r="A508" s="1"/>
      <c r="B508" s="3"/>
      <c r="C508" s="36" t="s">
        <v>601</v>
      </c>
      <c r="D508" s="45">
        <v>312</v>
      </c>
      <c r="E508" s="51"/>
      <c r="F508" s="2"/>
      <c r="G508" s="71"/>
    </row>
    <row r="509" spans="1:7" s="6" customFormat="1" ht="15.75" customHeight="1" x14ac:dyDescent="0.25">
      <c r="A509" s="1"/>
      <c r="B509" s="3"/>
      <c r="C509" s="36" t="s">
        <v>602</v>
      </c>
      <c r="D509" s="45">
        <v>629</v>
      </c>
      <c r="E509" s="51"/>
      <c r="F509" s="2"/>
      <c r="G509" s="71"/>
    </row>
    <row r="510" spans="1:7" s="6" customFormat="1" ht="15.75" customHeight="1" x14ac:dyDescent="0.25">
      <c r="A510" s="1"/>
      <c r="B510" s="3"/>
      <c r="C510" s="36" t="s">
        <v>603</v>
      </c>
      <c r="D510" s="45">
        <v>935</v>
      </c>
      <c r="E510" s="51"/>
      <c r="F510" s="2"/>
      <c r="G510" s="71"/>
    </row>
    <row r="511" spans="1:7" s="6" customFormat="1" ht="15.75" customHeight="1" x14ac:dyDescent="0.25">
      <c r="A511" s="1"/>
      <c r="B511" s="3"/>
      <c r="C511" s="36" t="s">
        <v>216</v>
      </c>
      <c r="D511" s="45">
        <v>342</v>
      </c>
      <c r="E511" s="51"/>
      <c r="F511" s="2"/>
      <c r="G511" s="71"/>
    </row>
    <row r="512" spans="1:7" s="6" customFormat="1" ht="15.75" customHeight="1" x14ac:dyDescent="0.25">
      <c r="A512" s="1"/>
      <c r="B512" s="3"/>
      <c r="C512" s="36"/>
      <c r="D512" s="46"/>
      <c r="E512" s="51"/>
      <c r="F512" s="2"/>
      <c r="G512" s="71"/>
    </row>
    <row r="513" spans="1:7" s="6" customFormat="1" ht="15.75" customHeight="1" x14ac:dyDescent="0.25">
      <c r="A513" s="1"/>
      <c r="B513" s="3"/>
      <c r="C513" s="35" t="s">
        <v>1960</v>
      </c>
      <c r="D513" s="57">
        <f>SUM(D514:D532)</f>
        <v>34104</v>
      </c>
      <c r="E513" s="51"/>
      <c r="F513" s="2"/>
      <c r="G513" s="71"/>
    </row>
    <row r="514" spans="1:7" s="6" customFormat="1" ht="15.75" customHeight="1" x14ac:dyDescent="0.25">
      <c r="A514" s="1"/>
      <c r="B514" s="3"/>
      <c r="C514" s="36" t="s">
        <v>604</v>
      </c>
      <c r="D514" s="45">
        <v>2176</v>
      </c>
      <c r="E514" s="51"/>
      <c r="F514" s="2"/>
      <c r="G514" s="71"/>
    </row>
    <row r="515" spans="1:7" s="6" customFormat="1" ht="15.75" customHeight="1" x14ac:dyDescent="0.25">
      <c r="A515" s="1"/>
      <c r="B515" s="3"/>
      <c r="C515" s="36" t="s">
        <v>160</v>
      </c>
      <c r="D515" s="45">
        <v>1252</v>
      </c>
      <c r="E515" s="51"/>
      <c r="F515" s="2"/>
      <c r="G515" s="71"/>
    </row>
    <row r="516" spans="1:7" s="6" customFormat="1" ht="15.75" customHeight="1" x14ac:dyDescent="0.25">
      <c r="A516" s="1"/>
      <c r="B516" s="3"/>
      <c r="C516" s="36" t="s">
        <v>605</v>
      </c>
      <c r="D516" s="45">
        <v>1513</v>
      </c>
      <c r="E516" s="51"/>
      <c r="F516" s="2"/>
      <c r="G516" s="71"/>
    </row>
    <row r="517" spans="1:7" s="6" customFormat="1" ht="15.75" customHeight="1" x14ac:dyDescent="0.25">
      <c r="A517" s="1"/>
      <c r="B517" s="3"/>
      <c r="C517" s="36" t="s">
        <v>606</v>
      </c>
      <c r="D517" s="45">
        <v>1221</v>
      </c>
      <c r="E517" s="51"/>
      <c r="F517" s="2"/>
      <c r="G517" s="71"/>
    </row>
    <row r="518" spans="1:7" s="6" customFormat="1" ht="15.75" customHeight="1" x14ac:dyDescent="0.25">
      <c r="A518" s="1"/>
      <c r="B518" s="3"/>
      <c r="C518" s="36" t="s">
        <v>607</v>
      </c>
      <c r="D518" s="45">
        <v>996</v>
      </c>
      <c r="E518" s="51"/>
      <c r="F518" s="2"/>
      <c r="G518" s="71"/>
    </row>
    <row r="519" spans="1:7" s="6" customFormat="1" ht="15.75" customHeight="1" x14ac:dyDescent="0.25">
      <c r="A519" s="1"/>
      <c r="B519" s="3"/>
      <c r="C519" s="36" t="s">
        <v>608</v>
      </c>
      <c r="D519" s="45">
        <v>1667</v>
      </c>
      <c r="E519" s="51"/>
      <c r="F519" s="2"/>
      <c r="G519" s="71"/>
    </row>
    <row r="520" spans="1:7" s="6" customFormat="1" ht="15.75" customHeight="1" x14ac:dyDescent="0.25">
      <c r="A520" s="1"/>
      <c r="B520" s="3"/>
      <c r="C520" s="36" t="s">
        <v>609</v>
      </c>
      <c r="D520" s="45">
        <v>3371</v>
      </c>
      <c r="E520" s="51"/>
      <c r="F520" s="2"/>
      <c r="G520" s="71"/>
    </row>
    <row r="521" spans="1:7" s="6" customFormat="1" ht="15.75" customHeight="1" x14ac:dyDescent="0.25">
      <c r="A521" s="1"/>
      <c r="B521" s="3"/>
      <c r="C521" s="36" t="s">
        <v>610</v>
      </c>
      <c r="D521" s="45">
        <v>738</v>
      </c>
      <c r="E521" s="51"/>
      <c r="F521" s="2"/>
      <c r="G521" s="71"/>
    </row>
    <row r="522" spans="1:7" s="6" customFormat="1" ht="15.75" customHeight="1" x14ac:dyDescent="0.25">
      <c r="A522" s="1"/>
      <c r="B522" s="3"/>
      <c r="C522" s="36" t="s">
        <v>611</v>
      </c>
      <c r="D522" s="45">
        <v>1068</v>
      </c>
      <c r="E522" s="51"/>
      <c r="F522" s="2"/>
      <c r="G522" s="71"/>
    </row>
    <row r="523" spans="1:7" s="6" customFormat="1" ht="15.75" customHeight="1" x14ac:dyDescent="0.25">
      <c r="A523" s="1"/>
      <c r="B523" s="3"/>
      <c r="C523" s="36" t="s">
        <v>612</v>
      </c>
      <c r="D523" s="45">
        <v>2120</v>
      </c>
      <c r="E523" s="51"/>
      <c r="F523" s="2"/>
      <c r="G523" s="71"/>
    </row>
    <row r="524" spans="1:7" s="6" customFormat="1" ht="15.75" customHeight="1" x14ac:dyDescent="0.25">
      <c r="A524" s="1"/>
      <c r="B524" s="3"/>
      <c r="C524" s="36" t="s">
        <v>613</v>
      </c>
      <c r="D524" s="45">
        <v>1046</v>
      </c>
      <c r="E524" s="51"/>
      <c r="F524" s="2"/>
      <c r="G524" s="71"/>
    </row>
    <row r="525" spans="1:7" s="6" customFormat="1" ht="15.75" customHeight="1" x14ac:dyDescent="0.25">
      <c r="A525" s="1"/>
      <c r="B525" s="3"/>
      <c r="C525" s="36" t="s">
        <v>614</v>
      </c>
      <c r="D525" s="45">
        <v>1977</v>
      </c>
      <c r="E525" s="51"/>
      <c r="F525" s="2"/>
      <c r="G525" s="71"/>
    </row>
    <row r="526" spans="1:7" s="6" customFormat="1" ht="15.75" customHeight="1" x14ac:dyDescent="0.25">
      <c r="A526" s="1"/>
      <c r="B526" s="3"/>
      <c r="C526" s="36" t="s">
        <v>615</v>
      </c>
      <c r="D526" s="45">
        <v>3138</v>
      </c>
      <c r="E526" s="51"/>
      <c r="F526" s="2"/>
      <c r="G526" s="71"/>
    </row>
    <row r="527" spans="1:7" s="6" customFormat="1" ht="15.75" customHeight="1" x14ac:dyDescent="0.25">
      <c r="A527" s="1"/>
      <c r="B527" s="3"/>
      <c r="C527" s="36" t="s">
        <v>616</v>
      </c>
      <c r="D527" s="45">
        <v>2149</v>
      </c>
      <c r="E527" s="51"/>
      <c r="F527" s="2"/>
      <c r="G527" s="71"/>
    </row>
    <row r="528" spans="1:7" s="6" customFormat="1" ht="15.75" customHeight="1" x14ac:dyDescent="0.25">
      <c r="A528" s="1"/>
      <c r="B528" s="3"/>
      <c r="C528" s="36" t="s">
        <v>617</v>
      </c>
      <c r="D528" s="45">
        <v>2262</v>
      </c>
      <c r="E528" s="51"/>
      <c r="F528" s="2"/>
      <c r="G528" s="71"/>
    </row>
    <row r="529" spans="1:7" s="6" customFormat="1" ht="15.75" customHeight="1" x14ac:dyDescent="0.25">
      <c r="A529" s="1"/>
      <c r="B529" s="3"/>
      <c r="C529" s="36" t="s">
        <v>618</v>
      </c>
      <c r="D529" s="45">
        <v>1963</v>
      </c>
      <c r="E529" s="51"/>
      <c r="F529" s="2"/>
      <c r="G529" s="71"/>
    </row>
    <row r="530" spans="1:7" s="6" customFormat="1" ht="15.75" customHeight="1" x14ac:dyDescent="0.25">
      <c r="A530" s="1"/>
      <c r="B530" s="3"/>
      <c r="C530" s="36" t="s">
        <v>619</v>
      </c>
      <c r="D530" s="45">
        <v>2361</v>
      </c>
      <c r="E530" s="51"/>
      <c r="F530" s="2"/>
      <c r="G530" s="71"/>
    </row>
    <row r="531" spans="1:7" s="6" customFormat="1" ht="15.75" customHeight="1" x14ac:dyDescent="0.25">
      <c r="A531" s="1"/>
      <c r="B531" s="3"/>
      <c r="C531" s="36" t="s">
        <v>620</v>
      </c>
      <c r="D531" s="45">
        <v>710</v>
      </c>
      <c r="E531" s="51"/>
      <c r="F531" s="2"/>
      <c r="G531" s="71"/>
    </row>
    <row r="532" spans="1:7" s="6" customFormat="1" ht="15.75" customHeight="1" x14ac:dyDescent="0.25">
      <c r="A532" s="1"/>
      <c r="B532" s="3"/>
      <c r="C532" s="36" t="s">
        <v>149</v>
      </c>
      <c r="D532" s="45">
        <v>2376</v>
      </c>
      <c r="E532" s="51"/>
      <c r="F532" s="2"/>
      <c r="G532" s="71"/>
    </row>
    <row r="533" spans="1:7" s="6" customFormat="1" ht="15.75" customHeight="1" x14ac:dyDescent="0.25">
      <c r="A533" s="1"/>
      <c r="B533" s="3"/>
      <c r="C533" s="36"/>
      <c r="D533" s="46"/>
      <c r="E533" s="51"/>
      <c r="F533" s="2"/>
      <c r="G533" s="71"/>
    </row>
    <row r="534" spans="1:7" s="6" customFormat="1" ht="15.75" customHeight="1" x14ac:dyDescent="0.25">
      <c r="A534" s="1"/>
      <c r="B534" s="3"/>
      <c r="C534" s="35" t="s">
        <v>1961</v>
      </c>
      <c r="D534" s="57">
        <f>SUM(D535:D584)</f>
        <v>48534</v>
      </c>
      <c r="E534" s="51"/>
      <c r="F534" s="2"/>
      <c r="G534" s="71"/>
    </row>
    <row r="535" spans="1:7" s="6" customFormat="1" ht="15.75" customHeight="1" x14ac:dyDescent="0.25">
      <c r="A535" s="1"/>
      <c r="B535" s="3"/>
      <c r="C535" s="36" t="s">
        <v>200</v>
      </c>
      <c r="D535" s="45">
        <v>799</v>
      </c>
      <c r="E535" s="51"/>
      <c r="F535" s="2"/>
      <c r="G535" s="71"/>
    </row>
    <row r="536" spans="1:7" s="6" customFormat="1" ht="15.75" customHeight="1" x14ac:dyDescent="0.25">
      <c r="A536" s="1"/>
      <c r="B536" s="3"/>
      <c r="C536" s="36" t="s">
        <v>621</v>
      </c>
      <c r="D536" s="45">
        <v>699</v>
      </c>
      <c r="E536" s="51"/>
      <c r="F536" s="2"/>
      <c r="G536" s="71"/>
    </row>
    <row r="537" spans="1:7" s="6" customFormat="1" ht="15.75" customHeight="1" x14ac:dyDescent="0.25">
      <c r="A537" s="1"/>
      <c r="B537" s="3"/>
      <c r="C537" s="36" t="s">
        <v>97</v>
      </c>
      <c r="D537" s="45">
        <v>1187</v>
      </c>
      <c r="E537" s="51"/>
      <c r="F537" s="2"/>
      <c r="G537" s="71"/>
    </row>
    <row r="538" spans="1:7" s="6" customFormat="1" ht="15.75" customHeight="1" x14ac:dyDescent="0.25">
      <c r="A538" s="1"/>
      <c r="B538" s="3"/>
      <c r="C538" s="36" t="s">
        <v>539</v>
      </c>
      <c r="D538" s="45">
        <v>567</v>
      </c>
      <c r="E538" s="51"/>
      <c r="F538" s="2"/>
      <c r="G538" s="71"/>
    </row>
    <row r="539" spans="1:7" s="6" customFormat="1" ht="15.75" customHeight="1" x14ac:dyDescent="0.25">
      <c r="A539" s="1"/>
      <c r="B539" s="3"/>
      <c r="C539" s="36" t="s">
        <v>622</v>
      </c>
      <c r="D539" s="45">
        <v>809</v>
      </c>
      <c r="E539" s="51"/>
      <c r="F539" s="2"/>
      <c r="G539" s="71"/>
    </row>
    <row r="540" spans="1:7" s="6" customFormat="1" ht="15.75" customHeight="1" x14ac:dyDescent="0.25">
      <c r="A540" s="1"/>
      <c r="B540" s="3"/>
      <c r="C540" s="36" t="s">
        <v>623</v>
      </c>
      <c r="D540" s="45">
        <v>1489</v>
      </c>
      <c r="E540" s="51"/>
      <c r="F540" s="2"/>
      <c r="G540" s="71"/>
    </row>
    <row r="541" spans="1:7" s="6" customFormat="1" ht="15.75" customHeight="1" x14ac:dyDescent="0.25">
      <c r="A541" s="1"/>
      <c r="B541" s="3"/>
      <c r="C541" s="36" t="s">
        <v>101</v>
      </c>
      <c r="D541" s="45">
        <v>826</v>
      </c>
      <c r="E541" s="51"/>
      <c r="F541" s="2"/>
      <c r="G541" s="71"/>
    </row>
    <row r="542" spans="1:7" s="6" customFormat="1" ht="15.75" customHeight="1" x14ac:dyDescent="0.25">
      <c r="A542" s="1"/>
      <c r="B542" s="3"/>
      <c r="C542" s="36" t="s">
        <v>512</v>
      </c>
      <c r="D542" s="45">
        <v>1567</v>
      </c>
      <c r="E542" s="51"/>
      <c r="F542" s="2"/>
      <c r="G542" s="71"/>
    </row>
    <row r="543" spans="1:7" s="6" customFormat="1" ht="15.75" customHeight="1" x14ac:dyDescent="0.25">
      <c r="A543" s="1"/>
      <c r="B543" s="3"/>
      <c r="C543" s="36" t="s">
        <v>624</v>
      </c>
      <c r="D543" s="45">
        <v>410</v>
      </c>
      <c r="E543" s="51"/>
      <c r="F543" s="2"/>
      <c r="G543" s="71"/>
    </row>
    <row r="544" spans="1:7" s="6" customFormat="1" ht="15.75" customHeight="1" x14ac:dyDescent="0.25">
      <c r="A544" s="1"/>
      <c r="B544" s="3"/>
      <c r="C544" s="36" t="s">
        <v>625</v>
      </c>
      <c r="D544" s="45">
        <v>1051</v>
      </c>
      <c r="E544" s="51"/>
      <c r="F544" s="2"/>
      <c r="G544" s="71"/>
    </row>
    <row r="545" spans="1:7" s="6" customFormat="1" ht="15.75" customHeight="1" x14ac:dyDescent="0.25">
      <c r="A545" s="1"/>
      <c r="B545" s="3"/>
      <c r="C545" s="36" t="s">
        <v>626</v>
      </c>
      <c r="D545" s="45">
        <v>307</v>
      </c>
      <c r="E545" s="51"/>
      <c r="F545" s="2"/>
      <c r="G545" s="71"/>
    </row>
    <row r="546" spans="1:7" s="6" customFormat="1" ht="15.75" customHeight="1" x14ac:dyDescent="0.25">
      <c r="A546" s="1"/>
      <c r="B546" s="3"/>
      <c r="C546" s="36" t="s">
        <v>36</v>
      </c>
      <c r="D546" s="45">
        <v>1045</v>
      </c>
      <c r="E546" s="51"/>
      <c r="F546" s="2"/>
      <c r="G546" s="71"/>
    </row>
    <row r="547" spans="1:7" s="6" customFormat="1" ht="15.75" customHeight="1" x14ac:dyDescent="0.25">
      <c r="A547" s="1"/>
      <c r="B547" s="3"/>
      <c r="C547" s="36" t="s">
        <v>107</v>
      </c>
      <c r="D547" s="45">
        <v>812</v>
      </c>
      <c r="E547" s="51"/>
      <c r="F547" s="2"/>
      <c r="G547" s="71"/>
    </row>
    <row r="548" spans="1:7" s="6" customFormat="1" ht="15.75" customHeight="1" x14ac:dyDescent="0.25">
      <c r="A548" s="1"/>
      <c r="B548" s="3"/>
      <c r="C548" s="36" t="s">
        <v>627</v>
      </c>
      <c r="D548" s="45">
        <v>3263</v>
      </c>
      <c r="E548" s="51"/>
      <c r="F548" s="2"/>
      <c r="G548" s="71"/>
    </row>
    <row r="549" spans="1:7" s="6" customFormat="1" ht="15.75" customHeight="1" x14ac:dyDescent="0.25">
      <c r="A549" s="1"/>
      <c r="B549" s="3"/>
      <c r="C549" s="36" t="s">
        <v>628</v>
      </c>
      <c r="D549" s="45">
        <v>641</v>
      </c>
      <c r="E549" s="51"/>
      <c r="F549" s="2"/>
      <c r="G549" s="71"/>
    </row>
    <row r="550" spans="1:7" s="6" customFormat="1" ht="15.75" customHeight="1" x14ac:dyDescent="0.25">
      <c r="A550" s="1"/>
      <c r="B550" s="3"/>
      <c r="C550" s="36" t="s">
        <v>356</v>
      </c>
      <c r="D550" s="45">
        <v>1607</v>
      </c>
      <c r="E550" s="51"/>
      <c r="F550" s="2"/>
      <c r="G550" s="71"/>
    </row>
    <row r="551" spans="1:7" s="6" customFormat="1" ht="15.75" customHeight="1" x14ac:dyDescent="0.25">
      <c r="A551" s="1"/>
      <c r="B551" s="3"/>
      <c r="C551" s="36" t="s">
        <v>629</v>
      </c>
      <c r="D551" s="45">
        <v>883</v>
      </c>
      <c r="E551" s="51"/>
      <c r="F551" s="2"/>
      <c r="G551" s="71"/>
    </row>
    <row r="552" spans="1:7" s="6" customFormat="1" ht="15.75" customHeight="1" x14ac:dyDescent="0.25">
      <c r="A552" s="1"/>
      <c r="B552" s="3"/>
      <c r="C552" s="36" t="s">
        <v>552</v>
      </c>
      <c r="D552" s="45">
        <v>752</v>
      </c>
      <c r="E552" s="51"/>
      <c r="F552" s="2"/>
      <c r="G552" s="71"/>
    </row>
    <row r="553" spans="1:7" s="6" customFormat="1" ht="15.75" customHeight="1" x14ac:dyDescent="0.25">
      <c r="A553" s="1"/>
      <c r="B553" s="3"/>
      <c r="C553" s="36" t="s">
        <v>64</v>
      </c>
      <c r="D553" s="45">
        <v>883</v>
      </c>
      <c r="E553" s="51"/>
      <c r="F553" s="2"/>
      <c r="G553" s="71"/>
    </row>
    <row r="554" spans="1:7" s="6" customFormat="1" ht="15.75" customHeight="1" x14ac:dyDescent="0.25">
      <c r="A554" s="1"/>
      <c r="B554" s="3"/>
      <c r="C554" s="36" t="s">
        <v>630</v>
      </c>
      <c r="D554" s="45">
        <v>685</v>
      </c>
      <c r="E554" s="51"/>
      <c r="F554" s="2"/>
      <c r="G554" s="71"/>
    </row>
    <row r="555" spans="1:7" s="6" customFormat="1" ht="15.75" customHeight="1" x14ac:dyDescent="0.25">
      <c r="A555" s="1"/>
      <c r="B555" s="3"/>
      <c r="C555" s="36" t="s">
        <v>631</v>
      </c>
      <c r="D555" s="45">
        <v>862</v>
      </c>
      <c r="E555" s="51"/>
      <c r="F555" s="2"/>
      <c r="G555" s="71"/>
    </row>
    <row r="556" spans="1:7" s="6" customFormat="1" ht="15.75" customHeight="1" x14ac:dyDescent="0.25">
      <c r="A556" s="1"/>
      <c r="B556" s="3"/>
      <c r="C556" s="36" t="s">
        <v>94</v>
      </c>
      <c r="D556" s="45">
        <v>430</v>
      </c>
      <c r="E556" s="51"/>
      <c r="F556" s="2"/>
      <c r="G556" s="71"/>
    </row>
    <row r="557" spans="1:7" s="6" customFormat="1" ht="15.75" customHeight="1" x14ac:dyDescent="0.25">
      <c r="A557" s="1"/>
      <c r="B557" s="3"/>
      <c r="C557" s="36" t="s">
        <v>632</v>
      </c>
      <c r="D557" s="45">
        <v>411</v>
      </c>
      <c r="E557" s="51"/>
      <c r="F557" s="2"/>
      <c r="G557" s="71"/>
    </row>
    <row r="558" spans="1:7" s="6" customFormat="1" ht="15.75" customHeight="1" x14ac:dyDescent="0.25">
      <c r="A558" s="1"/>
      <c r="B558" s="3"/>
      <c r="C558" s="36" t="s">
        <v>378</v>
      </c>
      <c r="D558" s="45">
        <v>434</v>
      </c>
      <c r="E558" s="51"/>
      <c r="F558" s="2"/>
      <c r="G558" s="71"/>
    </row>
    <row r="559" spans="1:7" s="6" customFormat="1" ht="15.75" customHeight="1" x14ac:dyDescent="0.25">
      <c r="A559" s="1"/>
      <c r="B559" s="3"/>
      <c r="C559" s="36" t="s">
        <v>379</v>
      </c>
      <c r="D559" s="45">
        <v>1082</v>
      </c>
      <c r="E559" s="51"/>
      <c r="F559" s="2"/>
      <c r="G559" s="71"/>
    </row>
    <row r="560" spans="1:7" s="6" customFormat="1" ht="15.75" customHeight="1" x14ac:dyDescent="0.25">
      <c r="A560" s="1"/>
      <c r="B560" s="3"/>
      <c r="C560" s="36" t="s">
        <v>175</v>
      </c>
      <c r="D560" s="45">
        <v>1293</v>
      </c>
      <c r="E560" s="51"/>
      <c r="F560" s="2"/>
      <c r="G560" s="71"/>
    </row>
    <row r="561" spans="1:7" s="6" customFormat="1" ht="15.75" customHeight="1" x14ac:dyDescent="0.25">
      <c r="A561" s="1"/>
      <c r="B561" s="3"/>
      <c r="C561" s="36" t="s">
        <v>633</v>
      </c>
      <c r="D561" s="45">
        <v>1479</v>
      </c>
      <c r="E561" s="51"/>
      <c r="F561" s="2"/>
      <c r="G561" s="71"/>
    </row>
    <row r="562" spans="1:7" s="6" customFormat="1" ht="15.75" customHeight="1" x14ac:dyDescent="0.25">
      <c r="A562" s="1"/>
      <c r="B562" s="3"/>
      <c r="C562" s="36" t="s">
        <v>634</v>
      </c>
      <c r="D562" s="45">
        <v>1196</v>
      </c>
      <c r="E562" s="51"/>
      <c r="F562" s="2"/>
      <c r="G562" s="71"/>
    </row>
    <row r="563" spans="1:7" s="6" customFormat="1" ht="15.75" customHeight="1" x14ac:dyDescent="0.25">
      <c r="A563" s="1"/>
      <c r="B563" s="3"/>
      <c r="C563" s="36" t="s">
        <v>161</v>
      </c>
      <c r="D563" s="45">
        <v>563</v>
      </c>
      <c r="E563" s="51"/>
      <c r="F563" s="2"/>
      <c r="G563" s="71"/>
    </row>
    <row r="564" spans="1:7" s="6" customFormat="1" ht="15.75" customHeight="1" x14ac:dyDescent="0.25">
      <c r="A564" s="1"/>
      <c r="B564" s="3"/>
      <c r="C564" s="36" t="s">
        <v>635</v>
      </c>
      <c r="D564" s="45">
        <v>711</v>
      </c>
      <c r="E564" s="51"/>
      <c r="F564" s="2"/>
      <c r="G564" s="71"/>
    </row>
    <row r="565" spans="1:7" s="6" customFormat="1" ht="15.75" customHeight="1" x14ac:dyDescent="0.25">
      <c r="A565" s="1"/>
      <c r="B565" s="3"/>
      <c r="C565" s="36" t="s">
        <v>636</v>
      </c>
      <c r="D565" s="45">
        <v>658</v>
      </c>
      <c r="E565" s="51"/>
      <c r="F565" s="2"/>
      <c r="G565" s="71"/>
    </row>
    <row r="566" spans="1:7" s="6" customFormat="1" ht="15.75" customHeight="1" x14ac:dyDescent="0.25">
      <c r="A566" s="1"/>
      <c r="B566" s="3"/>
      <c r="C566" s="36" t="s">
        <v>637</v>
      </c>
      <c r="D566" s="45">
        <v>1349</v>
      </c>
      <c r="E566" s="51"/>
      <c r="F566" s="2"/>
      <c r="G566" s="71"/>
    </row>
    <row r="567" spans="1:7" s="6" customFormat="1" ht="15.75" customHeight="1" x14ac:dyDescent="0.25">
      <c r="A567" s="1"/>
      <c r="B567" s="3"/>
      <c r="C567" s="36" t="s">
        <v>559</v>
      </c>
      <c r="D567" s="45">
        <v>838</v>
      </c>
      <c r="E567" s="51"/>
      <c r="F567" s="2"/>
      <c r="G567" s="71"/>
    </row>
    <row r="568" spans="1:7" s="6" customFormat="1" ht="15.75" customHeight="1" x14ac:dyDescent="0.25">
      <c r="A568" s="1"/>
      <c r="B568" s="3"/>
      <c r="C568" s="36" t="s">
        <v>638</v>
      </c>
      <c r="D568" s="45">
        <v>426</v>
      </c>
      <c r="E568" s="51"/>
      <c r="F568" s="2"/>
      <c r="G568" s="71"/>
    </row>
    <row r="569" spans="1:7" s="6" customFormat="1" ht="15.75" customHeight="1" x14ac:dyDescent="0.25">
      <c r="A569" s="1"/>
      <c r="B569" s="3"/>
      <c r="C569" s="36" t="s">
        <v>639</v>
      </c>
      <c r="D569" s="45">
        <v>583</v>
      </c>
      <c r="E569" s="51"/>
      <c r="F569" s="2"/>
      <c r="G569" s="71"/>
    </row>
    <row r="570" spans="1:7" s="6" customFormat="1" ht="15.75" customHeight="1" x14ac:dyDescent="0.25">
      <c r="A570" s="1"/>
      <c r="B570" s="3"/>
      <c r="C570" s="36" t="s">
        <v>640</v>
      </c>
      <c r="D570" s="45">
        <v>2294</v>
      </c>
      <c r="E570" s="51"/>
      <c r="F570" s="2"/>
      <c r="G570" s="71"/>
    </row>
    <row r="571" spans="1:7" s="6" customFormat="1" ht="15.75" customHeight="1" x14ac:dyDescent="0.25">
      <c r="A571" s="1"/>
      <c r="B571" s="3"/>
      <c r="C571" s="36" t="s">
        <v>268</v>
      </c>
      <c r="D571" s="45">
        <v>819</v>
      </c>
      <c r="E571" s="51"/>
      <c r="F571" s="2"/>
      <c r="G571" s="71"/>
    </row>
    <row r="572" spans="1:7" s="6" customFormat="1" ht="15.75" customHeight="1" x14ac:dyDescent="0.25">
      <c r="A572" s="1"/>
      <c r="B572" s="3"/>
      <c r="C572" s="36" t="s">
        <v>641</v>
      </c>
      <c r="D572" s="45">
        <v>1270</v>
      </c>
      <c r="E572" s="51"/>
      <c r="F572" s="2"/>
      <c r="G572" s="71"/>
    </row>
    <row r="573" spans="1:7" s="6" customFormat="1" ht="15.75" customHeight="1" x14ac:dyDescent="0.25">
      <c r="A573" s="1"/>
      <c r="B573" s="3"/>
      <c r="C573" s="36" t="s">
        <v>2</v>
      </c>
      <c r="D573" s="45">
        <v>972</v>
      </c>
      <c r="E573" s="51"/>
      <c r="F573" s="2"/>
      <c r="G573" s="71"/>
    </row>
    <row r="574" spans="1:7" s="6" customFormat="1" ht="15.75" customHeight="1" x14ac:dyDescent="0.25">
      <c r="A574" s="1"/>
      <c r="B574" s="3"/>
      <c r="C574" s="36" t="s">
        <v>238</v>
      </c>
      <c r="D574" s="45">
        <v>283</v>
      </c>
      <c r="E574" s="51"/>
      <c r="F574" s="2"/>
      <c r="G574" s="71"/>
    </row>
    <row r="575" spans="1:7" s="6" customFormat="1" ht="15.75" customHeight="1" x14ac:dyDescent="0.25">
      <c r="A575" s="1"/>
      <c r="B575" s="3"/>
      <c r="C575" s="36" t="s">
        <v>642</v>
      </c>
      <c r="D575" s="45">
        <v>705</v>
      </c>
      <c r="E575" s="51"/>
      <c r="F575" s="2"/>
      <c r="G575" s="71"/>
    </row>
    <row r="576" spans="1:7" s="6" customFormat="1" ht="15.75" customHeight="1" x14ac:dyDescent="0.25">
      <c r="A576" s="1"/>
      <c r="B576" s="3"/>
      <c r="C576" s="36" t="s">
        <v>5</v>
      </c>
      <c r="D576" s="45">
        <v>900</v>
      </c>
      <c r="E576" s="51"/>
      <c r="F576" s="2"/>
      <c r="G576" s="71"/>
    </row>
    <row r="577" spans="1:7" s="6" customFormat="1" ht="15.75" customHeight="1" x14ac:dyDescent="0.25">
      <c r="A577" s="1"/>
      <c r="B577" s="3"/>
      <c r="C577" s="36" t="s">
        <v>6</v>
      </c>
      <c r="D577" s="45">
        <v>1949</v>
      </c>
      <c r="E577" s="51"/>
      <c r="F577" s="2"/>
      <c r="G577" s="71"/>
    </row>
    <row r="578" spans="1:7" s="6" customFormat="1" ht="15.75" customHeight="1" x14ac:dyDescent="0.25">
      <c r="A578" s="1"/>
      <c r="B578" s="3"/>
      <c r="C578" s="36" t="s">
        <v>15</v>
      </c>
      <c r="D578" s="45">
        <v>713</v>
      </c>
      <c r="E578" s="51"/>
      <c r="F578" s="2"/>
      <c r="G578" s="71"/>
    </row>
    <row r="579" spans="1:7" s="6" customFormat="1" ht="15.75" customHeight="1" x14ac:dyDescent="0.25">
      <c r="A579" s="1"/>
      <c r="B579" s="3"/>
      <c r="C579" s="36" t="s">
        <v>145</v>
      </c>
      <c r="D579" s="45">
        <v>1085</v>
      </c>
      <c r="E579" s="51"/>
      <c r="F579" s="2"/>
      <c r="G579" s="71"/>
    </row>
    <row r="580" spans="1:7" s="6" customFormat="1" ht="15.75" customHeight="1" x14ac:dyDescent="0.25">
      <c r="A580" s="1"/>
      <c r="B580" s="3"/>
      <c r="C580" s="36" t="s">
        <v>75</v>
      </c>
      <c r="D580" s="45">
        <v>947</v>
      </c>
      <c r="E580" s="51"/>
      <c r="F580" s="2"/>
      <c r="G580" s="71"/>
    </row>
    <row r="581" spans="1:7" s="6" customFormat="1" ht="15.75" customHeight="1" x14ac:dyDescent="0.25">
      <c r="A581" s="1"/>
      <c r="B581" s="3"/>
      <c r="C581" s="36" t="s">
        <v>643</v>
      </c>
      <c r="D581" s="45">
        <v>506</v>
      </c>
      <c r="E581" s="51"/>
      <c r="F581" s="2"/>
      <c r="G581" s="71"/>
    </row>
    <row r="582" spans="1:7" s="6" customFormat="1" ht="15.75" customHeight="1" x14ac:dyDescent="0.25">
      <c r="A582" s="1"/>
      <c r="B582" s="3"/>
      <c r="C582" s="36" t="s">
        <v>644</v>
      </c>
      <c r="D582" s="45">
        <v>1283</v>
      </c>
      <c r="E582" s="51"/>
      <c r="F582" s="2"/>
      <c r="G582" s="71"/>
    </row>
    <row r="583" spans="1:7" s="6" customFormat="1" ht="15.75" customHeight="1" x14ac:dyDescent="0.25">
      <c r="A583" s="1"/>
      <c r="B583" s="3"/>
      <c r="C583" s="36" t="s">
        <v>645</v>
      </c>
      <c r="D583" s="45">
        <v>1084</v>
      </c>
      <c r="E583" s="51"/>
      <c r="F583" s="2"/>
      <c r="G583" s="71"/>
    </row>
    <row r="584" spans="1:7" s="6" customFormat="1" ht="15.75" customHeight="1" x14ac:dyDescent="0.25">
      <c r="A584" s="1"/>
      <c r="B584" s="3"/>
      <c r="C584" s="36" t="s">
        <v>646</v>
      </c>
      <c r="D584" s="45">
        <v>1127</v>
      </c>
      <c r="E584" s="51"/>
      <c r="F584" s="2"/>
      <c r="G584" s="71"/>
    </row>
    <row r="585" spans="1:7" s="6" customFormat="1" ht="15.75" customHeight="1" x14ac:dyDescent="0.25">
      <c r="A585" s="1"/>
      <c r="B585" s="3"/>
      <c r="C585" s="36"/>
      <c r="D585" s="46"/>
      <c r="E585" s="51"/>
      <c r="F585" s="2"/>
      <c r="G585" s="71"/>
    </row>
    <row r="586" spans="1:7" s="6" customFormat="1" ht="15.75" customHeight="1" x14ac:dyDescent="0.25">
      <c r="A586" s="1"/>
      <c r="B586" s="3"/>
      <c r="C586" s="35" t="s">
        <v>1962</v>
      </c>
      <c r="D586" s="57">
        <f>SUM(D587:D619)</f>
        <v>35832</v>
      </c>
      <c r="E586" s="51"/>
      <c r="F586" s="2"/>
      <c r="G586" s="71"/>
    </row>
    <row r="587" spans="1:7" s="6" customFormat="1" ht="15.75" customHeight="1" x14ac:dyDescent="0.25">
      <c r="A587" s="1"/>
      <c r="B587" s="3"/>
      <c r="C587" s="36" t="s">
        <v>570</v>
      </c>
      <c r="D587" s="45">
        <v>931</v>
      </c>
      <c r="E587" s="51"/>
      <c r="F587" s="2"/>
      <c r="G587" s="71"/>
    </row>
    <row r="588" spans="1:7" s="6" customFormat="1" ht="15.75" customHeight="1" x14ac:dyDescent="0.25">
      <c r="A588" s="1"/>
      <c r="B588" s="3"/>
      <c r="C588" s="36" t="s">
        <v>647</v>
      </c>
      <c r="D588" s="45">
        <v>1374</v>
      </c>
      <c r="E588" s="51"/>
      <c r="F588" s="2"/>
      <c r="G588" s="71"/>
    </row>
    <row r="589" spans="1:7" s="6" customFormat="1" ht="15.75" customHeight="1" x14ac:dyDescent="0.25">
      <c r="A589" s="1"/>
      <c r="B589" s="3"/>
      <c r="C589" s="36" t="s">
        <v>316</v>
      </c>
      <c r="D589" s="45">
        <v>1298</v>
      </c>
      <c r="E589" s="51"/>
      <c r="F589" s="2"/>
      <c r="G589" s="71"/>
    </row>
    <row r="590" spans="1:7" s="6" customFormat="1" ht="15.75" customHeight="1" x14ac:dyDescent="0.25">
      <c r="A590" s="1"/>
      <c r="B590" s="3"/>
      <c r="C590" s="36" t="s">
        <v>648</v>
      </c>
      <c r="D590" s="45">
        <v>359</v>
      </c>
      <c r="E590" s="51"/>
      <c r="F590" s="2"/>
      <c r="G590" s="71"/>
    </row>
    <row r="591" spans="1:7" s="6" customFormat="1" ht="15.75" customHeight="1" x14ac:dyDescent="0.25">
      <c r="A591" s="1"/>
      <c r="B591" s="3"/>
      <c r="C591" s="36" t="s">
        <v>649</v>
      </c>
      <c r="D591" s="45">
        <v>1059</v>
      </c>
      <c r="E591" s="51"/>
      <c r="F591" s="2"/>
      <c r="G591" s="71"/>
    </row>
    <row r="592" spans="1:7" s="6" customFormat="1" ht="15.75" customHeight="1" x14ac:dyDescent="0.25">
      <c r="A592" s="1"/>
      <c r="B592" s="3"/>
      <c r="C592" s="36" t="s">
        <v>650</v>
      </c>
      <c r="D592" s="45">
        <v>1631</v>
      </c>
      <c r="E592" s="51"/>
      <c r="F592" s="2"/>
      <c r="G592" s="71"/>
    </row>
    <row r="593" spans="1:7" s="6" customFormat="1" ht="15.75" customHeight="1" x14ac:dyDescent="0.25">
      <c r="A593" s="1"/>
      <c r="B593" s="3"/>
      <c r="C593" s="36" t="s">
        <v>148</v>
      </c>
      <c r="D593" s="45">
        <v>1391</v>
      </c>
      <c r="E593" s="51"/>
      <c r="F593" s="2"/>
      <c r="G593" s="71"/>
    </row>
    <row r="594" spans="1:7" s="6" customFormat="1" ht="15.75" customHeight="1" x14ac:dyDescent="0.25">
      <c r="A594" s="1"/>
      <c r="B594" s="3"/>
      <c r="C594" s="36" t="s">
        <v>651</v>
      </c>
      <c r="D594" s="45">
        <v>1550</v>
      </c>
      <c r="E594" s="51"/>
      <c r="F594" s="2"/>
      <c r="G594" s="71"/>
    </row>
    <row r="595" spans="1:7" s="6" customFormat="1" ht="15.75" customHeight="1" x14ac:dyDescent="0.25">
      <c r="A595" s="1"/>
      <c r="B595" s="3"/>
      <c r="C595" s="36" t="s">
        <v>652</v>
      </c>
      <c r="D595" s="45">
        <v>1101</v>
      </c>
      <c r="E595" s="51"/>
      <c r="F595" s="2"/>
      <c r="G595" s="71"/>
    </row>
    <row r="596" spans="1:7" s="6" customFormat="1" ht="15.75" customHeight="1" x14ac:dyDescent="0.25">
      <c r="A596" s="1"/>
      <c r="B596" s="3"/>
      <c r="C596" s="36" t="s">
        <v>653</v>
      </c>
      <c r="D596" s="45">
        <v>504</v>
      </c>
      <c r="E596" s="51"/>
      <c r="F596" s="2"/>
      <c r="G596" s="71"/>
    </row>
    <row r="597" spans="1:7" s="6" customFormat="1" ht="15.75" customHeight="1" x14ac:dyDescent="0.25">
      <c r="A597" s="1"/>
      <c r="B597" s="3"/>
      <c r="C597" s="36" t="s">
        <v>654</v>
      </c>
      <c r="D597" s="45">
        <v>2795</v>
      </c>
      <c r="E597" s="51"/>
      <c r="F597" s="2"/>
      <c r="G597" s="71"/>
    </row>
    <row r="598" spans="1:7" s="6" customFormat="1" ht="15.75" customHeight="1" x14ac:dyDescent="0.25">
      <c r="A598" s="1"/>
      <c r="B598" s="3"/>
      <c r="C598" s="36" t="s">
        <v>655</v>
      </c>
      <c r="D598" s="45">
        <v>995</v>
      </c>
      <c r="E598" s="51"/>
      <c r="F598" s="2"/>
      <c r="G598" s="71"/>
    </row>
    <row r="599" spans="1:7" s="6" customFormat="1" ht="15.75" customHeight="1" x14ac:dyDescent="0.25">
      <c r="A599" s="1"/>
      <c r="B599" s="3"/>
      <c r="C599" s="36" t="s">
        <v>656</v>
      </c>
      <c r="D599" s="45">
        <v>849</v>
      </c>
      <c r="E599" s="51"/>
      <c r="F599" s="2"/>
      <c r="G599" s="71"/>
    </row>
    <row r="600" spans="1:7" s="6" customFormat="1" ht="15.75" customHeight="1" x14ac:dyDescent="0.25">
      <c r="A600" s="1"/>
      <c r="B600" s="3"/>
      <c r="C600" s="36" t="s">
        <v>657</v>
      </c>
      <c r="D600" s="45">
        <v>344</v>
      </c>
      <c r="E600" s="51"/>
      <c r="F600" s="2"/>
      <c r="G600" s="71"/>
    </row>
    <row r="601" spans="1:7" s="6" customFormat="1" ht="15.75" customHeight="1" x14ac:dyDescent="0.25">
      <c r="A601" s="1"/>
      <c r="B601" s="3"/>
      <c r="C601" s="36" t="s">
        <v>658</v>
      </c>
      <c r="D601" s="45">
        <v>2217</v>
      </c>
      <c r="E601" s="51"/>
      <c r="F601" s="2"/>
      <c r="G601" s="71"/>
    </row>
    <row r="602" spans="1:7" s="6" customFormat="1" ht="15.75" customHeight="1" x14ac:dyDescent="0.25">
      <c r="A602" s="1"/>
      <c r="B602" s="3"/>
      <c r="C602" s="36" t="s">
        <v>659</v>
      </c>
      <c r="D602" s="45">
        <v>560</v>
      </c>
      <c r="E602" s="51"/>
      <c r="F602" s="2"/>
      <c r="G602" s="71"/>
    </row>
    <row r="603" spans="1:7" s="6" customFormat="1" ht="15.75" customHeight="1" x14ac:dyDescent="0.25">
      <c r="A603" s="1"/>
      <c r="B603" s="3"/>
      <c r="C603" s="36" t="s">
        <v>27</v>
      </c>
      <c r="D603" s="45">
        <v>381</v>
      </c>
      <c r="E603" s="51"/>
      <c r="F603" s="2"/>
      <c r="G603" s="71"/>
    </row>
    <row r="604" spans="1:7" s="6" customFormat="1" ht="15.75" customHeight="1" x14ac:dyDescent="0.25">
      <c r="A604" s="1"/>
      <c r="B604" s="3"/>
      <c r="C604" s="36" t="s">
        <v>660</v>
      </c>
      <c r="D604" s="45">
        <v>494</v>
      </c>
      <c r="E604" s="51"/>
      <c r="F604" s="2"/>
      <c r="G604" s="71"/>
    </row>
    <row r="605" spans="1:7" s="6" customFormat="1" ht="15.75" customHeight="1" x14ac:dyDescent="0.25">
      <c r="A605" s="1"/>
      <c r="B605" s="3"/>
      <c r="C605" s="36" t="s">
        <v>661</v>
      </c>
      <c r="D605" s="45">
        <v>275</v>
      </c>
      <c r="E605" s="51"/>
      <c r="F605" s="2"/>
      <c r="G605" s="71"/>
    </row>
    <row r="606" spans="1:7" s="6" customFormat="1" ht="15.75" customHeight="1" x14ac:dyDescent="0.25">
      <c r="A606" s="1"/>
      <c r="B606" s="3"/>
      <c r="C606" s="36" t="s">
        <v>662</v>
      </c>
      <c r="D606" s="45">
        <v>979</v>
      </c>
      <c r="E606" s="51"/>
      <c r="F606" s="2"/>
      <c r="G606" s="71"/>
    </row>
    <row r="607" spans="1:7" s="6" customFormat="1" ht="15.75" customHeight="1" x14ac:dyDescent="0.25">
      <c r="A607" s="1"/>
      <c r="B607" s="3"/>
      <c r="C607" s="36" t="s">
        <v>167</v>
      </c>
      <c r="D607" s="45">
        <v>1395</v>
      </c>
      <c r="E607" s="51"/>
      <c r="F607" s="2"/>
      <c r="G607" s="71"/>
    </row>
    <row r="608" spans="1:7" s="6" customFormat="1" ht="15.75" customHeight="1" x14ac:dyDescent="0.25">
      <c r="A608" s="1"/>
      <c r="B608" s="3"/>
      <c r="C608" s="36" t="s">
        <v>663</v>
      </c>
      <c r="D608" s="45">
        <v>639</v>
      </c>
      <c r="E608" s="51"/>
      <c r="F608" s="2"/>
      <c r="G608" s="71"/>
    </row>
    <row r="609" spans="1:7" s="6" customFormat="1" ht="15.75" customHeight="1" x14ac:dyDescent="0.25">
      <c r="A609" s="1"/>
      <c r="B609" s="3"/>
      <c r="C609" s="36" t="s">
        <v>45</v>
      </c>
      <c r="D609" s="45">
        <v>1196</v>
      </c>
      <c r="E609" s="51"/>
      <c r="F609" s="2"/>
      <c r="G609" s="71"/>
    </row>
    <row r="610" spans="1:7" s="6" customFormat="1" ht="15.75" customHeight="1" x14ac:dyDescent="0.25">
      <c r="A610" s="1"/>
      <c r="B610" s="3"/>
      <c r="C610" s="36" t="s">
        <v>664</v>
      </c>
      <c r="D610" s="45">
        <v>2217</v>
      </c>
      <c r="E610" s="51"/>
      <c r="F610" s="2"/>
      <c r="G610" s="71"/>
    </row>
    <row r="611" spans="1:7" s="6" customFormat="1" ht="15.75" customHeight="1" x14ac:dyDescent="0.25">
      <c r="A611" s="1"/>
      <c r="B611" s="3"/>
      <c r="C611" s="36" t="s">
        <v>665</v>
      </c>
      <c r="D611" s="45">
        <v>640</v>
      </c>
      <c r="E611" s="51"/>
      <c r="F611" s="2"/>
      <c r="G611" s="71"/>
    </row>
    <row r="612" spans="1:7" s="6" customFormat="1" ht="15.75" customHeight="1" x14ac:dyDescent="0.25">
      <c r="A612" s="1"/>
      <c r="B612" s="3"/>
      <c r="C612" s="36" t="s">
        <v>666</v>
      </c>
      <c r="D612" s="45">
        <v>327</v>
      </c>
      <c r="E612" s="51"/>
      <c r="F612" s="2"/>
      <c r="G612" s="71"/>
    </row>
    <row r="613" spans="1:7" s="6" customFormat="1" ht="15.75" customHeight="1" x14ac:dyDescent="0.25">
      <c r="A613" s="1"/>
      <c r="B613" s="3"/>
      <c r="C613" s="36" t="s">
        <v>118</v>
      </c>
      <c r="D613" s="45">
        <v>1038</v>
      </c>
      <c r="E613" s="51"/>
      <c r="F613" s="2"/>
      <c r="G613" s="71"/>
    </row>
    <row r="614" spans="1:7" s="6" customFormat="1" ht="15.75" customHeight="1" x14ac:dyDescent="0.25">
      <c r="A614" s="1"/>
      <c r="B614" s="3"/>
      <c r="C614" s="36" t="s">
        <v>667</v>
      </c>
      <c r="D614" s="45">
        <v>1377</v>
      </c>
      <c r="E614" s="51"/>
      <c r="F614" s="2"/>
      <c r="G614" s="71"/>
    </row>
    <row r="615" spans="1:7" s="6" customFormat="1" ht="15.75" customHeight="1" x14ac:dyDescent="0.25">
      <c r="A615" s="1"/>
      <c r="B615" s="3"/>
      <c r="C615" s="36" t="s">
        <v>668</v>
      </c>
      <c r="D615" s="45">
        <v>1185</v>
      </c>
      <c r="E615" s="51"/>
      <c r="F615" s="2"/>
      <c r="G615" s="71"/>
    </row>
    <row r="616" spans="1:7" s="6" customFormat="1" ht="15.75" customHeight="1" x14ac:dyDescent="0.25">
      <c r="A616" s="1"/>
      <c r="B616" s="3"/>
      <c r="C616" s="36" t="s">
        <v>669</v>
      </c>
      <c r="D616" s="45">
        <v>997</v>
      </c>
      <c r="E616" s="51"/>
      <c r="F616" s="2"/>
      <c r="G616" s="71"/>
    </row>
    <row r="617" spans="1:7" s="6" customFormat="1" ht="15.75" customHeight="1" x14ac:dyDescent="0.25">
      <c r="A617" s="1"/>
      <c r="B617" s="3"/>
      <c r="C617" s="36" t="s">
        <v>670</v>
      </c>
      <c r="D617" s="45">
        <v>1435</v>
      </c>
      <c r="E617" s="51"/>
      <c r="F617" s="2"/>
      <c r="G617" s="71"/>
    </row>
    <row r="618" spans="1:7" s="6" customFormat="1" ht="15.75" customHeight="1" x14ac:dyDescent="0.25">
      <c r="A618" s="1"/>
      <c r="B618" s="3"/>
      <c r="C618" s="36" t="s">
        <v>671</v>
      </c>
      <c r="D618" s="45">
        <v>634</v>
      </c>
      <c r="E618" s="51"/>
      <c r="F618" s="2"/>
      <c r="G618" s="71"/>
    </row>
    <row r="619" spans="1:7" s="6" customFormat="1" ht="15.75" customHeight="1" x14ac:dyDescent="0.25">
      <c r="A619" s="1"/>
      <c r="B619" s="3"/>
      <c r="C619" s="36" t="s">
        <v>672</v>
      </c>
      <c r="D619" s="45">
        <v>1665</v>
      </c>
      <c r="E619" s="51"/>
      <c r="F619" s="2"/>
      <c r="G619" s="71"/>
    </row>
    <row r="620" spans="1:7" s="6" customFormat="1" ht="15.75" customHeight="1" x14ac:dyDescent="0.25">
      <c r="A620" s="1"/>
      <c r="B620" s="3"/>
      <c r="C620" s="36"/>
      <c r="D620" s="46"/>
      <c r="E620" s="51"/>
      <c r="F620" s="2"/>
      <c r="G620" s="71"/>
    </row>
    <row r="621" spans="1:7" s="6" customFormat="1" ht="15.75" customHeight="1" x14ac:dyDescent="0.25">
      <c r="A621" s="1"/>
      <c r="B621" s="3"/>
      <c r="C621" s="35" t="s">
        <v>1947</v>
      </c>
      <c r="D621" s="57">
        <f>SUM(D622:D645)</f>
        <v>33422</v>
      </c>
      <c r="E621" s="51"/>
      <c r="F621" s="2"/>
      <c r="G621" s="71"/>
    </row>
    <row r="622" spans="1:7" s="6" customFormat="1" ht="15.75" customHeight="1" x14ac:dyDescent="0.25">
      <c r="A622" s="1"/>
      <c r="B622" s="3"/>
      <c r="C622" s="36" t="s">
        <v>673</v>
      </c>
      <c r="D622" s="45">
        <v>1203</v>
      </c>
      <c r="E622" s="51"/>
      <c r="F622" s="2"/>
      <c r="G622" s="71"/>
    </row>
    <row r="623" spans="1:7" s="6" customFormat="1" ht="15.75" customHeight="1" x14ac:dyDescent="0.25">
      <c r="A623" s="1"/>
      <c r="B623" s="3"/>
      <c r="C623" s="36" t="s">
        <v>674</v>
      </c>
      <c r="D623" s="45">
        <v>1524</v>
      </c>
      <c r="E623" s="51"/>
      <c r="F623" s="2"/>
      <c r="G623" s="71"/>
    </row>
    <row r="624" spans="1:7" s="6" customFormat="1" ht="15.75" customHeight="1" x14ac:dyDescent="0.25">
      <c r="A624" s="1"/>
      <c r="B624" s="3"/>
      <c r="C624" s="36" t="s">
        <v>648</v>
      </c>
      <c r="D624" s="45">
        <v>973</v>
      </c>
      <c r="E624" s="51"/>
      <c r="F624" s="2"/>
      <c r="G624" s="71"/>
    </row>
    <row r="625" spans="1:7" s="6" customFormat="1" ht="15.75" customHeight="1" x14ac:dyDescent="0.25">
      <c r="A625" s="1"/>
      <c r="B625" s="3"/>
      <c r="C625" s="36" t="s">
        <v>675</v>
      </c>
      <c r="D625" s="45">
        <v>1287</v>
      </c>
      <c r="E625" s="51"/>
      <c r="F625" s="2"/>
      <c r="G625" s="71"/>
    </row>
    <row r="626" spans="1:7" s="6" customFormat="1" ht="15.75" customHeight="1" x14ac:dyDescent="0.25">
      <c r="A626" s="1"/>
      <c r="B626" s="3"/>
      <c r="C626" s="36" t="s">
        <v>676</v>
      </c>
      <c r="D626" s="45">
        <v>535</v>
      </c>
      <c r="E626" s="51"/>
      <c r="F626" s="2"/>
      <c r="G626" s="71"/>
    </row>
    <row r="627" spans="1:7" s="6" customFormat="1" ht="15.75" customHeight="1" x14ac:dyDescent="0.25">
      <c r="A627" s="1"/>
      <c r="B627" s="3"/>
      <c r="C627" s="36" t="s">
        <v>677</v>
      </c>
      <c r="D627" s="45">
        <v>1037</v>
      </c>
      <c r="E627" s="51"/>
      <c r="F627" s="2"/>
      <c r="G627" s="71"/>
    </row>
    <row r="628" spans="1:7" s="6" customFormat="1" ht="15.75" customHeight="1" x14ac:dyDescent="0.25">
      <c r="A628" s="1"/>
      <c r="B628" s="3"/>
      <c r="C628" s="36" t="s">
        <v>678</v>
      </c>
      <c r="D628" s="45">
        <v>934</v>
      </c>
      <c r="E628" s="51"/>
      <c r="F628" s="2"/>
      <c r="G628" s="71"/>
    </row>
    <row r="629" spans="1:7" s="6" customFormat="1" ht="15.75" customHeight="1" x14ac:dyDescent="0.25">
      <c r="A629" s="1"/>
      <c r="B629" s="3"/>
      <c r="C629" s="36" t="s">
        <v>679</v>
      </c>
      <c r="D629" s="45">
        <v>1023</v>
      </c>
      <c r="E629" s="51"/>
      <c r="F629" s="2"/>
      <c r="G629" s="71"/>
    </row>
    <row r="630" spans="1:7" s="6" customFormat="1" ht="15.75" customHeight="1" x14ac:dyDescent="0.25">
      <c r="A630" s="1"/>
      <c r="B630" s="3"/>
      <c r="C630" s="36" t="s">
        <v>680</v>
      </c>
      <c r="D630" s="45">
        <v>1045</v>
      </c>
      <c r="E630" s="51"/>
      <c r="F630" s="2"/>
      <c r="G630" s="71"/>
    </row>
    <row r="631" spans="1:7" s="6" customFormat="1" ht="15.75" customHeight="1" x14ac:dyDescent="0.25">
      <c r="A631" s="1"/>
      <c r="B631" s="3"/>
      <c r="C631" s="36" t="s">
        <v>681</v>
      </c>
      <c r="D631" s="45">
        <v>1269</v>
      </c>
      <c r="E631" s="51"/>
      <c r="F631" s="2"/>
      <c r="G631" s="71"/>
    </row>
    <row r="632" spans="1:7" s="6" customFormat="1" ht="15.75" customHeight="1" x14ac:dyDescent="0.25">
      <c r="A632" s="1"/>
      <c r="B632" s="3"/>
      <c r="C632" s="36" t="s">
        <v>682</v>
      </c>
      <c r="D632" s="45">
        <v>1416</v>
      </c>
      <c r="E632" s="51"/>
      <c r="F632" s="2"/>
      <c r="G632" s="71"/>
    </row>
    <row r="633" spans="1:7" s="6" customFormat="1" ht="15.75" customHeight="1" x14ac:dyDescent="0.25">
      <c r="A633" s="1"/>
      <c r="B633" s="3"/>
      <c r="C633" s="36" t="s">
        <v>683</v>
      </c>
      <c r="D633" s="45">
        <v>1052</v>
      </c>
      <c r="E633" s="51"/>
      <c r="F633" s="2"/>
      <c r="G633" s="71"/>
    </row>
    <row r="634" spans="1:7" s="6" customFormat="1" ht="15.75" customHeight="1" x14ac:dyDescent="0.25">
      <c r="A634" s="1"/>
      <c r="B634" s="3"/>
      <c r="C634" s="36" t="s">
        <v>684</v>
      </c>
      <c r="D634" s="45">
        <v>1718</v>
      </c>
      <c r="E634" s="51"/>
      <c r="F634" s="2"/>
      <c r="G634" s="71"/>
    </row>
    <row r="635" spans="1:7" s="6" customFormat="1" ht="15.75" customHeight="1" x14ac:dyDescent="0.25">
      <c r="A635" s="1"/>
      <c r="B635" s="3"/>
      <c r="C635" s="36" t="s">
        <v>685</v>
      </c>
      <c r="D635" s="45">
        <v>607</v>
      </c>
      <c r="E635" s="51"/>
      <c r="F635" s="2"/>
      <c r="G635" s="71"/>
    </row>
    <row r="636" spans="1:7" s="6" customFormat="1" ht="15.75" customHeight="1" x14ac:dyDescent="0.25">
      <c r="A636" s="1"/>
      <c r="B636" s="3"/>
      <c r="C636" s="36" t="s">
        <v>686</v>
      </c>
      <c r="D636" s="45">
        <v>2115</v>
      </c>
      <c r="E636" s="51"/>
      <c r="F636" s="2"/>
      <c r="G636" s="71"/>
    </row>
    <row r="637" spans="1:7" s="6" customFormat="1" ht="15.75" customHeight="1" x14ac:dyDescent="0.25">
      <c r="A637" s="1"/>
      <c r="B637" s="3"/>
      <c r="C637" s="36" t="s">
        <v>241</v>
      </c>
      <c r="D637" s="45">
        <v>2362</v>
      </c>
      <c r="E637" s="51"/>
      <c r="F637" s="2"/>
      <c r="G637" s="71"/>
    </row>
    <row r="638" spans="1:7" s="6" customFormat="1" ht="15.75" customHeight="1" x14ac:dyDescent="0.25">
      <c r="A638" s="1"/>
      <c r="B638" s="3"/>
      <c r="C638" s="36" t="s">
        <v>2</v>
      </c>
      <c r="D638" s="45">
        <v>2704</v>
      </c>
      <c r="E638" s="51"/>
      <c r="F638" s="2"/>
      <c r="G638" s="71"/>
    </row>
    <row r="639" spans="1:7" s="6" customFormat="1" ht="15.75" customHeight="1" x14ac:dyDescent="0.25">
      <c r="A639" s="1"/>
      <c r="B639" s="3"/>
      <c r="C639" s="36" t="s">
        <v>687</v>
      </c>
      <c r="D639" s="45">
        <v>1977</v>
      </c>
      <c r="E639" s="51"/>
      <c r="F639" s="2"/>
      <c r="G639" s="71"/>
    </row>
    <row r="640" spans="1:7" s="6" customFormat="1" ht="15.75" customHeight="1" x14ac:dyDescent="0.25">
      <c r="A640" s="1"/>
      <c r="B640" s="3"/>
      <c r="C640" s="36" t="s">
        <v>688</v>
      </c>
      <c r="D640" s="45">
        <v>1313</v>
      </c>
      <c r="E640" s="51"/>
      <c r="F640" s="2"/>
      <c r="G640" s="71"/>
    </row>
    <row r="641" spans="1:7" s="6" customFormat="1" ht="15.75" customHeight="1" x14ac:dyDescent="0.25">
      <c r="A641" s="1"/>
      <c r="B641" s="3"/>
      <c r="C641" s="36" t="s">
        <v>6</v>
      </c>
      <c r="D641" s="45">
        <v>1813</v>
      </c>
      <c r="E641" s="51"/>
      <c r="F641" s="2"/>
      <c r="G641" s="71"/>
    </row>
    <row r="642" spans="1:7" s="6" customFormat="1" ht="15.75" customHeight="1" x14ac:dyDescent="0.25">
      <c r="A642" s="1"/>
      <c r="B642" s="3"/>
      <c r="C642" s="36" t="s">
        <v>15</v>
      </c>
      <c r="D642" s="45">
        <v>754</v>
      </c>
      <c r="E642" s="51"/>
      <c r="F642" s="2"/>
      <c r="G642" s="71"/>
    </row>
    <row r="643" spans="1:7" s="6" customFormat="1" ht="15.75" customHeight="1" x14ac:dyDescent="0.25">
      <c r="A643" s="1"/>
      <c r="B643" s="3"/>
      <c r="C643" s="36" t="s">
        <v>197</v>
      </c>
      <c r="D643" s="45">
        <v>1667</v>
      </c>
      <c r="E643" s="51"/>
      <c r="F643" s="2"/>
      <c r="G643" s="71"/>
    </row>
    <row r="644" spans="1:7" s="6" customFormat="1" ht="15.75" customHeight="1" x14ac:dyDescent="0.25">
      <c r="A644" s="1"/>
      <c r="B644" s="3"/>
      <c r="C644" s="36" t="s">
        <v>113</v>
      </c>
      <c r="D644" s="45">
        <v>979</v>
      </c>
      <c r="E644" s="51"/>
      <c r="F644" s="2"/>
      <c r="G644" s="71"/>
    </row>
    <row r="645" spans="1:7" s="6" customFormat="1" ht="15.75" customHeight="1" x14ac:dyDescent="0.25">
      <c r="A645" s="1"/>
      <c r="B645" s="3"/>
      <c r="C645" s="36" t="s">
        <v>689</v>
      </c>
      <c r="D645" s="45">
        <v>2115</v>
      </c>
      <c r="E645" s="51"/>
      <c r="F645" s="2"/>
      <c r="G645" s="71"/>
    </row>
    <row r="646" spans="1:7" s="6" customFormat="1" ht="15.75" customHeight="1" x14ac:dyDescent="0.25">
      <c r="A646" s="1"/>
      <c r="B646" s="3"/>
      <c r="C646" s="36"/>
      <c r="D646" s="46"/>
      <c r="E646" s="51"/>
      <c r="F646" s="2"/>
      <c r="G646" s="71"/>
    </row>
    <row r="647" spans="1:7" s="6" customFormat="1" ht="15.75" customHeight="1" x14ac:dyDescent="0.25">
      <c r="A647" s="1"/>
      <c r="B647" s="3"/>
      <c r="C647" s="35" t="s">
        <v>690</v>
      </c>
      <c r="D647" s="57">
        <f>SUM(D648:D665)</f>
        <v>12240</v>
      </c>
      <c r="E647" s="51"/>
      <c r="F647" s="2"/>
      <c r="G647" s="71"/>
    </row>
    <row r="648" spans="1:7" s="6" customFormat="1" ht="15.75" customHeight="1" x14ac:dyDescent="0.25">
      <c r="A648" s="1"/>
      <c r="B648" s="3"/>
      <c r="C648" s="36" t="s">
        <v>109</v>
      </c>
      <c r="D648" s="45">
        <v>983</v>
      </c>
      <c r="E648" s="51"/>
      <c r="F648" s="2"/>
      <c r="G648" s="71"/>
    </row>
    <row r="649" spans="1:7" s="6" customFormat="1" ht="15.75" customHeight="1" x14ac:dyDescent="0.25">
      <c r="A649" s="1"/>
      <c r="B649" s="3"/>
      <c r="C649" s="36" t="s">
        <v>691</v>
      </c>
      <c r="D649" s="45">
        <v>631</v>
      </c>
      <c r="E649" s="51"/>
      <c r="F649" s="2"/>
      <c r="G649" s="71"/>
    </row>
    <row r="650" spans="1:7" s="6" customFormat="1" ht="15.75" customHeight="1" x14ac:dyDescent="0.25">
      <c r="A650" s="1"/>
      <c r="B650" s="3"/>
      <c r="C650" s="36" t="s">
        <v>692</v>
      </c>
      <c r="D650" s="45">
        <v>866</v>
      </c>
      <c r="E650" s="51"/>
      <c r="F650" s="2"/>
      <c r="G650" s="71"/>
    </row>
    <row r="651" spans="1:7" s="6" customFormat="1" ht="15.75" customHeight="1" x14ac:dyDescent="0.25">
      <c r="A651" s="1"/>
      <c r="B651" s="3"/>
      <c r="C651" s="36" t="s">
        <v>693</v>
      </c>
      <c r="D651" s="45">
        <v>974</v>
      </c>
      <c r="E651" s="51"/>
      <c r="F651" s="2"/>
      <c r="G651" s="71"/>
    </row>
    <row r="652" spans="1:7" s="6" customFormat="1" ht="15.75" customHeight="1" x14ac:dyDescent="0.25">
      <c r="A652" s="1"/>
      <c r="B652" s="3"/>
      <c r="C652" s="36" t="s">
        <v>694</v>
      </c>
      <c r="D652" s="45">
        <v>399</v>
      </c>
      <c r="E652" s="51"/>
      <c r="F652" s="2"/>
      <c r="G652" s="71"/>
    </row>
    <row r="653" spans="1:7" s="6" customFormat="1" ht="15.75" customHeight="1" x14ac:dyDescent="0.25">
      <c r="A653" s="1"/>
      <c r="B653" s="3"/>
      <c r="C653" s="36" t="s">
        <v>551</v>
      </c>
      <c r="D653" s="45">
        <v>396</v>
      </c>
      <c r="E653" s="51"/>
      <c r="F653" s="2"/>
      <c r="G653" s="71"/>
    </row>
    <row r="654" spans="1:7" s="6" customFormat="1" ht="15.75" customHeight="1" x14ac:dyDescent="0.25">
      <c r="A654" s="1"/>
      <c r="B654" s="3"/>
      <c r="C654" s="36" t="s">
        <v>695</v>
      </c>
      <c r="D654" s="45">
        <v>212</v>
      </c>
      <c r="E654" s="51"/>
      <c r="F654" s="2"/>
      <c r="G654" s="71"/>
    </row>
    <row r="655" spans="1:7" s="6" customFormat="1" ht="15.75" customHeight="1" x14ac:dyDescent="0.25">
      <c r="A655" s="1"/>
      <c r="B655" s="3"/>
      <c r="C655" s="36" t="s">
        <v>107</v>
      </c>
      <c r="D655" s="45">
        <v>451</v>
      </c>
      <c r="E655" s="51"/>
      <c r="F655" s="2"/>
      <c r="G655" s="71"/>
    </row>
    <row r="656" spans="1:7" s="6" customFormat="1" ht="15.75" customHeight="1" x14ac:dyDescent="0.25">
      <c r="A656" s="1"/>
      <c r="B656" s="3"/>
      <c r="C656" s="36" t="s">
        <v>696</v>
      </c>
      <c r="D656" s="45">
        <v>496</v>
      </c>
      <c r="E656" s="51"/>
      <c r="F656" s="2"/>
      <c r="G656" s="71"/>
    </row>
    <row r="657" spans="1:7" s="6" customFormat="1" ht="15.75" customHeight="1" x14ac:dyDescent="0.25">
      <c r="A657" s="1"/>
      <c r="B657" s="3"/>
      <c r="C657" s="36" t="s">
        <v>184</v>
      </c>
      <c r="D657" s="45">
        <v>705</v>
      </c>
      <c r="E657" s="51"/>
      <c r="F657" s="2"/>
      <c r="G657" s="71"/>
    </row>
    <row r="658" spans="1:7" s="6" customFormat="1" ht="15.75" customHeight="1" x14ac:dyDescent="0.25">
      <c r="A658" s="1"/>
      <c r="B658" s="3"/>
      <c r="C658" s="36" t="s">
        <v>697</v>
      </c>
      <c r="D658" s="45">
        <v>633</v>
      </c>
      <c r="E658" s="51"/>
      <c r="F658" s="2"/>
      <c r="G658" s="71"/>
    </row>
    <row r="659" spans="1:7" s="6" customFormat="1" ht="15.75" customHeight="1" x14ac:dyDescent="0.25">
      <c r="A659" s="1"/>
      <c r="B659" s="3"/>
      <c r="C659" s="36" t="s">
        <v>698</v>
      </c>
      <c r="D659" s="45">
        <v>590</v>
      </c>
      <c r="E659" s="51"/>
      <c r="F659" s="2"/>
      <c r="G659" s="71"/>
    </row>
    <row r="660" spans="1:7" s="6" customFormat="1" ht="15.75" customHeight="1" x14ac:dyDescent="0.25">
      <c r="A660" s="1"/>
      <c r="B660" s="3"/>
      <c r="C660" s="36" t="s">
        <v>699</v>
      </c>
      <c r="D660" s="45">
        <v>936</v>
      </c>
      <c r="E660" s="51"/>
      <c r="F660" s="2"/>
      <c r="G660" s="71"/>
    </row>
    <row r="661" spans="1:7" s="6" customFormat="1" ht="15.75" customHeight="1" x14ac:dyDescent="0.25">
      <c r="A661" s="1"/>
      <c r="B661" s="3"/>
      <c r="C661" s="36" t="s">
        <v>700</v>
      </c>
      <c r="D661" s="45">
        <v>175</v>
      </c>
      <c r="E661" s="51"/>
      <c r="F661" s="2"/>
      <c r="G661" s="71"/>
    </row>
    <row r="662" spans="1:7" s="6" customFormat="1" ht="15.75" customHeight="1" x14ac:dyDescent="0.25">
      <c r="A662" s="1"/>
      <c r="B662" s="3"/>
      <c r="C662" s="36" t="s">
        <v>701</v>
      </c>
      <c r="D662" s="45">
        <v>1147</v>
      </c>
      <c r="E662" s="51"/>
      <c r="F662" s="2"/>
      <c r="G662" s="71"/>
    </row>
    <row r="663" spans="1:7" s="6" customFormat="1" ht="15.75" customHeight="1" x14ac:dyDescent="0.25">
      <c r="A663" s="1"/>
      <c r="B663" s="3"/>
      <c r="C663" s="36" t="s">
        <v>2</v>
      </c>
      <c r="D663" s="45">
        <v>1146</v>
      </c>
      <c r="E663" s="51"/>
      <c r="F663" s="2"/>
      <c r="G663" s="71"/>
    </row>
    <row r="664" spans="1:7" s="6" customFormat="1" ht="15.75" customHeight="1" x14ac:dyDescent="0.25">
      <c r="A664" s="1"/>
      <c r="B664" s="3"/>
      <c r="C664" s="36" t="s">
        <v>702</v>
      </c>
      <c r="D664" s="45">
        <v>694</v>
      </c>
      <c r="E664" s="51"/>
      <c r="F664" s="2"/>
      <c r="G664" s="71"/>
    </row>
    <row r="665" spans="1:7" s="6" customFormat="1" ht="15.75" customHeight="1" x14ac:dyDescent="0.25">
      <c r="A665" s="1"/>
      <c r="B665" s="3"/>
      <c r="C665" s="36" t="s">
        <v>703</v>
      </c>
      <c r="D665" s="45">
        <v>806</v>
      </c>
      <c r="E665" s="51"/>
      <c r="F665" s="2"/>
      <c r="G665" s="71"/>
    </row>
    <row r="666" spans="1:7" s="6" customFormat="1" ht="15.75" customHeight="1" x14ac:dyDescent="0.25">
      <c r="A666" s="1"/>
      <c r="B666" s="3"/>
      <c r="C666" s="36"/>
      <c r="D666" s="46"/>
      <c r="E666" s="51"/>
      <c r="F666" s="2"/>
      <c r="G666" s="71"/>
    </row>
    <row r="667" spans="1:7" s="6" customFormat="1" ht="15.75" customHeight="1" x14ac:dyDescent="0.25">
      <c r="A667" s="1"/>
      <c r="B667" s="3"/>
      <c r="C667" s="35" t="s">
        <v>1963</v>
      </c>
      <c r="D667" s="57">
        <f>SUM(D668:D691)</f>
        <v>17855</v>
      </c>
      <c r="E667" s="51"/>
      <c r="F667" s="2"/>
      <c r="G667" s="71"/>
    </row>
    <row r="668" spans="1:7" s="6" customFormat="1" ht="15.75" customHeight="1" x14ac:dyDescent="0.25">
      <c r="A668" s="1"/>
      <c r="B668" s="3"/>
      <c r="C668" s="36" t="s">
        <v>704</v>
      </c>
      <c r="D668" s="45">
        <v>662</v>
      </c>
      <c r="E668" s="51"/>
      <c r="F668" s="2"/>
      <c r="G668" s="71"/>
    </row>
    <row r="669" spans="1:7" s="6" customFormat="1" ht="15.75" customHeight="1" x14ac:dyDescent="0.25">
      <c r="A669" s="1"/>
      <c r="B669" s="3"/>
      <c r="C669" s="36" t="s">
        <v>705</v>
      </c>
      <c r="D669" s="45">
        <v>277</v>
      </c>
      <c r="E669" s="51"/>
      <c r="F669" s="2"/>
      <c r="G669" s="71"/>
    </row>
    <row r="670" spans="1:7" s="6" customFormat="1" ht="15.75" customHeight="1" x14ac:dyDescent="0.25">
      <c r="A670" s="1"/>
      <c r="B670" s="3"/>
      <c r="C670" s="36" t="s">
        <v>706</v>
      </c>
      <c r="D670" s="45">
        <v>1190</v>
      </c>
      <c r="E670" s="51"/>
      <c r="F670" s="2"/>
      <c r="G670" s="71"/>
    </row>
    <row r="671" spans="1:7" s="6" customFormat="1" ht="15.75" customHeight="1" x14ac:dyDescent="0.25">
      <c r="A671" s="1"/>
      <c r="B671" s="3"/>
      <c r="C671" s="36" t="s">
        <v>43</v>
      </c>
      <c r="D671" s="45">
        <v>326</v>
      </c>
      <c r="E671" s="51"/>
      <c r="F671" s="2"/>
      <c r="G671" s="71"/>
    </row>
    <row r="672" spans="1:7" s="6" customFormat="1" ht="15.75" customHeight="1" x14ac:dyDescent="0.25">
      <c r="A672" s="1"/>
      <c r="B672" s="3"/>
      <c r="C672" s="36" t="s">
        <v>707</v>
      </c>
      <c r="D672" s="45">
        <v>680</v>
      </c>
      <c r="E672" s="51"/>
      <c r="F672" s="2"/>
      <c r="G672" s="71"/>
    </row>
    <row r="673" spans="1:7" s="6" customFormat="1" ht="15.75" customHeight="1" x14ac:dyDescent="0.25">
      <c r="A673" s="1"/>
      <c r="B673" s="3"/>
      <c r="C673" s="36" t="s">
        <v>708</v>
      </c>
      <c r="D673" s="45">
        <v>696</v>
      </c>
      <c r="E673" s="51"/>
      <c r="F673" s="2"/>
      <c r="G673" s="71"/>
    </row>
    <row r="674" spans="1:7" s="6" customFormat="1" ht="15.75" customHeight="1" x14ac:dyDescent="0.25">
      <c r="A674" s="1"/>
      <c r="B674" s="3"/>
      <c r="C674" s="36" t="s">
        <v>693</v>
      </c>
      <c r="D674" s="45">
        <v>938</v>
      </c>
      <c r="E674" s="51"/>
      <c r="F674" s="2"/>
      <c r="G674" s="71"/>
    </row>
    <row r="675" spans="1:7" s="6" customFormat="1" ht="15.75" customHeight="1" x14ac:dyDescent="0.25">
      <c r="A675" s="1"/>
      <c r="B675" s="3"/>
      <c r="C675" s="36" t="s">
        <v>18</v>
      </c>
      <c r="D675" s="45">
        <v>680</v>
      </c>
      <c r="E675" s="51"/>
      <c r="F675" s="2"/>
      <c r="G675" s="71"/>
    </row>
    <row r="676" spans="1:7" s="6" customFormat="1" ht="15.75" customHeight="1" x14ac:dyDescent="0.25">
      <c r="A676" s="1"/>
      <c r="B676" s="3"/>
      <c r="C676" s="36" t="s">
        <v>709</v>
      </c>
      <c r="D676" s="45">
        <v>482</v>
      </c>
      <c r="E676" s="51"/>
      <c r="F676" s="2"/>
      <c r="G676" s="71"/>
    </row>
    <row r="677" spans="1:7" s="6" customFormat="1" ht="15.75" customHeight="1" x14ac:dyDescent="0.25">
      <c r="A677" s="1"/>
      <c r="B677" s="3"/>
      <c r="C677" s="36" t="s">
        <v>710</v>
      </c>
      <c r="D677" s="45">
        <v>239</v>
      </c>
      <c r="E677" s="51"/>
      <c r="F677" s="2"/>
      <c r="G677" s="71"/>
    </row>
    <row r="678" spans="1:7" s="6" customFormat="1" ht="15.75" customHeight="1" x14ac:dyDescent="0.25">
      <c r="A678" s="1"/>
      <c r="B678" s="3"/>
      <c r="C678" s="36" t="s">
        <v>711</v>
      </c>
      <c r="D678" s="45">
        <v>784</v>
      </c>
      <c r="E678" s="51"/>
      <c r="F678" s="2"/>
      <c r="G678" s="71"/>
    </row>
    <row r="679" spans="1:7" s="6" customFormat="1" ht="15.75" customHeight="1" x14ac:dyDescent="0.25">
      <c r="A679" s="1"/>
      <c r="B679" s="3"/>
      <c r="C679" s="36" t="s">
        <v>712</v>
      </c>
      <c r="D679" s="45">
        <v>400</v>
      </c>
      <c r="E679" s="51"/>
      <c r="F679" s="2"/>
      <c r="G679" s="71"/>
    </row>
    <row r="680" spans="1:7" s="6" customFormat="1" ht="15.75" customHeight="1" x14ac:dyDescent="0.25">
      <c r="A680" s="1"/>
      <c r="B680" s="3"/>
      <c r="C680" s="36" t="s">
        <v>713</v>
      </c>
      <c r="D680" s="45">
        <v>1250</v>
      </c>
      <c r="E680" s="51"/>
      <c r="F680" s="2"/>
      <c r="G680" s="71"/>
    </row>
    <row r="681" spans="1:7" s="6" customFormat="1" ht="15.75" customHeight="1" x14ac:dyDescent="0.25">
      <c r="A681" s="1"/>
      <c r="B681" s="3"/>
      <c r="C681" s="36" t="s">
        <v>714</v>
      </c>
      <c r="D681" s="45">
        <v>674</v>
      </c>
      <c r="E681" s="51"/>
      <c r="F681" s="2"/>
      <c r="G681" s="71"/>
    </row>
    <row r="682" spans="1:7" s="6" customFormat="1" ht="15.75" customHeight="1" x14ac:dyDescent="0.25">
      <c r="A682" s="1"/>
      <c r="B682" s="3"/>
      <c r="C682" s="36" t="s">
        <v>715</v>
      </c>
      <c r="D682" s="45">
        <v>554</v>
      </c>
      <c r="E682" s="51"/>
      <c r="F682" s="2"/>
      <c r="G682" s="71"/>
    </row>
    <row r="683" spans="1:7" s="6" customFormat="1" ht="15.75" customHeight="1" x14ac:dyDescent="0.25">
      <c r="A683" s="1"/>
      <c r="B683" s="3"/>
      <c r="C683" s="36" t="s">
        <v>716</v>
      </c>
      <c r="D683" s="45">
        <v>868</v>
      </c>
      <c r="E683" s="51"/>
      <c r="F683" s="2"/>
      <c r="G683" s="71"/>
    </row>
    <row r="684" spans="1:7" s="6" customFormat="1" ht="15.75" customHeight="1" x14ac:dyDescent="0.25">
      <c r="A684" s="1"/>
      <c r="B684" s="3"/>
      <c r="C684" s="36" t="s">
        <v>717</v>
      </c>
      <c r="D684" s="45">
        <v>739</v>
      </c>
      <c r="E684" s="51"/>
      <c r="F684" s="2"/>
      <c r="G684" s="71"/>
    </row>
    <row r="685" spans="1:7" s="6" customFormat="1" ht="15.75" customHeight="1" x14ac:dyDescent="0.25">
      <c r="A685" s="1"/>
      <c r="B685" s="3"/>
      <c r="C685" s="36" t="s">
        <v>718</v>
      </c>
      <c r="D685" s="45">
        <v>945</v>
      </c>
      <c r="E685" s="51"/>
      <c r="F685" s="2"/>
      <c r="G685" s="71"/>
    </row>
    <row r="686" spans="1:7" s="6" customFormat="1" ht="15.75" customHeight="1" x14ac:dyDescent="0.25">
      <c r="A686" s="1"/>
      <c r="B686" s="3"/>
      <c r="C686" s="36" t="s">
        <v>719</v>
      </c>
      <c r="D686" s="45">
        <v>515</v>
      </c>
      <c r="E686" s="51"/>
      <c r="F686" s="2"/>
      <c r="G686" s="71"/>
    </row>
    <row r="687" spans="1:7" s="6" customFormat="1" ht="15.75" customHeight="1" x14ac:dyDescent="0.25">
      <c r="A687" s="1"/>
      <c r="B687" s="3"/>
      <c r="C687" s="36" t="s">
        <v>720</v>
      </c>
      <c r="D687" s="45">
        <v>972</v>
      </c>
      <c r="E687" s="51"/>
      <c r="F687" s="2"/>
      <c r="G687" s="71"/>
    </row>
    <row r="688" spans="1:7" s="6" customFormat="1" ht="15.75" customHeight="1" x14ac:dyDescent="0.25">
      <c r="A688" s="1"/>
      <c r="B688" s="3"/>
      <c r="C688" s="36" t="s">
        <v>721</v>
      </c>
      <c r="D688" s="45">
        <v>751</v>
      </c>
      <c r="E688" s="51"/>
      <c r="F688" s="2"/>
      <c r="G688" s="71"/>
    </row>
    <row r="689" spans="1:7" s="6" customFormat="1" ht="15.75" customHeight="1" x14ac:dyDescent="0.25">
      <c r="A689" s="1"/>
      <c r="B689" s="3"/>
      <c r="C689" s="36" t="s">
        <v>722</v>
      </c>
      <c r="D689" s="45">
        <v>450</v>
      </c>
      <c r="E689" s="51"/>
      <c r="F689" s="2"/>
      <c r="G689" s="71"/>
    </row>
    <row r="690" spans="1:7" s="6" customFormat="1" ht="15.75" customHeight="1" x14ac:dyDescent="0.25">
      <c r="A690" s="1"/>
      <c r="B690" s="3"/>
      <c r="C690" s="36" t="s">
        <v>723</v>
      </c>
      <c r="D690" s="45">
        <v>1867</v>
      </c>
      <c r="E690" s="51"/>
      <c r="F690" s="2"/>
      <c r="G690" s="71"/>
    </row>
    <row r="691" spans="1:7" s="6" customFormat="1" ht="15.75" customHeight="1" x14ac:dyDescent="0.25">
      <c r="A691" s="1"/>
      <c r="B691" s="3"/>
      <c r="C691" s="36" t="s">
        <v>724</v>
      </c>
      <c r="D691" s="45">
        <v>916</v>
      </c>
      <c r="E691" s="51"/>
      <c r="F691" s="2"/>
      <c r="G691" s="71"/>
    </row>
    <row r="692" spans="1:7" s="6" customFormat="1" ht="15.75" customHeight="1" x14ac:dyDescent="0.25">
      <c r="A692" s="1"/>
      <c r="B692" s="3"/>
      <c r="C692" s="36"/>
      <c r="D692" s="46"/>
      <c r="E692" s="51"/>
      <c r="F692" s="2"/>
      <c r="G692" s="71"/>
    </row>
    <row r="693" spans="1:7" s="6" customFormat="1" ht="15.75" customHeight="1" x14ac:dyDescent="0.25">
      <c r="A693" s="1"/>
      <c r="B693" s="3"/>
      <c r="C693" s="35" t="s">
        <v>1964</v>
      </c>
      <c r="D693" s="57">
        <f>SUM(D694:D721)</f>
        <v>17418</v>
      </c>
      <c r="E693" s="51"/>
      <c r="F693" s="2"/>
      <c r="G693" s="71"/>
    </row>
    <row r="694" spans="1:7" s="6" customFormat="1" ht="15.75" customHeight="1" x14ac:dyDescent="0.25">
      <c r="A694" s="1"/>
      <c r="B694" s="3"/>
      <c r="C694" s="36" t="s">
        <v>704</v>
      </c>
      <c r="D694" s="45">
        <v>654</v>
      </c>
      <c r="E694" s="51"/>
      <c r="F694" s="2"/>
      <c r="G694" s="71"/>
    </row>
    <row r="695" spans="1:7" s="6" customFormat="1" ht="15.75" customHeight="1" x14ac:dyDescent="0.25">
      <c r="A695" s="1"/>
      <c r="B695" s="3"/>
      <c r="C695" s="36" t="s">
        <v>56</v>
      </c>
      <c r="D695" s="45">
        <v>634</v>
      </c>
      <c r="E695" s="51"/>
      <c r="F695" s="2"/>
      <c r="G695" s="71"/>
    </row>
    <row r="696" spans="1:7" s="6" customFormat="1" ht="15.75" customHeight="1" x14ac:dyDescent="0.25">
      <c r="A696" s="1"/>
      <c r="B696" s="3"/>
      <c r="C696" s="36" t="s">
        <v>59</v>
      </c>
      <c r="D696" s="45">
        <v>699</v>
      </c>
      <c r="E696" s="51"/>
      <c r="F696" s="2"/>
      <c r="G696" s="71"/>
    </row>
    <row r="697" spans="1:7" s="6" customFormat="1" ht="15.75" customHeight="1" x14ac:dyDescent="0.25">
      <c r="A697" s="1"/>
      <c r="B697" s="3"/>
      <c r="C697" s="36" t="s">
        <v>725</v>
      </c>
      <c r="D697" s="45">
        <v>573</v>
      </c>
      <c r="E697" s="51"/>
      <c r="F697" s="2"/>
      <c r="G697" s="71"/>
    </row>
    <row r="698" spans="1:7" s="6" customFormat="1" ht="15.75" customHeight="1" x14ac:dyDescent="0.25">
      <c r="A698" s="1"/>
      <c r="B698" s="3"/>
      <c r="C698" s="36" t="s">
        <v>726</v>
      </c>
      <c r="D698" s="45">
        <v>222</v>
      </c>
      <c r="E698" s="51"/>
      <c r="F698" s="2"/>
      <c r="G698" s="71"/>
    </row>
    <row r="699" spans="1:7" s="6" customFormat="1" ht="15.75" customHeight="1" x14ac:dyDescent="0.25">
      <c r="A699" s="1"/>
      <c r="B699" s="3"/>
      <c r="C699" s="36" t="s">
        <v>727</v>
      </c>
      <c r="D699" s="45">
        <v>645</v>
      </c>
      <c r="E699" s="51"/>
      <c r="F699" s="2"/>
      <c r="G699" s="71"/>
    </row>
    <row r="700" spans="1:7" s="6" customFormat="1" ht="15.75" customHeight="1" x14ac:dyDescent="0.25">
      <c r="A700" s="1"/>
      <c r="B700" s="3"/>
      <c r="C700" s="36" t="s">
        <v>26</v>
      </c>
      <c r="D700" s="45">
        <v>335</v>
      </c>
      <c r="E700" s="51"/>
      <c r="F700" s="2"/>
      <c r="G700" s="71"/>
    </row>
    <row r="701" spans="1:7" s="6" customFormat="1" ht="15.75" customHeight="1" x14ac:dyDescent="0.25">
      <c r="A701" s="1"/>
      <c r="B701" s="3"/>
      <c r="C701" s="36" t="s">
        <v>728</v>
      </c>
      <c r="D701" s="45">
        <v>536</v>
      </c>
      <c r="E701" s="51"/>
      <c r="F701" s="2"/>
      <c r="G701" s="71"/>
    </row>
    <row r="702" spans="1:7" s="6" customFormat="1" ht="15.75" customHeight="1" x14ac:dyDescent="0.25">
      <c r="A702" s="1"/>
      <c r="B702" s="3"/>
      <c r="C702" s="36" t="s">
        <v>236</v>
      </c>
      <c r="D702" s="45">
        <v>291</v>
      </c>
      <c r="E702" s="51"/>
      <c r="F702" s="2"/>
      <c r="G702" s="71"/>
    </row>
    <row r="703" spans="1:7" s="6" customFormat="1" ht="15.75" customHeight="1" x14ac:dyDescent="0.25">
      <c r="A703" s="1"/>
      <c r="B703" s="3"/>
      <c r="C703" s="36" t="s">
        <v>729</v>
      </c>
      <c r="D703" s="45">
        <v>770</v>
      </c>
      <c r="E703" s="51"/>
      <c r="F703" s="2"/>
      <c r="G703" s="71"/>
    </row>
    <row r="704" spans="1:7" s="6" customFormat="1" ht="15.75" customHeight="1" x14ac:dyDescent="0.25">
      <c r="A704" s="1"/>
      <c r="B704" s="3"/>
      <c r="C704" s="36" t="s">
        <v>730</v>
      </c>
      <c r="D704" s="45">
        <v>408</v>
      </c>
      <c r="E704" s="51"/>
      <c r="F704" s="2"/>
      <c r="G704" s="71"/>
    </row>
    <row r="705" spans="1:7" s="6" customFormat="1" ht="15.75" customHeight="1" x14ac:dyDescent="0.25">
      <c r="A705" s="1"/>
      <c r="B705" s="3"/>
      <c r="C705" s="36" t="s">
        <v>731</v>
      </c>
      <c r="D705" s="45">
        <v>1157</v>
      </c>
      <c r="E705" s="51"/>
      <c r="F705" s="2"/>
      <c r="G705" s="71"/>
    </row>
    <row r="706" spans="1:7" s="6" customFormat="1" ht="15.75" customHeight="1" x14ac:dyDescent="0.25">
      <c r="A706" s="1"/>
      <c r="B706" s="3"/>
      <c r="C706" s="36" t="s">
        <v>732</v>
      </c>
      <c r="D706" s="45">
        <v>318</v>
      </c>
      <c r="E706" s="51"/>
      <c r="F706" s="2"/>
      <c r="G706" s="71"/>
    </row>
    <row r="707" spans="1:7" s="6" customFormat="1" ht="15.75" customHeight="1" x14ac:dyDescent="0.25">
      <c r="A707" s="1"/>
      <c r="B707" s="3"/>
      <c r="C707" s="36" t="s">
        <v>276</v>
      </c>
      <c r="D707" s="45">
        <v>878</v>
      </c>
      <c r="E707" s="51"/>
      <c r="F707" s="2"/>
      <c r="G707" s="71"/>
    </row>
    <row r="708" spans="1:7" s="6" customFormat="1" ht="15.75" customHeight="1" x14ac:dyDescent="0.25">
      <c r="A708" s="1"/>
      <c r="B708" s="3"/>
      <c r="C708" s="36" t="s">
        <v>733</v>
      </c>
      <c r="D708" s="45">
        <v>236</v>
      </c>
      <c r="E708" s="51"/>
      <c r="F708" s="2"/>
      <c r="G708" s="71"/>
    </row>
    <row r="709" spans="1:7" s="6" customFormat="1" ht="15.75" customHeight="1" x14ac:dyDescent="0.25">
      <c r="A709" s="1"/>
      <c r="B709" s="3"/>
      <c r="C709" s="36" t="s">
        <v>734</v>
      </c>
      <c r="D709" s="45">
        <v>334</v>
      </c>
      <c r="E709" s="51"/>
      <c r="F709" s="2"/>
      <c r="G709" s="71"/>
    </row>
    <row r="710" spans="1:7" s="6" customFormat="1" ht="15.75" customHeight="1" x14ac:dyDescent="0.25">
      <c r="A710" s="1"/>
      <c r="B710" s="3"/>
      <c r="C710" s="36" t="s">
        <v>735</v>
      </c>
      <c r="D710" s="45">
        <v>284</v>
      </c>
      <c r="E710" s="51"/>
      <c r="F710" s="2"/>
      <c r="G710" s="71"/>
    </row>
    <row r="711" spans="1:7" s="6" customFormat="1" ht="15.75" customHeight="1" x14ac:dyDescent="0.25">
      <c r="A711" s="1"/>
      <c r="B711" s="3"/>
      <c r="C711" s="36" t="s">
        <v>736</v>
      </c>
      <c r="D711" s="45">
        <v>963</v>
      </c>
      <c r="E711" s="51"/>
      <c r="F711" s="2"/>
      <c r="G711" s="71"/>
    </row>
    <row r="712" spans="1:7" s="6" customFormat="1" ht="15.75" customHeight="1" x14ac:dyDescent="0.25">
      <c r="A712" s="1"/>
      <c r="B712" s="3"/>
      <c r="C712" s="36" t="s">
        <v>737</v>
      </c>
      <c r="D712" s="45">
        <v>1149</v>
      </c>
      <c r="E712" s="51"/>
      <c r="F712" s="2"/>
      <c r="G712" s="71"/>
    </row>
    <row r="713" spans="1:7" s="6" customFormat="1" ht="15.75" customHeight="1" x14ac:dyDescent="0.25">
      <c r="A713" s="1"/>
      <c r="B713" s="3"/>
      <c r="C713" s="36" t="s">
        <v>738</v>
      </c>
      <c r="D713" s="45">
        <v>1444</v>
      </c>
      <c r="E713" s="51"/>
      <c r="F713" s="2"/>
      <c r="G713" s="71"/>
    </row>
    <row r="714" spans="1:7" s="6" customFormat="1" ht="15.75" customHeight="1" x14ac:dyDescent="0.25">
      <c r="A714" s="1"/>
      <c r="B714" s="3"/>
      <c r="C714" s="36" t="s">
        <v>739</v>
      </c>
      <c r="D714" s="45">
        <v>581</v>
      </c>
      <c r="E714" s="51"/>
      <c r="F714" s="2"/>
      <c r="G714" s="71"/>
    </row>
    <row r="715" spans="1:7" s="6" customFormat="1" ht="15.75" customHeight="1" x14ac:dyDescent="0.25">
      <c r="A715" s="1"/>
      <c r="B715" s="3"/>
      <c r="C715" s="36" t="s">
        <v>740</v>
      </c>
      <c r="D715" s="45">
        <v>769</v>
      </c>
      <c r="E715" s="51"/>
      <c r="F715" s="2"/>
      <c r="G715" s="71"/>
    </row>
    <row r="716" spans="1:7" s="6" customFormat="1" ht="15.75" customHeight="1" x14ac:dyDescent="0.25">
      <c r="A716" s="1"/>
      <c r="B716" s="3"/>
      <c r="C716" s="36" t="s">
        <v>741</v>
      </c>
      <c r="D716" s="45">
        <v>562</v>
      </c>
      <c r="E716" s="51"/>
      <c r="F716" s="2"/>
      <c r="G716" s="71"/>
    </row>
    <row r="717" spans="1:7" s="6" customFormat="1" ht="15.75" customHeight="1" x14ac:dyDescent="0.25">
      <c r="A717" s="1"/>
      <c r="B717" s="3"/>
      <c r="C717" s="36" t="s">
        <v>197</v>
      </c>
      <c r="D717" s="45">
        <v>321</v>
      </c>
      <c r="E717" s="51"/>
      <c r="F717" s="2"/>
      <c r="G717" s="71"/>
    </row>
    <row r="718" spans="1:7" s="6" customFormat="1" ht="15.75" customHeight="1" x14ac:dyDescent="0.25">
      <c r="A718" s="1"/>
      <c r="B718" s="3"/>
      <c r="C718" s="36" t="s">
        <v>92</v>
      </c>
      <c r="D718" s="45">
        <v>971</v>
      </c>
      <c r="E718" s="51"/>
      <c r="F718" s="2"/>
      <c r="G718" s="71"/>
    </row>
    <row r="719" spans="1:7" s="6" customFormat="1" ht="15.75" customHeight="1" x14ac:dyDescent="0.25">
      <c r="A719" s="1"/>
      <c r="B719" s="3"/>
      <c r="C719" s="36" t="s">
        <v>742</v>
      </c>
      <c r="D719" s="45">
        <v>377</v>
      </c>
      <c r="E719" s="51"/>
      <c r="F719" s="2"/>
      <c r="G719" s="71"/>
    </row>
    <row r="720" spans="1:7" s="6" customFormat="1" ht="15.75" customHeight="1" x14ac:dyDescent="0.25">
      <c r="A720" s="1"/>
      <c r="B720" s="3"/>
      <c r="C720" s="36" t="s">
        <v>743</v>
      </c>
      <c r="D720" s="45">
        <v>519</v>
      </c>
      <c r="E720" s="51"/>
      <c r="F720" s="2"/>
      <c r="G720" s="71"/>
    </row>
    <row r="721" spans="1:7" s="6" customFormat="1" ht="15.75" customHeight="1" x14ac:dyDescent="0.25">
      <c r="A721" s="1"/>
      <c r="B721" s="3"/>
      <c r="C721" s="36" t="s">
        <v>141</v>
      </c>
      <c r="D721" s="45">
        <v>788</v>
      </c>
      <c r="E721" s="51"/>
      <c r="F721" s="2"/>
      <c r="G721" s="71"/>
    </row>
    <row r="722" spans="1:7" s="6" customFormat="1" ht="15.75" customHeight="1" x14ac:dyDescent="0.25">
      <c r="A722" s="1"/>
      <c r="B722" s="3"/>
      <c r="C722" s="36"/>
      <c r="D722" s="46"/>
      <c r="E722" s="51"/>
      <c r="F722" s="2"/>
      <c r="G722" s="71"/>
    </row>
    <row r="723" spans="1:7" s="6" customFormat="1" ht="15.75" customHeight="1" x14ac:dyDescent="0.25">
      <c r="A723" s="1"/>
      <c r="B723" s="3"/>
      <c r="C723" s="35" t="s">
        <v>1965</v>
      </c>
      <c r="D723" s="57">
        <f>SUM(D724:D790)</f>
        <v>44224</v>
      </c>
      <c r="E723" s="51"/>
      <c r="F723" s="2"/>
      <c r="G723" s="71"/>
    </row>
    <row r="724" spans="1:7" s="6" customFormat="1" ht="15.75" customHeight="1" x14ac:dyDescent="0.25">
      <c r="A724" s="1"/>
      <c r="B724" s="3"/>
      <c r="C724" s="36" t="s">
        <v>744</v>
      </c>
      <c r="D724" s="45">
        <v>306</v>
      </c>
      <c r="E724" s="51"/>
      <c r="F724" s="2"/>
      <c r="G724" s="71"/>
    </row>
    <row r="725" spans="1:7" s="6" customFormat="1" ht="15.75" customHeight="1" x14ac:dyDescent="0.25">
      <c r="A725" s="1"/>
      <c r="B725" s="3"/>
      <c r="C725" s="36" t="s">
        <v>745</v>
      </c>
      <c r="D725" s="45">
        <v>311</v>
      </c>
      <c r="E725" s="51"/>
      <c r="F725" s="2"/>
      <c r="G725" s="71"/>
    </row>
    <row r="726" spans="1:7" s="6" customFormat="1" ht="15.75" customHeight="1" x14ac:dyDescent="0.25">
      <c r="A726" s="1"/>
      <c r="B726" s="3"/>
      <c r="C726" s="36" t="s">
        <v>746</v>
      </c>
      <c r="D726" s="45">
        <v>540</v>
      </c>
      <c r="E726" s="51"/>
      <c r="F726" s="2"/>
      <c r="G726" s="71"/>
    </row>
    <row r="727" spans="1:7" s="6" customFormat="1" ht="15.75" customHeight="1" x14ac:dyDescent="0.25">
      <c r="A727" s="1"/>
      <c r="B727" s="3"/>
      <c r="C727" s="36" t="s">
        <v>747</v>
      </c>
      <c r="D727" s="45">
        <v>169</v>
      </c>
      <c r="E727" s="51"/>
      <c r="F727" s="2"/>
      <c r="G727" s="71"/>
    </row>
    <row r="728" spans="1:7" s="6" customFormat="1" ht="15.75" customHeight="1" x14ac:dyDescent="0.25">
      <c r="A728" s="1"/>
      <c r="B728" s="3"/>
      <c r="C728" s="36" t="s">
        <v>748</v>
      </c>
      <c r="D728" s="45">
        <v>381</v>
      </c>
      <c r="E728" s="51"/>
      <c r="F728" s="2"/>
      <c r="G728" s="71"/>
    </row>
    <row r="729" spans="1:7" s="6" customFormat="1" ht="15.75" customHeight="1" x14ac:dyDescent="0.25">
      <c r="A729" s="1"/>
      <c r="B729" s="3"/>
      <c r="C729" s="36" t="s">
        <v>749</v>
      </c>
      <c r="D729" s="45">
        <v>126</v>
      </c>
      <c r="E729" s="51"/>
      <c r="F729" s="2"/>
      <c r="G729" s="71"/>
    </row>
    <row r="730" spans="1:7" s="6" customFormat="1" ht="15.75" customHeight="1" x14ac:dyDescent="0.25">
      <c r="A730" s="1"/>
      <c r="B730" s="3"/>
      <c r="C730" s="36" t="s">
        <v>252</v>
      </c>
      <c r="D730" s="45">
        <v>443</v>
      </c>
      <c r="E730" s="51"/>
      <c r="F730" s="2"/>
      <c r="G730" s="71"/>
    </row>
    <row r="731" spans="1:7" s="6" customFormat="1" ht="15.75" customHeight="1" x14ac:dyDescent="0.25">
      <c r="A731" s="1"/>
      <c r="B731" s="3"/>
      <c r="C731" s="36" t="s">
        <v>750</v>
      </c>
      <c r="D731" s="45">
        <v>1599</v>
      </c>
      <c r="E731" s="51"/>
      <c r="F731" s="2"/>
      <c r="G731" s="71"/>
    </row>
    <row r="732" spans="1:7" s="6" customFormat="1" ht="15.75" customHeight="1" x14ac:dyDescent="0.25">
      <c r="A732" s="1"/>
      <c r="B732" s="3"/>
      <c r="C732" s="36" t="s">
        <v>751</v>
      </c>
      <c r="D732" s="45">
        <v>866</v>
      </c>
      <c r="E732" s="51"/>
      <c r="F732" s="2"/>
      <c r="G732" s="71"/>
    </row>
    <row r="733" spans="1:7" s="6" customFormat="1" ht="15.75" customHeight="1" x14ac:dyDescent="0.25">
      <c r="A733" s="1"/>
      <c r="B733" s="3"/>
      <c r="C733" s="36" t="s">
        <v>604</v>
      </c>
      <c r="D733" s="45">
        <v>571</v>
      </c>
      <c r="E733" s="51"/>
      <c r="F733" s="2"/>
      <c r="G733" s="71"/>
    </row>
    <row r="734" spans="1:7" s="6" customFormat="1" ht="15.75" customHeight="1" x14ac:dyDescent="0.25">
      <c r="A734" s="1"/>
      <c r="B734" s="3"/>
      <c r="C734" s="36" t="s">
        <v>752</v>
      </c>
      <c r="D734" s="45">
        <v>317</v>
      </c>
      <c r="E734" s="51"/>
      <c r="F734" s="2"/>
      <c r="G734" s="71"/>
    </row>
    <row r="735" spans="1:7" s="6" customFormat="1" ht="15.75" customHeight="1" x14ac:dyDescent="0.25">
      <c r="A735" s="1"/>
      <c r="B735" s="3"/>
      <c r="C735" s="36" t="s">
        <v>210</v>
      </c>
      <c r="D735" s="45">
        <v>429</v>
      </c>
      <c r="E735" s="51"/>
      <c r="F735" s="2"/>
      <c r="G735" s="71"/>
    </row>
    <row r="736" spans="1:7" s="6" customFormat="1" ht="15.75" customHeight="1" x14ac:dyDescent="0.25">
      <c r="A736" s="1"/>
      <c r="B736" s="3"/>
      <c r="C736" s="36" t="s">
        <v>728</v>
      </c>
      <c r="D736" s="45">
        <v>209</v>
      </c>
      <c r="E736" s="51"/>
      <c r="F736" s="2"/>
      <c r="G736" s="71"/>
    </row>
    <row r="737" spans="1:7" s="6" customFormat="1" ht="15.75" customHeight="1" x14ac:dyDescent="0.25">
      <c r="A737" s="1"/>
      <c r="B737" s="3"/>
      <c r="C737" s="36" t="s">
        <v>753</v>
      </c>
      <c r="D737" s="45">
        <v>1052</v>
      </c>
      <c r="E737" s="51"/>
      <c r="F737" s="2"/>
      <c r="G737" s="71"/>
    </row>
    <row r="738" spans="1:7" s="6" customFormat="1" ht="15.75" customHeight="1" x14ac:dyDescent="0.25">
      <c r="A738" s="1"/>
      <c r="B738" s="3"/>
      <c r="C738" s="36" t="s">
        <v>754</v>
      </c>
      <c r="D738" s="45">
        <v>316</v>
      </c>
      <c r="E738" s="51"/>
      <c r="F738" s="2"/>
      <c r="G738" s="71"/>
    </row>
    <row r="739" spans="1:7" s="6" customFormat="1" ht="15.75" customHeight="1" x14ac:dyDescent="0.25">
      <c r="A739" s="1"/>
      <c r="B739" s="3"/>
      <c r="C739" s="36" t="s">
        <v>247</v>
      </c>
      <c r="D739" s="45">
        <v>216</v>
      </c>
      <c r="E739" s="51"/>
      <c r="F739" s="2"/>
      <c r="G739" s="71"/>
    </row>
    <row r="740" spans="1:7" s="6" customFormat="1" ht="15.75" customHeight="1" x14ac:dyDescent="0.25">
      <c r="A740" s="1"/>
      <c r="B740" s="3"/>
      <c r="C740" s="36" t="s">
        <v>755</v>
      </c>
      <c r="D740" s="45">
        <v>712</v>
      </c>
      <c r="E740" s="51"/>
      <c r="F740" s="2"/>
      <c r="G740" s="71"/>
    </row>
    <row r="741" spans="1:7" s="6" customFormat="1" ht="15.75" customHeight="1" x14ac:dyDescent="0.25">
      <c r="A741" s="1"/>
      <c r="B741" s="3"/>
      <c r="C741" s="36" t="s">
        <v>756</v>
      </c>
      <c r="D741" s="45">
        <v>677</v>
      </c>
      <c r="E741" s="51"/>
      <c r="F741" s="2"/>
      <c r="G741" s="71"/>
    </row>
    <row r="742" spans="1:7" s="6" customFormat="1" ht="15.75" customHeight="1" x14ac:dyDescent="0.25">
      <c r="A742" s="1"/>
      <c r="B742" s="3"/>
      <c r="C742" s="36" t="s">
        <v>757</v>
      </c>
      <c r="D742" s="45">
        <v>375</v>
      </c>
      <c r="E742" s="51"/>
      <c r="F742" s="2"/>
      <c r="G742" s="71"/>
    </row>
    <row r="743" spans="1:7" s="6" customFormat="1" ht="15.75" customHeight="1" x14ac:dyDescent="0.25">
      <c r="A743" s="1"/>
      <c r="B743" s="3"/>
      <c r="C743" s="36" t="s">
        <v>758</v>
      </c>
      <c r="D743" s="45">
        <v>929</v>
      </c>
      <c r="E743" s="51"/>
      <c r="F743" s="2"/>
      <c r="G743" s="71"/>
    </row>
    <row r="744" spans="1:7" s="6" customFormat="1" ht="15.75" customHeight="1" x14ac:dyDescent="0.25">
      <c r="A744" s="1"/>
      <c r="B744" s="3"/>
      <c r="C744" s="36" t="s">
        <v>759</v>
      </c>
      <c r="D744" s="45">
        <v>340</v>
      </c>
      <c r="E744" s="51"/>
      <c r="F744" s="2"/>
      <c r="G744" s="71"/>
    </row>
    <row r="745" spans="1:7" s="6" customFormat="1" ht="15.75" customHeight="1" x14ac:dyDescent="0.25">
      <c r="A745" s="1"/>
      <c r="B745" s="3"/>
      <c r="C745" s="36" t="s">
        <v>760</v>
      </c>
      <c r="D745" s="45">
        <v>460</v>
      </c>
      <c r="E745" s="51"/>
      <c r="F745" s="2"/>
      <c r="G745" s="71"/>
    </row>
    <row r="746" spans="1:7" s="6" customFormat="1" ht="15.75" customHeight="1" x14ac:dyDescent="0.25">
      <c r="A746" s="1"/>
      <c r="B746" s="3"/>
      <c r="C746" s="36" t="s">
        <v>761</v>
      </c>
      <c r="D746" s="45">
        <v>967</v>
      </c>
      <c r="E746" s="51"/>
      <c r="F746" s="2"/>
      <c r="G746" s="71"/>
    </row>
    <row r="747" spans="1:7" s="6" customFormat="1" ht="15.75" customHeight="1" x14ac:dyDescent="0.25">
      <c r="A747" s="1"/>
      <c r="B747" s="3"/>
      <c r="C747" s="36" t="s">
        <v>762</v>
      </c>
      <c r="D747" s="45">
        <v>637</v>
      </c>
      <c r="E747" s="51"/>
      <c r="F747" s="2"/>
      <c r="G747" s="71"/>
    </row>
    <row r="748" spans="1:7" s="6" customFormat="1" ht="15.75" customHeight="1" x14ac:dyDescent="0.25">
      <c r="A748" s="1"/>
      <c r="B748" s="3"/>
      <c r="C748" s="36" t="s">
        <v>763</v>
      </c>
      <c r="D748" s="45">
        <v>920</v>
      </c>
      <c r="E748" s="51"/>
      <c r="F748" s="2"/>
      <c r="G748" s="71"/>
    </row>
    <row r="749" spans="1:7" s="6" customFormat="1" ht="15.75" customHeight="1" x14ac:dyDescent="0.25">
      <c r="A749" s="1"/>
      <c r="B749" s="3"/>
      <c r="C749" s="36" t="s">
        <v>764</v>
      </c>
      <c r="D749" s="45">
        <v>289</v>
      </c>
      <c r="E749" s="51"/>
      <c r="F749" s="2"/>
      <c r="G749" s="71"/>
    </row>
    <row r="750" spans="1:7" s="6" customFormat="1" ht="15.75" customHeight="1" x14ac:dyDescent="0.25">
      <c r="A750" s="1"/>
      <c r="B750" s="3"/>
      <c r="C750" s="36" t="s">
        <v>765</v>
      </c>
      <c r="D750" s="45">
        <v>387</v>
      </c>
      <c r="E750" s="51"/>
      <c r="F750" s="2"/>
      <c r="G750" s="71"/>
    </row>
    <row r="751" spans="1:7" s="6" customFormat="1" ht="15.75" customHeight="1" x14ac:dyDescent="0.25">
      <c r="A751" s="1"/>
      <c r="B751" s="3"/>
      <c r="C751" s="36" t="s">
        <v>766</v>
      </c>
      <c r="D751" s="45">
        <v>444</v>
      </c>
      <c r="E751" s="51"/>
      <c r="F751" s="2"/>
      <c r="G751" s="71"/>
    </row>
    <row r="752" spans="1:7" s="6" customFormat="1" ht="15.75" customHeight="1" x14ac:dyDescent="0.25">
      <c r="A752" s="1"/>
      <c r="B752" s="3"/>
      <c r="C752" s="36" t="s">
        <v>767</v>
      </c>
      <c r="D752" s="45">
        <v>1084</v>
      </c>
      <c r="E752" s="51"/>
      <c r="F752" s="2"/>
      <c r="G752" s="71"/>
    </row>
    <row r="753" spans="1:7" s="6" customFormat="1" ht="15.75" customHeight="1" x14ac:dyDescent="0.25">
      <c r="A753" s="1"/>
      <c r="B753" s="3"/>
      <c r="C753" s="36" t="s">
        <v>768</v>
      </c>
      <c r="D753" s="45">
        <v>1158</v>
      </c>
      <c r="E753" s="51"/>
      <c r="F753" s="2"/>
      <c r="G753" s="71"/>
    </row>
    <row r="754" spans="1:7" s="6" customFormat="1" ht="15.75" customHeight="1" x14ac:dyDescent="0.25">
      <c r="A754" s="1"/>
      <c r="B754" s="3"/>
      <c r="C754" s="36" t="s">
        <v>769</v>
      </c>
      <c r="D754" s="45">
        <v>1191</v>
      </c>
      <c r="E754" s="51"/>
      <c r="F754" s="2"/>
      <c r="G754" s="71"/>
    </row>
    <row r="755" spans="1:7" s="6" customFormat="1" ht="15.75" customHeight="1" x14ac:dyDescent="0.25">
      <c r="A755" s="1"/>
      <c r="B755" s="3"/>
      <c r="C755" s="36" t="s">
        <v>770</v>
      </c>
      <c r="D755" s="45">
        <v>267</v>
      </c>
      <c r="E755" s="51"/>
      <c r="F755" s="2"/>
      <c r="G755" s="71"/>
    </row>
    <row r="756" spans="1:7" s="6" customFormat="1" ht="15.75" customHeight="1" x14ac:dyDescent="0.25">
      <c r="A756" s="1"/>
      <c r="B756" s="3"/>
      <c r="C756" s="36" t="s">
        <v>771</v>
      </c>
      <c r="D756" s="45">
        <v>946</v>
      </c>
      <c r="E756" s="51"/>
      <c r="F756" s="2"/>
      <c r="G756" s="71"/>
    </row>
    <row r="757" spans="1:7" s="6" customFormat="1" ht="15.75" customHeight="1" x14ac:dyDescent="0.25">
      <c r="A757" s="1"/>
      <c r="B757" s="3"/>
      <c r="C757" s="36" t="s">
        <v>772</v>
      </c>
      <c r="D757" s="45">
        <v>771</v>
      </c>
      <c r="E757" s="51"/>
      <c r="F757" s="2"/>
      <c r="G757" s="71"/>
    </row>
    <row r="758" spans="1:7" s="6" customFormat="1" ht="15.75" customHeight="1" x14ac:dyDescent="0.25">
      <c r="A758" s="1"/>
      <c r="B758" s="3"/>
      <c r="C758" s="36" t="s">
        <v>773</v>
      </c>
      <c r="D758" s="45">
        <v>395</v>
      </c>
      <c r="E758" s="51"/>
      <c r="F758" s="2"/>
      <c r="G758" s="71"/>
    </row>
    <row r="759" spans="1:7" s="6" customFormat="1" ht="15.75" customHeight="1" x14ac:dyDescent="0.25">
      <c r="A759" s="1"/>
      <c r="B759" s="3"/>
      <c r="C759" s="36" t="s">
        <v>774</v>
      </c>
      <c r="D759" s="45">
        <v>2099</v>
      </c>
      <c r="E759" s="51"/>
      <c r="F759" s="2"/>
      <c r="G759" s="71"/>
    </row>
    <row r="760" spans="1:7" s="6" customFormat="1" ht="15.75" customHeight="1" x14ac:dyDescent="0.25">
      <c r="A760" s="1"/>
      <c r="B760" s="3"/>
      <c r="C760" s="36" t="s">
        <v>775</v>
      </c>
      <c r="D760" s="45">
        <v>635</v>
      </c>
      <c r="E760" s="51"/>
      <c r="F760" s="2"/>
      <c r="G760" s="71"/>
    </row>
    <row r="761" spans="1:7" s="6" customFormat="1" ht="15.75" customHeight="1" x14ac:dyDescent="0.25">
      <c r="A761" s="1"/>
      <c r="B761" s="3"/>
      <c r="C761" s="36" t="s">
        <v>776</v>
      </c>
      <c r="D761" s="45">
        <v>1239</v>
      </c>
      <c r="E761" s="51"/>
      <c r="F761" s="2"/>
      <c r="G761" s="71"/>
    </row>
    <row r="762" spans="1:7" s="6" customFormat="1" ht="15.75" customHeight="1" x14ac:dyDescent="0.25">
      <c r="A762" s="1"/>
      <c r="B762" s="3"/>
      <c r="C762" s="36" t="s">
        <v>777</v>
      </c>
      <c r="D762" s="45">
        <v>323</v>
      </c>
      <c r="E762" s="51"/>
      <c r="F762" s="2"/>
      <c r="G762" s="71"/>
    </row>
    <row r="763" spans="1:7" s="6" customFormat="1" ht="15.75" customHeight="1" x14ac:dyDescent="0.25">
      <c r="A763" s="1"/>
      <c r="B763" s="3"/>
      <c r="C763" s="36" t="s">
        <v>778</v>
      </c>
      <c r="D763" s="45">
        <v>1088</v>
      </c>
      <c r="E763" s="51"/>
      <c r="F763" s="2"/>
      <c r="G763" s="71"/>
    </row>
    <row r="764" spans="1:7" s="6" customFormat="1" ht="15.75" customHeight="1" x14ac:dyDescent="0.25">
      <c r="A764" s="1"/>
      <c r="B764" s="3"/>
      <c r="C764" s="36" t="s">
        <v>663</v>
      </c>
      <c r="D764" s="45">
        <v>850</v>
      </c>
      <c r="E764" s="51"/>
      <c r="F764" s="2"/>
      <c r="G764" s="71"/>
    </row>
    <row r="765" spans="1:7" s="6" customFormat="1" ht="15.75" customHeight="1" x14ac:dyDescent="0.25">
      <c r="A765" s="1"/>
      <c r="B765" s="3"/>
      <c r="C765" s="36" t="s">
        <v>779</v>
      </c>
      <c r="D765" s="45">
        <v>725</v>
      </c>
      <c r="E765" s="51"/>
      <c r="F765" s="2"/>
      <c r="G765" s="71"/>
    </row>
    <row r="766" spans="1:7" s="6" customFormat="1" ht="15.75" customHeight="1" x14ac:dyDescent="0.25">
      <c r="A766" s="1"/>
      <c r="B766" s="3"/>
      <c r="C766" s="36" t="s">
        <v>780</v>
      </c>
      <c r="D766" s="45">
        <v>604</v>
      </c>
      <c r="E766" s="51"/>
      <c r="F766" s="2"/>
      <c r="G766" s="71"/>
    </row>
    <row r="767" spans="1:7" s="6" customFormat="1" ht="15.75" customHeight="1" x14ac:dyDescent="0.25">
      <c r="A767" s="1"/>
      <c r="B767" s="3"/>
      <c r="C767" s="36" t="s">
        <v>781</v>
      </c>
      <c r="D767" s="45">
        <v>520</v>
      </c>
      <c r="E767" s="51"/>
      <c r="F767" s="2"/>
      <c r="G767" s="71"/>
    </row>
    <row r="768" spans="1:7" s="6" customFormat="1" ht="15.75" customHeight="1" x14ac:dyDescent="0.25">
      <c r="A768" s="1"/>
      <c r="B768" s="3"/>
      <c r="C768" s="36" t="s">
        <v>782</v>
      </c>
      <c r="D768" s="45">
        <v>1416</v>
      </c>
      <c r="E768" s="51"/>
      <c r="F768" s="2"/>
      <c r="G768" s="71"/>
    </row>
    <row r="769" spans="1:7" s="6" customFormat="1" ht="15.75" customHeight="1" x14ac:dyDescent="0.25">
      <c r="A769" s="1"/>
      <c r="B769" s="3"/>
      <c r="C769" s="36" t="s">
        <v>783</v>
      </c>
      <c r="D769" s="45">
        <v>334</v>
      </c>
      <c r="E769" s="51"/>
      <c r="F769" s="2"/>
      <c r="G769" s="71"/>
    </row>
    <row r="770" spans="1:7" s="6" customFormat="1" ht="15.75" customHeight="1" x14ac:dyDescent="0.25">
      <c r="A770" s="1"/>
      <c r="B770" s="3"/>
      <c r="C770" s="36" t="s">
        <v>784</v>
      </c>
      <c r="D770" s="45">
        <v>366</v>
      </c>
      <c r="E770" s="51"/>
      <c r="F770" s="2"/>
      <c r="G770" s="71"/>
    </row>
    <row r="771" spans="1:7" s="6" customFormat="1" ht="15.75" customHeight="1" x14ac:dyDescent="0.25">
      <c r="A771" s="1"/>
      <c r="B771" s="3"/>
      <c r="C771" s="36" t="s">
        <v>785</v>
      </c>
      <c r="D771" s="45">
        <v>683</v>
      </c>
      <c r="E771" s="51"/>
      <c r="F771" s="2"/>
      <c r="G771" s="71"/>
    </row>
    <row r="772" spans="1:7" s="6" customFormat="1" ht="15.75" customHeight="1" x14ac:dyDescent="0.25">
      <c r="A772" s="1"/>
      <c r="B772" s="3"/>
      <c r="C772" s="36" t="s">
        <v>786</v>
      </c>
      <c r="D772" s="45">
        <v>838</v>
      </c>
      <c r="E772" s="51"/>
      <c r="F772" s="2"/>
      <c r="G772" s="71"/>
    </row>
    <row r="773" spans="1:7" s="6" customFormat="1" ht="15.75" customHeight="1" x14ac:dyDescent="0.25">
      <c r="A773" s="1"/>
      <c r="B773" s="3"/>
      <c r="C773" s="36" t="s">
        <v>787</v>
      </c>
      <c r="D773" s="45">
        <v>1117</v>
      </c>
      <c r="E773" s="51"/>
      <c r="F773" s="2"/>
      <c r="G773" s="71"/>
    </row>
    <row r="774" spans="1:7" s="6" customFormat="1" ht="15.75" customHeight="1" x14ac:dyDescent="0.25">
      <c r="A774" s="1"/>
      <c r="B774" s="3"/>
      <c r="C774" s="36" t="s">
        <v>788</v>
      </c>
      <c r="D774" s="45">
        <v>1254</v>
      </c>
      <c r="E774" s="51"/>
      <c r="F774" s="2"/>
      <c r="G774" s="71"/>
    </row>
    <row r="775" spans="1:7" s="6" customFormat="1" ht="15.75" customHeight="1" x14ac:dyDescent="0.25">
      <c r="A775" s="1"/>
      <c r="B775" s="3"/>
      <c r="C775" s="36" t="s">
        <v>164</v>
      </c>
      <c r="D775" s="45">
        <v>1721</v>
      </c>
      <c r="E775" s="51"/>
      <c r="F775" s="2"/>
      <c r="G775" s="71"/>
    </row>
    <row r="776" spans="1:7" s="6" customFormat="1" ht="15.75" customHeight="1" x14ac:dyDescent="0.25">
      <c r="A776" s="1"/>
      <c r="B776" s="3"/>
      <c r="C776" s="36" t="s">
        <v>789</v>
      </c>
      <c r="D776" s="45">
        <v>159</v>
      </c>
      <c r="E776" s="51"/>
      <c r="F776" s="2"/>
      <c r="G776" s="71"/>
    </row>
    <row r="777" spans="1:7" s="6" customFormat="1" ht="15.75" customHeight="1" x14ac:dyDescent="0.25">
      <c r="A777" s="1"/>
      <c r="B777" s="3"/>
      <c r="C777" s="36" t="s">
        <v>790</v>
      </c>
      <c r="D777" s="45">
        <v>737</v>
      </c>
      <c r="E777" s="51"/>
      <c r="F777" s="2"/>
      <c r="G777" s="71"/>
    </row>
    <row r="778" spans="1:7" s="6" customFormat="1" ht="15.75" customHeight="1" x14ac:dyDescent="0.25">
      <c r="A778" s="1"/>
      <c r="B778" s="3"/>
      <c r="C778" s="36" t="s">
        <v>791</v>
      </c>
      <c r="D778" s="45">
        <v>737</v>
      </c>
      <c r="E778" s="51"/>
      <c r="F778" s="2"/>
      <c r="G778" s="71"/>
    </row>
    <row r="779" spans="1:7" s="6" customFormat="1" ht="15.75" customHeight="1" x14ac:dyDescent="0.25">
      <c r="A779" s="1"/>
      <c r="B779" s="3"/>
      <c r="C779" s="36" t="s">
        <v>33</v>
      </c>
      <c r="D779" s="45">
        <v>1122</v>
      </c>
      <c r="E779" s="51"/>
      <c r="F779" s="2"/>
      <c r="G779" s="71"/>
    </row>
    <row r="780" spans="1:7" s="6" customFormat="1" ht="15.75" customHeight="1" x14ac:dyDescent="0.25">
      <c r="A780" s="1"/>
      <c r="B780" s="3"/>
      <c r="C780" s="36" t="s">
        <v>792</v>
      </c>
      <c r="D780" s="45">
        <v>124</v>
      </c>
      <c r="E780" s="51"/>
      <c r="F780" s="2"/>
      <c r="G780" s="71"/>
    </row>
    <row r="781" spans="1:7" s="6" customFormat="1" ht="15.75" customHeight="1" x14ac:dyDescent="0.25">
      <c r="A781" s="1"/>
      <c r="B781" s="3"/>
      <c r="C781" s="36" t="s">
        <v>793</v>
      </c>
      <c r="D781" s="45">
        <v>889</v>
      </c>
      <c r="E781" s="51"/>
      <c r="F781" s="2"/>
      <c r="G781" s="71"/>
    </row>
    <row r="782" spans="1:7" s="6" customFormat="1" ht="15.75" customHeight="1" x14ac:dyDescent="0.25">
      <c r="A782" s="1"/>
      <c r="B782" s="3"/>
      <c r="C782" s="36" t="s">
        <v>197</v>
      </c>
      <c r="D782" s="45">
        <v>313</v>
      </c>
      <c r="E782" s="51"/>
      <c r="F782" s="2"/>
      <c r="G782" s="71"/>
    </row>
    <row r="783" spans="1:7" s="6" customFormat="1" ht="15.75" customHeight="1" x14ac:dyDescent="0.25">
      <c r="A783" s="1"/>
      <c r="B783" s="3"/>
      <c r="C783" s="36" t="s">
        <v>794</v>
      </c>
      <c r="D783" s="45">
        <v>410</v>
      </c>
      <c r="E783" s="51"/>
      <c r="F783" s="2"/>
      <c r="G783" s="71"/>
    </row>
    <row r="784" spans="1:7" s="6" customFormat="1" ht="15.75" customHeight="1" x14ac:dyDescent="0.25">
      <c r="A784" s="1"/>
      <c r="B784" s="3"/>
      <c r="C784" s="36" t="s">
        <v>182</v>
      </c>
      <c r="D784" s="45">
        <v>131</v>
      </c>
      <c r="E784" s="51"/>
      <c r="F784" s="2"/>
      <c r="G784" s="71"/>
    </row>
    <row r="785" spans="1:7" s="6" customFormat="1" ht="15.75" customHeight="1" x14ac:dyDescent="0.25">
      <c r="A785" s="1"/>
      <c r="B785" s="3"/>
      <c r="C785" s="36" t="s">
        <v>795</v>
      </c>
      <c r="D785" s="45">
        <v>695</v>
      </c>
      <c r="E785" s="51"/>
      <c r="F785" s="2"/>
      <c r="G785" s="71"/>
    </row>
    <row r="786" spans="1:7" s="6" customFormat="1" ht="15.75" customHeight="1" x14ac:dyDescent="0.25">
      <c r="A786" s="1"/>
      <c r="B786" s="3"/>
      <c r="C786" s="36" t="s">
        <v>796</v>
      </c>
      <c r="D786" s="45">
        <v>389</v>
      </c>
      <c r="E786" s="51"/>
      <c r="F786" s="2"/>
      <c r="G786" s="71"/>
    </row>
    <row r="787" spans="1:7" s="6" customFormat="1" ht="15.75" customHeight="1" x14ac:dyDescent="0.25">
      <c r="A787" s="1"/>
      <c r="B787" s="3"/>
      <c r="C787" s="36" t="s">
        <v>797</v>
      </c>
      <c r="D787" s="45">
        <v>261</v>
      </c>
      <c r="E787" s="51"/>
      <c r="F787" s="2"/>
      <c r="G787" s="71"/>
    </row>
    <row r="788" spans="1:7" s="6" customFormat="1" ht="15.75" customHeight="1" x14ac:dyDescent="0.25">
      <c r="A788" s="1"/>
      <c r="B788" s="3"/>
      <c r="C788" s="36" t="s">
        <v>798</v>
      </c>
      <c r="D788" s="45">
        <v>309</v>
      </c>
      <c r="E788" s="51"/>
      <c r="F788" s="2"/>
      <c r="G788" s="71"/>
    </row>
    <row r="789" spans="1:7" s="6" customFormat="1" ht="15.75" customHeight="1" x14ac:dyDescent="0.25">
      <c r="A789" s="1"/>
      <c r="B789" s="3"/>
      <c r="C789" s="36" t="s">
        <v>799</v>
      </c>
      <c r="D789" s="45">
        <v>674</v>
      </c>
      <c r="E789" s="51"/>
      <c r="F789" s="2"/>
      <c r="G789" s="71"/>
    </row>
    <row r="790" spans="1:7" s="6" customFormat="1" ht="15.75" customHeight="1" x14ac:dyDescent="0.25">
      <c r="A790" s="1"/>
      <c r="B790" s="3"/>
      <c r="C790" s="36" t="s">
        <v>300</v>
      </c>
      <c r="D790" s="45">
        <v>662</v>
      </c>
      <c r="E790" s="51"/>
      <c r="F790" s="2"/>
      <c r="G790" s="71"/>
    </row>
    <row r="791" spans="1:7" s="6" customFormat="1" ht="15.75" customHeight="1" x14ac:dyDescent="0.25">
      <c r="A791" s="1"/>
      <c r="B791" s="3"/>
      <c r="C791" s="36"/>
      <c r="D791" s="46"/>
      <c r="E791" s="51"/>
      <c r="F791" s="2"/>
      <c r="G791" s="71"/>
    </row>
    <row r="792" spans="1:7" s="6" customFormat="1" ht="15.75" customHeight="1" x14ac:dyDescent="0.25">
      <c r="A792" s="1"/>
      <c r="B792" s="3"/>
      <c r="C792" s="35" t="s">
        <v>1966</v>
      </c>
      <c r="D792" s="57">
        <f>SUM(D793:D814)</f>
        <v>28701</v>
      </c>
      <c r="E792" s="51"/>
      <c r="F792" s="2"/>
      <c r="G792" s="71"/>
    </row>
    <row r="793" spans="1:7" s="6" customFormat="1" ht="15.75" customHeight="1" x14ac:dyDescent="0.25">
      <c r="A793" s="1"/>
      <c r="B793" s="3"/>
      <c r="C793" s="36" t="s">
        <v>96</v>
      </c>
      <c r="D793" s="45">
        <v>2538</v>
      </c>
      <c r="E793" s="51"/>
      <c r="F793" s="2"/>
      <c r="G793" s="71"/>
    </row>
    <row r="794" spans="1:7" s="6" customFormat="1" ht="15.75" customHeight="1" x14ac:dyDescent="0.25">
      <c r="A794" s="1"/>
      <c r="B794" s="3"/>
      <c r="C794" s="36" t="s">
        <v>800</v>
      </c>
      <c r="D794" s="45">
        <v>605</v>
      </c>
      <c r="E794" s="51"/>
      <c r="F794" s="2"/>
      <c r="G794" s="71"/>
    </row>
    <row r="795" spans="1:7" s="6" customFormat="1" ht="15.75" customHeight="1" x14ac:dyDescent="0.25">
      <c r="A795" s="1"/>
      <c r="B795" s="3"/>
      <c r="C795" s="36" t="s">
        <v>801</v>
      </c>
      <c r="D795" s="45">
        <v>1191</v>
      </c>
      <c r="E795" s="51"/>
      <c r="F795" s="2"/>
      <c r="G795" s="71"/>
    </row>
    <row r="796" spans="1:7" s="6" customFormat="1" ht="15.75" customHeight="1" x14ac:dyDescent="0.25">
      <c r="A796" s="1"/>
      <c r="B796" s="3"/>
      <c r="C796" s="55" t="s">
        <v>802</v>
      </c>
      <c r="D796" s="45">
        <v>1338</v>
      </c>
      <c r="E796" s="51"/>
      <c r="F796" s="2"/>
      <c r="G796" s="71"/>
    </row>
    <row r="797" spans="1:7" s="6" customFormat="1" ht="15.75" customHeight="1" x14ac:dyDescent="0.25">
      <c r="A797" s="1"/>
      <c r="B797" s="3"/>
      <c r="C797" s="36" t="s">
        <v>803</v>
      </c>
      <c r="D797" s="45">
        <v>1396</v>
      </c>
      <c r="E797" s="51"/>
      <c r="F797" s="2"/>
      <c r="G797" s="71"/>
    </row>
    <row r="798" spans="1:7" s="6" customFormat="1" ht="15.75" customHeight="1" x14ac:dyDescent="0.25">
      <c r="A798" s="1"/>
      <c r="B798" s="3"/>
      <c r="C798" s="36" t="s">
        <v>607</v>
      </c>
      <c r="D798" s="45">
        <v>638</v>
      </c>
      <c r="E798" s="51"/>
      <c r="F798" s="2"/>
      <c r="G798" s="71"/>
    </row>
    <row r="799" spans="1:7" s="6" customFormat="1" ht="15.75" customHeight="1" x14ac:dyDescent="0.25">
      <c r="A799" s="1"/>
      <c r="B799" s="3"/>
      <c r="C799" s="36" t="s">
        <v>804</v>
      </c>
      <c r="D799" s="45">
        <v>884</v>
      </c>
      <c r="E799" s="51"/>
      <c r="F799" s="2"/>
      <c r="G799" s="71"/>
    </row>
    <row r="800" spans="1:7" s="6" customFormat="1" ht="15.75" customHeight="1" x14ac:dyDescent="0.25">
      <c r="A800" s="1"/>
      <c r="B800" s="3"/>
      <c r="C800" s="36" t="s">
        <v>203</v>
      </c>
      <c r="D800" s="45">
        <v>1739</v>
      </c>
      <c r="E800" s="51"/>
      <c r="F800" s="2"/>
      <c r="G800" s="71"/>
    </row>
    <row r="801" spans="1:7" s="6" customFormat="1" ht="15.75" customHeight="1" x14ac:dyDescent="0.25">
      <c r="A801" s="1"/>
      <c r="B801" s="3"/>
      <c r="C801" s="36" t="s">
        <v>805</v>
      </c>
      <c r="D801" s="45">
        <v>831</v>
      </c>
      <c r="E801" s="51"/>
      <c r="F801" s="2"/>
      <c r="G801" s="71"/>
    </row>
    <row r="802" spans="1:7" s="6" customFormat="1" ht="15.75" customHeight="1" x14ac:dyDescent="0.25">
      <c r="A802" s="1"/>
      <c r="B802" s="3"/>
      <c r="C802" s="36" t="s">
        <v>430</v>
      </c>
      <c r="D802" s="45">
        <v>1152</v>
      </c>
      <c r="E802" s="51"/>
      <c r="F802" s="2"/>
      <c r="G802" s="71"/>
    </row>
    <row r="803" spans="1:7" s="6" customFormat="1" ht="15.75" customHeight="1" x14ac:dyDescent="0.25">
      <c r="A803" s="1"/>
      <c r="B803" s="3"/>
      <c r="C803" s="36" t="s">
        <v>227</v>
      </c>
      <c r="D803" s="45">
        <v>1005</v>
      </c>
      <c r="E803" s="51"/>
      <c r="F803" s="2"/>
      <c r="G803" s="71"/>
    </row>
    <row r="804" spans="1:7" s="6" customFormat="1" ht="15.75" customHeight="1" x14ac:dyDescent="0.25">
      <c r="A804" s="1"/>
      <c r="B804" s="3"/>
      <c r="C804" s="36" t="s">
        <v>806</v>
      </c>
      <c r="D804" s="45">
        <v>1457</v>
      </c>
      <c r="E804" s="51"/>
      <c r="F804" s="2"/>
      <c r="G804" s="71"/>
    </row>
    <row r="805" spans="1:7" s="6" customFormat="1" ht="15.75" customHeight="1" x14ac:dyDescent="0.25">
      <c r="A805" s="1"/>
      <c r="B805" s="3"/>
      <c r="C805" s="36" t="s">
        <v>88</v>
      </c>
      <c r="D805" s="45">
        <v>802</v>
      </c>
      <c r="E805" s="51"/>
      <c r="F805" s="2"/>
      <c r="G805" s="71"/>
    </row>
    <row r="806" spans="1:7" s="6" customFormat="1" ht="15.75" customHeight="1" x14ac:dyDescent="0.25">
      <c r="A806" s="1"/>
      <c r="B806" s="3"/>
      <c r="C806" s="36" t="s">
        <v>807</v>
      </c>
      <c r="D806" s="45">
        <v>1412</v>
      </c>
      <c r="E806" s="51"/>
      <c r="F806" s="2"/>
      <c r="G806" s="71"/>
    </row>
    <row r="807" spans="1:7" s="6" customFormat="1" ht="15.75" customHeight="1" x14ac:dyDescent="0.25">
      <c r="A807" s="1"/>
      <c r="B807" s="3"/>
      <c r="C807" s="36" t="s">
        <v>808</v>
      </c>
      <c r="D807" s="45">
        <v>1619</v>
      </c>
      <c r="E807" s="51"/>
      <c r="F807" s="2"/>
      <c r="G807" s="71"/>
    </row>
    <row r="808" spans="1:7" s="6" customFormat="1" ht="15.75" customHeight="1" x14ac:dyDescent="0.25">
      <c r="A808" s="1"/>
      <c r="B808" s="3"/>
      <c r="C808" s="36" t="s">
        <v>5</v>
      </c>
      <c r="D808" s="45">
        <v>1702</v>
      </c>
      <c r="E808" s="51"/>
      <c r="F808" s="2"/>
      <c r="G808" s="71"/>
    </row>
    <row r="809" spans="1:7" s="6" customFormat="1" ht="15.75" customHeight="1" x14ac:dyDescent="0.25">
      <c r="A809" s="1"/>
      <c r="B809" s="3"/>
      <c r="C809" s="36" t="s">
        <v>6</v>
      </c>
      <c r="D809" s="45">
        <v>1484</v>
      </c>
      <c r="E809" s="51"/>
      <c r="F809" s="2"/>
      <c r="G809" s="71"/>
    </row>
    <row r="810" spans="1:7" s="6" customFormat="1" ht="15.75" customHeight="1" x14ac:dyDescent="0.25">
      <c r="A810" s="1"/>
      <c r="B810" s="3"/>
      <c r="C810" s="36" t="s">
        <v>19</v>
      </c>
      <c r="D810" s="45">
        <v>862</v>
      </c>
      <c r="E810" s="51"/>
      <c r="F810" s="2"/>
      <c r="G810" s="71"/>
    </row>
    <row r="811" spans="1:7" s="6" customFormat="1" ht="15.75" customHeight="1" x14ac:dyDescent="0.25">
      <c r="A811" s="1"/>
      <c r="B811" s="3"/>
      <c r="C811" s="36" t="s">
        <v>809</v>
      </c>
      <c r="D811" s="45">
        <v>2718</v>
      </c>
      <c r="E811" s="51"/>
      <c r="F811" s="2"/>
      <c r="G811" s="71"/>
    </row>
    <row r="812" spans="1:7" s="6" customFormat="1" ht="15.75" customHeight="1" x14ac:dyDescent="0.25">
      <c r="A812" s="1"/>
      <c r="B812" s="3"/>
      <c r="C812" s="36" t="s">
        <v>810</v>
      </c>
      <c r="D812" s="45">
        <v>786</v>
      </c>
      <c r="E812" s="51"/>
      <c r="F812" s="2"/>
      <c r="G812" s="71"/>
    </row>
    <row r="813" spans="1:7" s="6" customFormat="1" ht="15.75" customHeight="1" x14ac:dyDescent="0.25">
      <c r="A813" s="1"/>
      <c r="B813" s="3"/>
      <c r="C813" s="36" t="s">
        <v>811</v>
      </c>
      <c r="D813" s="45">
        <v>1590</v>
      </c>
      <c r="E813" s="51"/>
      <c r="F813" s="2"/>
      <c r="G813" s="71"/>
    </row>
    <row r="814" spans="1:7" s="6" customFormat="1" ht="15.75" customHeight="1" x14ac:dyDescent="0.25">
      <c r="A814" s="1"/>
      <c r="B814" s="3"/>
      <c r="C814" s="36" t="s">
        <v>812</v>
      </c>
      <c r="D814" s="45">
        <v>952</v>
      </c>
      <c r="E814" s="51"/>
      <c r="F814" s="2"/>
      <c r="G814" s="71"/>
    </row>
    <row r="815" spans="1:7" s="6" customFormat="1" ht="15.75" customHeight="1" x14ac:dyDescent="0.25">
      <c r="A815" s="1"/>
      <c r="B815" s="3"/>
      <c r="C815" s="36"/>
      <c r="D815" s="46"/>
      <c r="E815" s="51"/>
      <c r="F815" s="2"/>
      <c r="G815" s="71"/>
    </row>
    <row r="816" spans="1:7" s="6" customFormat="1" ht="15.75" customHeight="1" x14ac:dyDescent="0.25">
      <c r="A816" s="1"/>
      <c r="B816" s="3"/>
      <c r="C816" s="35" t="s">
        <v>813</v>
      </c>
      <c r="D816" s="57">
        <f>SUM(D817:D838)</f>
        <v>22178</v>
      </c>
      <c r="E816" s="51"/>
      <c r="F816" s="2"/>
      <c r="G816" s="71"/>
    </row>
    <row r="817" spans="1:7" s="6" customFormat="1" ht="15.75" customHeight="1" x14ac:dyDescent="0.25">
      <c r="A817" s="1"/>
      <c r="B817" s="3"/>
      <c r="C817" s="36" t="s">
        <v>814</v>
      </c>
      <c r="D817" s="45">
        <v>1373</v>
      </c>
      <c r="E817" s="51"/>
      <c r="F817" s="2"/>
      <c r="G817" s="71"/>
    </row>
    <row r="818" spans="1:7" s="6" customFormat="1" ht="15.75" customHeight="1" x14ac:dyDescent="0.25">
      <c r="A818" s="1"/>
      <c r="B818" s="3"/>
      <c r="C818" s="36" t="s">
        <v>815</v>
      </c>
      <c r="D818" s="45">
        <v>597</v>
      </c>
      <c r="E818" s="51"/>
      <c r="F818" s="2"/>
      <c r="G818" s="71"/>
    </row>
    <row r="819" spans="1:7" s="6" customFormat="1" ht="15.75" customHeight="1" x14ac:dyDescent="0.25">
      <c r="A819" s="1"/>
      <c r="B819" s="3"/>
      <c r="C819" s="36" t="s">
        <v>816</v>
      </c>
      <c r="D819" s="45">
        <v>1000</v>
      </c>
      <c r="E819" s="51"/>
      <c r="F819" s="2"/>
      <c r="G819" s="71"/>
    </row>
    <row r="820" spans="1:7" s="6" customFormat="1" ht="15.75" customHeight="1" x14ac:dyDescent="0.25">
      <c r="A820" s="1"/>
      <c r="B820" s="3"/>
      <c r="C820" s="36" t="s">
        <v>492</v>
      </c>
      <c r="D820" s="45">
        <v>1040</v>
      </c>
      <c r="E820" s="51"/>
      <c r="F820" s="2"/>
      <c r="G820" s="71"/>
    </row>
    <row r="821" spans="1:7" s="6" customFormat="1" ht="15.75" customHeight="1" x14ac:dyDescent="0.25">
      <c r="A821" s="1"/>
      <c r="B821" s="3"/>
      <c r="C821" s="36" t="s">
        <v>817</v>
      </c>
      <c r="D821" s="45">
        <v>1897</v>
      </c>
      <c r="E821" s="51"/>
      <c r="F821" s="2"/>
      <c r="G821" s="71"/>
    </row>
    <row r="822" spans="1:7" s="6" customFormat="1" ht="15.75" customHeight="1" x14ac:dyDescent="0.25">
      <c r="A822" s="1"/>
      <c r="B822" s="3"/>
      <c r="C822" s="36" t="s">
        <v>818</v>
      </c>
      <c r="D822" s="45">
        <v>487</v>
      </c>
      <c r="E822" s="51"/>
      <c r="F822" s="2"/>
      <c r="G822" s="71"/>
    </row>
    <row r="823" spans="1:7" s="6" customFormat="1" ht="15.75" customHeight="1" x14ac:dyDescent="0.25">
      <c r="A823" s="1"/>
      <c r="B823" s="3"/>
      <c r="C823" s="36" t="s">
        <v>819</v>
      </c>
      <c r="D823" s="45">
        <v>611</v>
      </c>
      <c r="E823" s="51"/>
      <c r="F823" s="2"/>
      <c r="G823" s="71"/>
    </row>
    <row r="824" spans="1:7" s="6" customFormat="1" ht="15.75" customHeight="1" x14ac:dyDescent="0.25">
      <c r="A824" s="1"/>
      <c r="B824" s="3"/>
      <c r="C824" s="36" t="s">
        <v>820</v>
      </c>
      <c r="D824" s="45">
        <v>1800</v>
      </c>
      <c r="E824" s="51"/>
      <c r="F824" s="2"/>
      <c r="G824" s="71"/>
    </row>
    <row r="825" spans="1:7" s="6" customFormat="1" ht="15.75" customHeight="1" x14ac:dyDescent="0.25">
      <c r="A825" s="1"/>
      <c r="B825" s="3"/>
      <c r="C825" s="36" t="s">
        <v>821</v>
      </c>
      <c r="D825" s="45">
        <v>579</v>
      </c>
      <c r="E825" s="51"/>
      <c r="F825" s="2"/>
      <c r="G825" s="71"/>
    </row>
    <row r="826" spans="1:7" s="6" customFormat="1" ht="15.75" customHeight="1" x14ac:dyDescent="0.25">
      <c r="A826" s="1"/>
      <c r="B826" s="3"/>
      <c r="C826" s="36" t="s">
        <v>822</v>
      </c>
      <c r="D826" s="45">
        <v>1695</v>
      </c>
      <c r="E826" s="51"/>
      <c r="F826" s="2"/>
      <c r="G826" s="71"/>
    </row>
    <row r="827" spans="1:7" s="6" customFormat="1" ht="15.75" customHeight="1" x14ac:dyDescent="0.25">
      <c r="A827" s="1"/>
      <c r="B827" s="3"/>
      <c r="C827" s="36" t="s">
        <v>171</v>
      </c>
      <c r="D827" s="45">
        <v>607</v>
      </c>
      <c r="E827" s="51"/>
      <c r="F827" s="2"/>
      <c r="G827" s="71"/>
    </row>
    <row r="828" spans="1:7" s="6" customFormat="1" ht="15.75" customHeight="1" x14ac:dyDescent="0.25">
      <c r="A828" s="1"/>
      <c r="B828" s="3"/>
      <c r="C828" s="36" t="s">
        <v>823</v>
      </c>
      <c r="D828" s="45">
        <v>1092</v>
      </c>
      <c r="E828" s="51"/>
      <c r="F828" s="2"/>
      <c r="G828" s="71"/>
    </row>
    <row r="829" spans="1:7" s="6" customFormat="1" ht="15.75" customHeight="1" x14ac:dyDescent="0.25">
      <c r="A829" s="1"/>
      <c r="B829" s="3"/>
      <c r="C829" s="36" t="s">
        <v>824</v>
      </c>
      <c r="D829" s="45">
        <v>217</v>
      </c>
      <c r="E829" s="51"/>
      <c r="F829" s="2"/>
      <c r="G829" s="71"/>
    </row>
    <row r="830" spans="1:7" s="6" customFormat="1" ht="15.75" customHeight="1" x14ac:dyDescent="0.25">
      <c r="A830" s="1"/>
      <c r="B830" s="3"/>
      <c r="C830" s="36" t="s">
        <v>825</v>
      </c>
      <c r="D830" s="45">
        <v>1980</v>
      </c>
      <c r="E830" s="51"/>
      <c r="F830" s="2"/>
      <c r="G830" s="71"/>
    </row>
    <row r="831" spans="1:7" s="6" customFormat="1" ht="15.75" customHeight="1" x14ac:dyDescent="0.25">
      <c r="A831" s="1"/>
      <c r="B831" s="3"/>
      <c r="C831" s="36" t="s">
        <v>826</v>
      </c>
      <c r="D831" s="45">
        <v>711</v>
      </c>
      <c r="E831" s="51"/>
      <c r="F831" s="2"/>
      <c r="G831" s="71"/>
    </row>
    <row r="832" spans="1:7" s="6" customFormat="1" ht="15.75" customHeight="1" x14ac:dyDescent="0.25">
      <c r="A832" s="1"/>
      <c r="B832" s="3"/>
      <c r="C832" s="36" t="s">
        <v>2</v>
      </c>
      <c r="D832" s="45">
        <v>2071</v>
      </c>
      <c r="E832" s="51"/>
      <c r="F832" s="2"/>
      <c r="G832" s="71"/>
    </row>
    <row r="833" spans="1:7" s="6" customFormat="1" ht="15.75" customHeight="1" x14ac:dyDescent="0.25">
      <c r="A833" s="1"/>
      <c r="B833" s="3"/>
      <c r="C833" s="36" t="s">
        <v>827</v>
      </c>
      <c r="D833" s="45">
        <v>629</v>
      </c>
      <c r="E833" s="51"/>
      <c r="F833" s="2"/>
      <c r="G833" s="71"/>
    </row>
    <row r="834" spans="1:7" s="6" customFormat="1" ht="15.75" customHeight="1" x14ac:dyDescent="0.25">
      <c r="A834" s="1"/>
      <c r="B834" s="3"/>
      <c r="C834" s="36" t="s">
        <v>828</v>
      </c>
      <c r="D834" s="45">
        <v>750</v>
      </c>
      <c r="E834" s="51"/>
      <c r="F834" s="2"/>
      <c r="G834" s="71"/>
    </row>
    <row r="835" spans="1:7" s="6" customFormat="1" ht="15.75" customHeight="1" x14ac:dyDescent="0.25">
      <c r="A835" s="1"/>
      <c r="B835" s="3"/>
      <c r="C835" s="36" t="s">
        <v>5</v>
      </c>
      <c r="D835" s="45">
        <v>640</v>
      </c>
      <c r="E835" s="51"/>
      <c r="F835" s="2"/>
      <c r="G835" s="71"/>
    </row>
    <row r="836" spans="1:7" s="6" customFormat="1" ht="15.75" customHeight="1" x14ac:dyDescent="0.25">
      <c r="A836" s="1"/>
      <c r="B836" s="3"/>
      <c r="C836" s="36" t="s">
        <v>10</v>
      </c>
      <c r="D836" s="45">
        <v>1167</v>
      </c>
      <c r="E836" s="51"/>
      <c r="F836" s="2"/>
      <c r="G836" s="71"/>
    </row>
    <row r="837" spans="1:7" s="6" customFormat="1" ht="15.75" customHeight="1" x14ac:dyDescent="0.25">
      <c r="A837" s="1"/>
      <c r="B837" s="3"/>
      <c r="C837" s="36" t="s">
        <v>417</v>
      </c>
      <c r="D837" s="45">
        <v>656</v>
      </c>
      <c r="E837" s="51"/>
      <c r="F837" s="2"/>
      <c r="G837" s="71"/>
    </row>
    <row r="838" spans="1:7" s="6" customFormat="1" ht="15.75" customHeight="1" x14ac:dyDescent="0.25">
      <c r="A838" s="1"/>
      <c r="B838" s="3"/>
      <c r="C838" s="36" t="s">
        <v>259</v>
      </c>
      <c r="D838" s="45">
        <v>579</v>
      </c>
      <c r="E838" s="51"/>
      <c r="F838" s="2"/>
      <c r="G838" s="71"/>
    </row>
    <row r="839" spans="1:7" s="6" customFormat="1" ht="15.75" customHeight="1" x14ac:dyDescent="0.25">
      <c r="A839" s="1"/>
      <c r="B839" s="3"/>
      <c r="C839" s="36"/>
      <c r="D839" s="46"/>
      <c r="E839" s="51"/>
      <c r="F839" s="2"/>
      <c r="G839" s="71"/>
    </row>
    <row r="840" spans="1:7" s="6" customFormat="1" ht="15.75" customHeight="1" x14ac:dyDescent="0.25">
      <c r="A840" s="1"/>
      <c r="B840" s="3"/>
      <c r="C840" s="35" t="s">
        <v>1967</v>
      </c>
      <c r="D840" s="57">
        <f>SUM(D841:D850)</f>
        <v>39839</v>
      </c>
      <c r="E840" s="51"/>
      <c r="F840" s="2"/>
      <c r="G840" s="71"/>
    </row>
    <row r="841" spans="1:7" s="6" customFormat="1" ht="15.75" customHeight="1" x14ac:dyDescent="0.25">
      <c r="A841" s="1"/>
      <c r="B841" s="3"/>
      <c r="C841" s="36" t="s">
        <v>829</v>
      </c>
      <c r="D841" s="45">
        <v>3988</v>
      </c>
      <c r="E841" s="51"/>
      <c r="F841" s="2"/>
      <c r="G841" s="71"/>
    </row>
    <row r="842" spans="1:7" s="6" customFormat="1" ht="15.75" customHeight="1" x14ac:dyDescent="0.25">
      <c r="A842" s="1"/>
      <c r="B842" s="3"/>
      <c r="C842" s="36" t="s">
        <v>830</v>
      </c>
      <c r="D842" s="45">
        <v>2293</v>
      </c>
      <c r="E842" s="51"/>
      <c r="F842" s="2"/>
      <c r="G842" s="71"/>
    </row>
    <row r="843" spans="1:7" s="6" customFormat="1" ht="15.75" customHeight="1" x14ac:dyDescent="0.25">
      <c r="A843" s="1"/>
      <c r="B843" s="3"/>
      <c r="C843" s="36" t="s">
        <v>48</v>
      </c>
      <c r="D843" s="45">
        <v>6201</v>
      </c>
      <c r="E843" s="51"/>
      <c r="F843" s="2"/>
      <c r="G843" s="71"/>
    </row>
    <row r="844" spans="1:7" s="6" customFormat="1" ht="15.75" customHeight="1" x14ac:dyDescent="0.25">
      <c r="A844" s="1"/>
      <c r="B844" s="3"/>
      <c r="C844" s="36" t="s">
        <v>831</v>
      </c>
      <c r="D844" s="45">
        <v>4110</v>
      </c>
      <c r="E844" s="51"/>
      <c r="F844" s="2"/>
      <c r="G844" s="71"/>
    </row>
    <row r="845" spans="1:7" s="6" customFormat="1" ht="15.75" customHeight="1" x14ac:dyDescent="0.25">
      <c r="A845" s="1"/>
      <c r="B845" s="3"/>
      <c r="C845" s="36" t="s">
        <v>832</v>
      </c>
      <c r="D845" s="45">
        <v>2590</v>
      </c>
      <c r="E845" s="51"/>
      <c r="F845" s="2"/>
      <c r="G845" s="71"/>
    </row>
    <row r="846" spans="1:7" s="6" customFormat="1" ht="15.75" customHeight="1" x14ac:dyDescent="0.25">
      <c r="A846" s="1"/>
      <c r="B846" s="3"/>
      <c r="C846" s="36" t="s">
        <v>663</v>
      </c>
      <c r="D846" s="45">
        <v>3112</v>
      </c>
      <c r="E846" s="51"/>
      <c r="F846" s="2"/>
      <c r="G846" s="71"/>
    </row>
    <row r="847" spans="1:7" s="6" customFormat="1" ht="15.75" customHeight="1" x14ac:dyDescent="0.25">
      <c r="A847" s="1"/>
      <c r="B847" s="3"/>
      <c r="C847" s="36" t="s">
        <v>501</v>
      </c>
      <c r="D847" s="45">
        <v>1791</v>
      </c>
      <c r="E847" s="51"/>
      <c r="F847" s="2"/>
      <c r="G847" s="71"/>
    </row>
    <row r="848" spans="1:7" s="6" customFormat="1" ht="15.75" customHeight="1" x14ac:dyDescent="0.25">
      <c r="A848" s="1"/>
      <c r="B848" s="3"/>
      <c r="C848" s="36" t="s">
        <v>2</v>
      </c>
      <c r="D848" s="45">
        <v>6054</v>
      </c>
      <c r="E848" s="51"/>
      <c r="F848" s="2"/>
      <c r="G848" s="71"/>
    </row>
    <row r="849" spans="1:7" s="6" customFormat="1" ht="15.75" customHeight="1" x14ac:dyDescent="0.25">
      <c r="A849" s="1"/>
      <c r="B849" s="3"/>
      <c r="C849" s="36" t="s">
        <v>793</v>
      </c>
      <c r="D849" s="45">
        <v>4040</v>
      </c>
      <c r="E849" s="51"/>
      <c r="F849" s="2"/>
      <c r="G849" s="71"/>
    </row>
    <row r="850" spans="1:7" s="6" customFormat="1" ht="15.75" customHeight="1" x14ac:dyDescent="0.25">
      <c r="A850" s="1"/>
      <c r="B850" s="3"/>
      <c r="C850" s="36" t="s">
        <v>833</v>
      </c>
      <c r="D850" s="45">
        <v>5660</v>
      </c>
      <c r="E850" s="51"/>
      <c r="F850" s="2"/>
      <c r="G850" s="71"/>
    </row>
    <row r="851" spans="1:7" s="6" customFormat="1" ht="15.75" customHeight="1" x14ac:dyDescent="0.25">
      <c r="A851" s="1"/>
      <c r="B851" s="3"/>
      <c r="C851" s="36"/>
      <c r="D851" s="46"/>
      <c r="E851" s="51"/>
      <c r="F851" s="2"/>
      <c r="G851" s="71"/>
    </row>
    <row r="852" spans="1:7" s="6" customFormat="1" ht="15.75" customHeight="1" x14ac:dyDescent="0.25">
      <c r="A852" s="1"/>
      <c r="B852" s="3"/>
      <c r="C852" s="35" t="s">
        <v>1519</v>
      </c>
      <c r="D852" s="57">
        <f>SUM(D853:D873)</f>
        <v>28693</v>
      </c>
      <c r="E852" s="51"/>
      <c r="F852" s="2"/>
      <c r="G852" s="71"/>
    </row>
    <row r="853" spans="1:7" s="6" customFormat="1" ht="15.75" customHeight="1" x14ac:dyDescent="0.25">
      <c r="A853" s="1"/>
      <c r="B853" s="3"/>
      <c r="C853" s="36" t="s">
        <v>834</v>
      </c>
      <c r="D853" s="45">
        <v>437</v>
      </c>
      <c r="E853" s="51"/>
      <c r="F853" s="2"/>
      <c r="G853" s="71"/>
    </row>
    <row r="854" spans="1:7" s="6" customFormat="1" ht="15.75" customHeight="1" x14ac:dyDescent="0.25">
      <c r="A854" s="1"/>
      <c r="B854" s="3"/>
      <c r="C854" s="36" t="s">
        <v>42</v>
      </c>
      <c r="D854" s="45">
        <v>858</v>
      </c>
      <c r="E854" s="51"/>
      <c r="F854" s="2"/>
      <c r="G854" s="71"/>
    </row>
    <row r="855" spans="1:7" s="6" customFormat="1" ht="15.75" customHeight="1" x14ac:dyDescent="0.25">
      <c r="A855" s="1"/>
      <c r="B855" s="3"/>
      <c r="C855" s="36" t="s">
        <v>59</v>
      </c>
      <c r="D855" s="45">
        <v>1821</v>
      </c>
      <c r="E855" s="51"/>
      <c r="F855" s="2"/>
      <c r="G855" s="71"/>
    </row>
    <row r="856" spans="1:7" s="6" customFormat="1" ht="15.75" customHeight="1" x14ac:dyDescent="0.25">
      <c r="A856" s="1"/>
      <c r="B856" s="3"/>
      <c r="C856" s="36" t="s">
        <v>605</v>
      </c>
      <c r="D856" s="45">
        <v>1487</v>
      </c>
      <c r="E856" s="51"/>
      <c r="F856" s="2"/>
      <c r="G856" s="71"/>
    </row>
    <row r="857" spans="1:7" s="6" customFormat="1" ht="15.75" customHeight="1" x14ac:dyDescent="0.25">
      <c r="A857" s="1"/>
      <c r="B857" s="3"/>
      <c r="C857" s="36" t="s">
        <v>78</v>
      </c>
      <c r="D857" s="45">
        <v>2105</v>
      </c>
      <c r="E857" s="51"/>
      <c r="F857" s="2"/>
      <c r="G857" s="71"/>
    </row>
    <row r="858" spans="1:7" s="6" customFormat="1" ht="15.75" customHeight="1" x14ac:dyDescent="0.25">
      <c r="A858" s="1"/>
      <c r="B858" s="3"/>
      <c r="C858" s="36" t="s">
        <v>512</v>
      </c>
      <c r="D858" s="45">
        <v>1120</v>
      </c>
      <c r="E858" s="51"/>
      <c r="F858" s="2"/>
      <c r="G858" s="71"/>
    </row>
    <row r="859" spans="1:7" s="6" customFormat="1" ht="15.75" customHeight="1" x14ac:dyDescent="0.25">
      <c r="A859" s="1"/>
      <c r="B859" s="3"/>
      <c r="C859" s="36" t="s">
        <v>835</v>
      </c>
      <c r="D859" s="45">
        <v>861</v>
      </c>
      <c r="E859" s="51"/>
      <c r="F859" s="2"/>
      <c r="G859" s="71"/>
    </row>
    <row r="860" spans="1:7" s="6" customFormat="1" ht="15.75" customHeight="1" x14ac:dyDescent="0.25">
      <c r="A860" s="1"/>
      <c r="B860" s="3"/>
      <c r="C860" s="36" t="s">
        <v>836</v>
      </c>
      <c r="D860" s="45">
        <v>1628</v>
      </c>
      <c r="E860" s="51"/>
      <c r="F860" s="2"/>
      <c r="G860" s="71"/>
    </row>
    <row r="861" spans="1:7" s="6" customFormat="1" ht="15.75" customHeight="1" x14ac:dyDescent="0.25">
      <c r="A861" s="1"/>
      <c r="B861" s="3"/>
      <c r="C861" s="36" t="s">
        <v>29</v>
      </c>
      <c r="D861" s="45">
        <v>915</v>
      </c>
      <c r="E861" s="51"/>
      <c r="F861" s="2"/>
      <c r="G861" s="71"/>
    </row>
    <row r="862" spans="1:7" s="6" customFormat="1" ht="15.75" customHeight="1" x14ac:dyDescent="0.25">
      <c r="A862" s="1"/>
      <c r="B862" s="3"/>
      <c r="C862" s="36" t="s">
        <v>511</v>
      </c>
      <c r="D862" s="45">
        <v>3171</v>
      </c>
      <c r="E862" s="51"/>
      <c r="F862" s="2"/>
      <c r="G862" s="71"/>
    </row>
    <row r="863" spans="1:7" s="6" customFormat="1" ht="15.75" customHeight="1" x14ac:dyDescent="0.25">
      <c r="A863" s="1"/>
      <c r="B863" s="3"/>
      <c r="C863" s="36" t="s">
        <v>837</v>
      </c>
      <c r="D863" s="45">
        <v>775</v>
      </c>
      <c r="E863" s="51"/>
      <c r="F863" s="2"/>
      <c r="G863" s="71"/>
    </row>
    <row r="864" spans="1:7" s="6" customFormat="1" ht="15.75" customHeight="1" x14ac:dyDescent="0.25">
      <c r="A864" s="1"/>
      <c r="B864" s="3"/>
      <c r="C864" s="36" t="s">
        <v>838</v>
      </c>
      <c r="D864" s="45">
        <v>1116</v>
      </c>
      <c r="E864" s="51"/>
      <c r="F864" s="2"/>
      <c r="G864" s="71"/>
    </row>
    <row r="865" spans="1:7" s="6" customFormat="1" ht="15.75" customHeight="1" x14ac:dyDescent="0.25">
      <c r="A865" s="1"/>
      <c r="B865" s="3"/>
      <c r="C865" s="36" t="s">
        <v>839</v>
      </c>
      <c r="D865" s="45">
        <v>791</v>
      </c>
      <c r="E865" s="51"/>
      <c r="F865" s="2"/>
      <c r="G865" s="71"/>
    </row>
    <row r="866" spans="1:7" s="6" customFormat="1" ht="15.75" customHeight="1" x14ac:dyDescent="0.25">
      <c r="A866" s="1"/>
      <c r="B866" s="3"/>
      <c r="C866" s="36" t="s">
        <v>840</v>
      </c>
      <c r="D866" s="45">
        <v>1193</v>
      </c>
      <c r="E866" s="51"/>
      <c r="F866" s="2"/>
      <c r="G866" s="71"/>
    </row>
    <row r="867" spans="1:7" s="6" customFormat="1" ht="15.75" customHeight="1" x14ac:dyDescent="0.25">
      <c r="A867" s="1"/>
      <c r="B867" s="3"/>
      <c r="C867" s="36" t="s">
        <v>279</v>
      </c>
      <c r="D867" s="45">
        <v>861</v>
      </c>
      <c r="E867" s="51"/>
      <c r="F867" s="2"/>
      <c r="G867" s="71"/>
    </row>
    <row r="868" spans="1:7" s="6" customFormat="1" ht="15.75" customHeight="1" x14ac:dyDescent="0.25">
      <c r="A868" s="1"/>
      <c r="B868" s="3"/>
      <c r="C868" s="36" t="s">
        <v>841</v>
      </c>
      <c r="D868" s="45">
        <v>737</v>
      </c>
      <c r="E868" s="51"/>
      <c r="F868" s="2"/>
      <c r="G868" s="71"/>
    </row>
    <row r="869" spans="1:7" s="6" customFormat="1" ht="15.75" customHeight="1" x14ac:dyDescent="0.25">
      <c r="A869" s="1"/>
      <c r="B869" s="3"/>
      <c r="C869" s="36" t="s">
        <v>2</v>
      </c>
      <c r="D869" s="45">
        <v>3192</v>
      </c>
      <c r="E869" s="51"/>
      <c r="F869" s="2"/>
      <c r="G869" s="71"/>
    </row>
    <row r="870" spans="1:7" s="6" customFormat="1" ht="15.75" customHeight="1" x14ac:dyDescent="0.25">
      <c r="A870" s="1"/>
      <c r="B870" s="3"/>
      <c r="C870" s="36" t="s">
        <v>20</v>
      </c>
      <c r="D870" s="45">
        <v>1376</v>
      </c>
      <c r="E870" s="51"/>
      <c r="F870" s="2"/>
      <c r="G870" s="71"/>
    </row>
    <row r="871" spans="1:7" s="6" customFormat="1" ht="15.75" customHeight="1" x14ac:dyDescent="0.25">
      <c r="A871" s="1"/>
      <c r="B871" s="3"/>
      <c r="C871" s="36" t="s">
        <v>8</v>
      </c>
      <c r="D871" s="45">
        <v>720</v>
      </c>
      <c r="E871" s="51"/>
      <c r="F871" s="2"/>
      <c r="G871" s="71"/>
    </row>
    <row r="872" spans="1:7" s="6" customFormat="1" ht="15.75" customHeight="1" x14ac:dyDescent="0.25">
      <c r="A872" s="1"/>
      <c r="B872" s="3"/>
      <c r="C872" s="36" t="s">
        <v>5</v>
      </c>
      <c r="D872" s="45">
        <v>2722</v>
      </c>
      <c r="E872" s="51"/>
      <c r="F872" s="2"/>
      <c r="G872" s="71"/>
    </row>
    <row r="873" spans="1:7" s="6" customFormat="1" ht="15.75" customHeight="1" x14ac:dyDescent="0.25">
      <c r="A873" s="1"/>
      <c r="B873" s="3"/>
      <c r="C873" s="36" t="s">
        <v>10</v>
      </c>
      <c r="D873" s="45">
        <v>807</v>
      </c>
      <c r="E873" s="51"/>
      <c r="F873" s="2"/>
      <c r="G873" s="71"/>
    </row>
    <row r="874" spans="1:7" s="6" customFormat="1" ht="15.75" customHeight="1" x14ac:dyDescent="0.25">
      <c r="A874" s="1"/>
      <c r="B874" s="3"/>
      <c r="C874" s="36"/>
      <c r="D874" s="46"/>
      <c r="E874" s="51"/>
      <c r="F874" s="2"/>
      <c r="G874" s="71"/>
    </row>
    <row r="875" spans="1:7" s="6" customFormat="1" ht="15.75" customHeight="1" x14ac:dyDescent="0.25">
      <c r="A875" s="1"/>
      <c r="B875" s="3"/>
      <c r="C875" s="35" t="s">
        <v>2417</v>
      </c>
      <c r="D875" s="57">
        <f>SUM(D876:D898)</f>
        <v>23625</v>
      </c>
      <c r="E875" s="51"/>
      <c r="F875" s="2"/>
      <c r="G875" s="71"/>
    </row>
    <row r="876" spans="1:7" s="6" customFormat="1" ht="15.75" customHeight="1" x14ac:dyDescent="0.25">
      <c r="A876" s="1"/>
      <c r="B876" s="3"/>
      <c r="C876" s="36" t="s">
        <v>843</v>
      </c>
      <c r="D876" s="45">
        <v>2224</v>
      </c>
      <c r="E876" s="51"/>
      <c r="F876" s="2"/>
      <c r="G876" s="71"/>
    </row>
    <row r="877" spans="1:7" s="6" customFormat="1" ht="15.75" customHeight="1" x14ac:dyDescent="0.25">
      <c r="A877" s="1"/>
      <c r="B877" s="3"/>
      <c r="C877" s="36" t="s">
        <v>156</v>
      </c>
      <c r="D877" s="45">
        <v>837</v>
      </c>
      <c r="E877" s="51"/>
      <c r="F877" s="2"/>
      <c r="G877" s="71"/>
    </row>
    <row r="878" spans="1:7" s="6" customFormat="1" ht="15.75" customHeight="1" x14ac:dyDescent="0.25">
      <c r="A878" s="1"/>
      <c r="B878" s="3"/>
      <c r="C878" s="36" t="s">
        <v>844</v>
      </c>
      <c r="D878" s="45">
        <v>692</v>
      </c>
      <c r="E878" s="51"/>
      <c r="F878" s="2"/>
      <c r="G878" s="71"/>
    </row>
    <row r="879" spans="1:7" s="6" customFormat="1" ht="15.75" customHeight="1" x14ac:dyDescent="0.25">
      <c r="A879" s="1"/>
      <c r="B879" s="3"/>
      <c r="C879" s="36" t="s">
        <v>154</v>
      </c>
      <c r="D879" s="45">
        <v>247</v>
      </c>
      <c r="E879" s="51"/>
      <c r="F879" s="2"/>
      <c r="G879" s="71"/>
    </row>
    <row r="880" spans="1:7" s="6" customFormat="1" ht="15.75" customHeight="1" x14ac:dyDescent="0.25">
      <c r="A880" s="1"/>
      <c r="B880" s="3"/>
      <c r="C880" s="36" t="s">
        <v>845</v>
      </c>
      <c r="D880" s="45">
        <v>1364</v>
      </c>
      <c r="E880" s="51"/>
      <c r="F880" s="2"/>
      <c r="G880" s="71"/>
    </row>
    <row r="881" spans="1:7" s="6" customFormat="1" ht="15.75" customHeight="1" x14ac:dyDescent="0.25">
      <c r="A881" s="1"/>
      <c r="B881" s="3"/>
      <c r="C881" s="36" t="s">
        <v>846</v>
      </c>
      <c r="D881" s="45">
        <v>1433</v>
      </c>
      <c r="E881" s="51"/>
      <c r="F881" s="2"/>
      <c r="G881" s="71"/>
    </row>
    <row r="882" spans="1:7" s="6" customFormat="1" ht="15.75" customHeight="1" x14ac:dyDescent="0.25">
      <c r="A882" s="1"/>
      <c r="B882" s="3"/>
      <c r="C882" s="36" t="s">
        <v>847</v>
      </c>
      <c r="D882" s="45">
        <v>1098</v>
      </c>
      <c r="E882" s="51"/>
      <c r="F882" s="2"/>
      <c r="G882" s="71"/>
    </row>
    <row r="883" spans="1:7" s="6" customFormat="1" ht="15.75" customHeight="1" x14ac:dyDescent="0.25">
      <c r="A883" s="1"/>
      <c r="B883" s="3"/>
      <c r="C883" s="36" t="s">
        <v>848</v>
      </c>
      <c r="D883" s="45">
        <v>1585</v>
      </c>
      <c r="E883" s="51"/>
      <c r="F883" s="2"/>
      <c r="G883" s="71"/>
    </row>
    <row r="884" spans="1:7" s="6" customFormat="1" ht="15.75" customHeight="1" x14ac:dyDescent="0.25">
      <c r="A884" s="1"/>
      <c r="B884" s="3"/>
      <c r="C884" s="36" t="s">
        <v>849</v>
      </c>
      <c r="D884" s="45">
        <v>1107</v>
      </c>
      <c r="E884" s="51"/>
      <c r="F884" s="2"/>
      <c r="G884" s="71"/>
    </row>
    <row r="885" spans="1:7" s="6" customFormat="1" ht="15.75" customHeight="1" x14ac:dyDescent="0.25">
      <c r="A885" s="1"/>
      <c r="B885" s="3"/>
      <c r="C885" s="36" t="s">
        <v>850</v>
      </c>
      <c r="D885" s="45">
        <v>307</v>
      </c>
      <c r="E885" s="51"/>
      <c r="F885" s="2"/>
      <c r="G885" s="71"/>
    </row>
    <row r="886" spans="1:7" s="6" customFormat="1" ht="15.75" customHeight="1" x14ac:dyDescent="0.25">
      <c r="A886" s="1"/>
      <c r="B886" s="3"/>
      <c r="C886" s="36" t="s">
        <v>851</v>
      </c>
      <c r="D886" s="45">
        <v>967</v>
      </c>
      <c r="E886" s="51"/>
      <c r="F886" s="2"/>
      <c r="G886" s="71"/>
    </row>
    <row r="887" spans="1:7" s="6" customFormat="1" ht="15.75" customHeight="1" x14ac:dyDescent="0.25">
      <c r="A887" s="1"/>
      <c r="B887" s="3"/>
      <c r="C887" s="36" t="s">
        <v>93</v>
      </c>
      <c r="D887" s="45">
        <v>615</v>
      </c>
      <c r="E887" s="51"/>
      <c r="F887" s="2"/>
      <c r="G887" s="71"/>
    </row>
    <row r="888" spans="1:7" s="6" customFormat="1" ht="15.75" customHeight="1" x14ac:dyDescent="0.25">
      <c r="A888" s="1"/>
      <c r="B888" s="3"/>
      <c r="C888" s="36" t="s">
        <v>2</v>
      </c>
      <c r="D888" s="45">
        <v>2509</v>
      </c>
      <c r="E888" s="51"/>
      <c r="F888" s="2"/>
      <c r="G888" s="71"/>
    </row>
    <row r="889" spans="1:7" s="6" customFormat="1" ht="15.75" customHeight="1" x14ac:dyDescent="0.25">
      <c r="A889" s="1"/>
      <c r="B889" s="3"/>
      <c r="C889" s="36" t="s">
        <v>852</v>
      </c>
      <c r="D889" s="45">
        <v>1056</v>
      </c>
      <c r="E889" s="51"/>
      <c r="F889" s="2"/>
      <c r="G889" s="71"/>
    </row>
    <row r="890" spans="1:7" s="6" customFormat="1" ht="15.75" customHeight="1" x14ac:dyDescent="0.25">
      <c r="A890" s="1"/>
      <c r="B890" s="3"/>
      <c r="C890" s="36" t="s">
        <v>687</v>
      </c>
      <c r="D890" s="45">
        <v>695</v>
      </c>
      <c r="E890" s="51"/>
      <c r="F890" s="2"/>
      <c r="G890" s="71"/>
    </row>
    <row r="891" spans="1:7" s="6" customFormat="1" ht="15.75" customHeight="1" x14ac:dyDescent="0.25">
      <c r="A891" s="1"/>
      <c r="B891" s="3"/>
      <c r="C891" s="36" t="s">
        <v>853</v>
      </c>
      <c r="D891" s="45">
        <v>1294</v>
      </c>
      <c r="E891" s="51"/>
      <c r="F891" s="2"/>
      <c r="G891" s="71"/>
    </row>
    <row r="892" spans="1:7" s="6" customFormat="1" ht="15.75" customHeight="1" x14ac:dyDescent="0.25">
      <c r="A892" s="1"/>
      <c r="B892" s="3"/>
      <c r="C892" s="36" t="s">
        <v>145</v>
      </c>
      <c r="D892" s="45">
        <v>526</v>
      </c>
      <c r="E892" s="51"/>
      <c r="F892" s="2"/>
      <c r="G892" s="71"/>
    </row>
    <row r="893" spans="1:7" s="6" customFormat="1" ht="15.75" customHeight="1" x14ac:dyDescent="0.25">
      <c r="A893" s="1"/>
      <c r="B893" s="3"/>
      <c r="C893" s="36" t="s">
        <v>854</v>
      </c>
      <c r="D893" s="45">
        <v>221</v>
      </c>
      <c r="E893" s="51"/>
      <c r="F893" s="2"/>
      <c r="G893" s="71"/>
    </row>
    <row r="894" spans="1:7" s="6" customFormat="1" ht="15.75" customHeight="1" x14ac:dyDescent="0.25">
      <c r="A894" s="1"/>
      <c r="B894" s="3"/>
      <c r="C894" s="36" t="s">
        <v>113</v>
      </c>
      <c r="D894" s="45">
        <v>773</v>
      </c>
      <c r="E894" s="51"/>
      <c r="F894" s="2"/>
      <c r="G894" s="71"/>
    </row>
    <row r="895" spans="1:7" s="6" customFormat="1" ht="15.75" customHeight="1" x14ac:dyDescent="0.25">
      <c r="A895" s="1"/>
      <c r="B895" s="3"/>
      <c r="C895" s="36" t="s">
        <v>855</v>
      </c>
      <c r="D895" s="45">
        <v>1185</v>
      </c>
      <c r="E895" s="51"/>
      <c r="F895" s="2"/>
      <c r="G895" s="71"/>
    </row>
    <row r="896" spans="1:7" s="6" customFormat="1" ht="15.75" customHeight="1" x14ac:dyDescent="0.25">
      <c r="A896" s="1"/>
      <c r="B896" s="3"/>
      <c r="C896" s="36" t="s">
        <v>856</v>
      </c>
      <c r="D896" s="45">
        <v>1434</v>
      </c>
      <c r="E896" s="51"/>
      <c r="F896" s="2"/>
      <c r="G896" s="71"/>
    </row>
    <row r="897" spans="1:7" s="6" customFormat="1" ht="15.75" customHeight="1" x14ac:dyDescent="0.25">
      <c r="A897" s="1"/>
      <c r="B897" s="3"/>
      <c r="C897" s="36" t="s">
        <v>857</v>
      </c>
      <c r="D897" s="45">
        <v>546</v>
      </c>
      <c r="E897" s="51"/>
      <c r="F897" s="2"/>
      <c r="G897" s="71"/>
    </row>
    <row r="898" spans="1:7" s="6" customFormat="1" ht="15.75" customHeight="1" x14ac:dyDescent="0.25">
      <c r="A898" s="1"/>
      <c r="B898" s="3"/>
      <c r="C898" s="36" t="s">
        <v>10</v>
      </c>
      <c r="D898" s="45">
        <v>910</v>
      </c>
      <c r="E898" s="51"/>
      <c r="F898" s="2"/>
      <c r="G898" s="71"/>
    </row>
    <row r="899" spans="1:7" s="6" customFormat="1" ht="15.75" customHeight="1" x14ac:dyDescent="0.25">
      <c r="A899" s="1"/>
      <c r="B899" s="3"/>
      <c r="C899" s="36"/>
      <c r="D899" s="46"/>
      <c r="E899" s="51"/>
      <c r="F899" s="2"/>
      <c r="G899" s="71"/>
    </row>
    <row r="900" spans="1:7" s="6" customFormat="1" ht="15.75" customHeight="1" x14ac:dyDescent="0.25">
      <c r="A900" s="1"/>
      <c r="B900" s="3"/>
      <c r="C900" s="35" t="s">
        <v>858</v>
      </c>
      <c r="D900" s="57">
        <f>SUM(D901:D924)</f>
        <v>24335</v>
      </c>
      <c r="E900" s="51"/>
      <c r="F900" s="2"/>
      <c r="G900" s="71"/>
    </row>
    <row r="901" spans="1:7" s="6" customFormat="1" ht="15.75" customHeight="1" x14ac:dyDescent="0.25">
      <c r="A901" s="1"/>
      <c r="B901" s="3"/>
      <c r="C901" s="36" t="s">
        <v>859</v>
      </c>
      <c r="D901" s="45">
        <v>1146</v>
      </c>
      <c r="E901" s="51"/>
      <c r="F901" s="2"/>
      <c r="G901" s="71"/>
    </row>
    <row r="902" spans="1:7" s="6" customFormat="1" ht="15.75" customHeight="1" x14ac:dyDescent="0.25">
      <c r="A902" s="1"/>
      <c r="B902" s="3"/>
      <c r="C902" s="36" t="s">
        <v>860</v>
      </c>
      <c r="D902" s="45">
        <v>1044</v>
      </c>
      <c r="E902" s="51"/>
      <c r="F902" s="2"/>
      <c r="G902" s="71"/>
    </row>
    <row r="903" spans="1:7" s="6" customFormat="1" ht="15.75" customHeight="1" x14ac:dyDescent="0.25">
      <c r="A903" s="1"/>
      <c r="B903" s="3"/>
      <c r="C903" s="36" t="s">
        <v>861</v>
      </c>
      <c r="D903" s="45">
        <v>1878</v>
      </c>
      <c r="E903" s="51"/>
      <c r="F903" s="2"/>
      <c r="G903" s="71"/>
    </row>
    <row r="904" spans="1:7" s="6" customFormat="1" ht="15.75" customHeight="1" x14ac:dyDescent="0.25">
      <c r="A904" s="1"/>
      <c r="B904" s="3"/>
      <c r="C904" s="36" t="s">
        <v>862</v>
      </c>
      <c r="D904" s="45">
        <v>1331</v>
      </c>
      <c r="E904" s="51"/>
      <c r="F904" s="2"/>
      <c r="G904" s="71"/>
    </row>
    <row r="905" spans="1:7" s="6" customFormat="1" ht="15.75" customHeight="1" x14ac:dyDescent="0.25">
      <c r="A905" s="1"/>
      <c r="B905" s="3"/>
      <c r="C905" s="36" t="s">
        <v>628</v>
      </c>
      <c r="D905" s="45">
        <v>838</v>
      </c>
      <c r="E905" s="51"/>
      <c r="F905" s="2"/>
      <c r="G905" s="71"/>
    </row>
    <row r="906" spans="1:7" s="6" customFormat="1" ht="15.75" customHeight="1" x14ac:dyDescent="0.25">
      <c r="A906" s="1"/>
      <c r="B906" s="3"/>
      <c r="C906" s="36" t="s">
        <v>863</v>
      </c>
      <c r="D906" s="45">
        <v>517</v>
      </c>
      <c r="E906" s="51"/>
      <c r="F906" s="2"/>
      <c r="G906" s="71"/>
    </row>
    <row r="907" spans="1:7" s="6" customFormat="1" ht="15.75" customHeight="1" x14ac:dyDescent="0.25">
      <c r="A907" s="1"/>
      <c r="B907" s="3"/>
      <c r="C907" s="36" t="s">
        <v>864</v>
      </c>
      <c r="D907" s="45">
        <v>450</v>
      </c>
      <c r="E907" s="51"/>
      <c r="F907" s="2"/>
      <c r="G907" s="71"/>
    </row>
    <row r="908" spans="1:7" s="6" customFormat="1" ht="15.75" customHeight="1" x14ac:dyDescent="0.25">
      <c r="A908" s="1"/>
      <c r="B908" s="3"/>
      <c r="C908" s="36" t="s">
        <v>87</v>
      </c>
      <c r="D908" s="45">
        <v>640</v>
      </c>
      <c r="E908" s="51"/>
      <c r="F908" s="2"/>
      <c r="G908" s="71"/>
    </row>
    <row r="909" spans="1:7" s="6" customFormat="1" ht="15.75" customHeight="1" x14ac:dyDescent="0.25">
      <c r="A909" s="1"/>
      <c r="B909" s="3"/>
      <c r="C909" s="36" t="s">
        <v>865</v>
      </c>
      <c r="D909" s="45">
        <v>735</v>
      </c>
      <c r="E909" s="51"/>
      <c r="F909" s="2"/>
      <c r="G909" s="71"/>
    </row>
    <row r="910" spans="1:7" s="6" customFormat="1" ht="15.75" customHeight="1" x14ac:dyDescent="0.25">
      <c r="A910" s="1"/>
      <c r="B910" s="3"/>
      <c r="C910" s="36" t="s">
        <v>866</v>
      </c>
      <c r="D910" s="45">
        <v>407</v>
      </c>
      <c r="E910" s="51"/>
      <c r="F910" s="2"/>
      <c r="G910" s="71"/>
    </row>
    <row r="911" spans="1:7" s="6" customFormat="1" ht="15.75" customHeight="1" x14ac:dyDescent="0.25">
      <c r="A911" s="1"/>
      <c r="B911" s="3"/>
      <c r="C911" s="36" t="s">
        <v>466</v>
      </c>
      <c r="D911" s="45">
        <v>205</v>
      </c>
      <c r="E911" s="51"/>
      <c r="F911" s="2"/>
      <c r="G911" s="71"/>
    </row>
    <row r="912" spans="1:7" s="6" customFormat="1" ht="15.75" customHeight="1" x14ac:dyDescent="0.25">
      <c r="A912" s="1"/>
      <c r="B912" s="3"/>
      <c r="C912" s="36" t="s">
        <v>867</v>
      </c>
      <c r="D912" s="45">
        <v>737</v>
      </c>
      <c r="E912" s="51"/>
      <c r="F912" s="2"/>
      <c r="G912" s="71"/>
    </row>
    <row r="913" spans="1:7" s="6" customFormat="1" ht="15.75" customHeight="1" x14ac:dyDescent="0.25">
      <c r="A913" s="1"/>
      <c r="B913" s="3"/>
      <c r="C913" s="36" t="s">
        <v>2</v>
      </c>
      <c r="D913" s="45">
        <v>4002</v>
      </c>
      <c r="E913" s="51"/>
      <c r="F913" s="2"/>
      <c r="G913" s="71"/>
    </row>
    <row r="914" spans="1:7" s="6" customFormat="1" ht="15.75" customHeight="1" x14ac:dyDescent="0.25">
      <c r="A914" s="1"/>
      <c r="B914" s="3"/>
      <c r="C914" s="36" t="s">
        <v>868</v>
      </c>
      <c r="D914" s="45">
        <v>1205</v>
      </c>
      <c r="E914" s="51"/>
      <c r="F914" s="2"/>
      <c r="G914" s="71"/>
    </row>
    <row r="915" spans="1:7" s="6" customFormat="1" ht="15.75" customHeight="1" x14ac:dyDescent="0.25">
      <c r="A915" s="1"/>
      <c r="B915" s="3"/>
      <c r="C915" s="36" t="s">
        <v>16</v>
      </c>
      <c r="D915" s="45">
        <v>1071</v>
      </c>
      <c r="E915" s="51"/>
      <c r="F915" s="2"/>
      <c r="G915" s="71"/>
    </row>
    <row r="916" spans="1:7" s="6" customFormat="1" ht="15.75" customHeight="1" x14ac:dyDescent="0.25">
      <c r="A916" s="1"/>
      <c r="B916" s="3"/>
      <c r="C916" s="36" t="s">
        <v>3</v>
      </c>
      <c r="D916" s="45">
        <v>1083</v>
      </c>
      <c r="E916" s="51"/>
      <c r="F916" s="2"/>
      <c r="G916" s="71"/>
    </row>
    <row r="917" spans="1:7" s="6" customFormat="1" ht="15.75" customHeight="1" x14ac:dyDescent="0.25">
      <c r="A917" s="1"/>
      <c r="B917" s="3"/>
      <c r="C917" s="36" t="s">
        <v>5</v>
      </c>
      <c r="D917" s="45">
        <v>1035</v>
      </c>
      <c r="E917" s="51"/>
      <c r="F917" s="2"/>
      <c r="G917" s="71"/>
    </row>
    <row r="918" spans="1:7" s="6" customFormat="1" ht="15.75" customHeight="1" x14ac:dyDescent="0.25">
      <c r="A918" s="1"/>
      <c r="B918" s="3"/>
      <c r="C918" s="36" t="s">
        <v>60</v>
      </c>
      <c r="D918" s="45">
        <v>707</v>
      </c>
      <c r="E918" s="51"/>
      <c r="F918" s="2"/>
      <c r="G918" s="71"/>
    </row>
    <row r="919" spans="1:7" s="6" customFormat="1" ht="15.75" customHeight="1" x14ac:dyDescent="0.25">
      <c r="A919" s="1"/>
      <c r="B919" s="3"/>
      <c r="C919" s="36" t="s">
        <v>17</v>
      </c>
      <c r="D919" s="45">
        <v>464</v>
      </c>
      <c r="E919" s="51"/>
      <c r="F919" s="2"/>
      <c r="G919" s="71"/>
    </row>
    <row r="920" spans="1:7" s="6" customFormat="1" ht="15.75" customHeight="1" x14ac:dyDescent="0.25">
      <c r="A920" s="1"/>
      <c r="B920" s="3"/>
      <c r="C920" s="36" t="s">
        <v>869</v>
      </c>
      <c r="D920" s="45">
        <v>917</v>
      </c>
      <c r="E920" s="51"/>
      <c r="F920" s="2"/>
      <c r="G920" s="71"/>
    </row>
    <row r="921" spans="1:7" s="6" customFormat="1" ht="15.75" customHeight="1" x14ac:dyDescent="0.25">
      <c r="A921" s="1"/>
      <c r="B921" s="3"/>
      <c r="C921" s="36" t="s">
        <v>870</v>
      </c>
      <c r="D921" s="45">
        <v>359</v>
      </c>
      <c r="E921" s="51"/>
      <c r="F921" s="2"/>
      <c r="G921" s="71"/>
    </row>
    <row r="922" spans="1:7" s="6" customFormat="1" ht="15.75" customHeight="1" x14ac:dyDescent="0.25">
      <c r="A922" s="1"/>
      <c r="B922" s="3"/>
      <c r="C922" s="36" t="s">
        <v>871</v>
      </c>
      <c r="D922" s="45">
        <v>1261</v>
      </c>
      <c r="E922" s="51"/>
      <c r="F922" s="2"/>
      <c r="G922" s="71"/>
    </row>
    <row r="923" spans="1:7" s="6" customFormat="1" ht="15.75" customHeight="1" x14ac:dyDescent="0.25">
      <c r="A923" s="1"/>
      <c r="B923" s="3"/>
      <c r="C923" s="36" t="s">
        <v>13</v>
      </c>
      <c r="D923" s="45">
        <v>997</v>
      </c>
      <c r="E923" s="51"/>
      <c r="F923" s="2"/>
      <c r="G923" s="71"/>
    </row>
    <row r="924" spans="1:7" s="6" customFormat="1" ht="15.75" customHeight="1" x14ac:dyDescent="0.25">
      <c r="A924" s="1"/>
      <c r="B924" s="3"/>
      <c r="C924" s="36" t="s">
        <v>300</v>
      </c>
      <c r="D924" s="45">
        <v>1306</v>
      </c>
      <c r="E924" s="51"/>
      <c r="F924" s="2"/>
      <c r="G924" s="71"/>
    </row>
    <row r="925" spans="1:7" s="6" customFormat="1" ht="15.75" customHeight="1" x14ac:dyDescent="0.25">
      <c r="A925" s="1"/>
      <c r="B925" s="3"/>
      <c r="C925" s="36"/>
      <c r="D925" s="46"/>
      <c r="E925" s="51"/>
      <c r="F925" s="2"/>
      <c r="G925" s="71"/>
    </row>
    <row r="926" spans="1:7" s="6" customFormat="1" ht="15.75" customHeight="1" x14ac:dyDescent="0.25">
      <c r="A926" s="1"/>
      <c r="B926" s="3"/>
      <c r="C926" s="35" t="s">
        <v>872</v>
      </c>
      <c r="D926" s="57">
        <f>SUM(D927:D938)</f>
        <v>9909</v>
      </c>
      <c r="E926" s="51"/>
      <c r="F926" s="2"/>
      <c r="G926" s="71"/>
    </row>
    <row r="927" spans="1:7" s="6" customFormat="1" ht="15.75" customHeight="1" x14ac:dyDescent="0.25">
      <c r="A927" s="1"/>
      <c r="B927" s="3"/>
      <c r="C927" s="36" t="s">
        <v>873</v>
      </c>
      <c r="D927" s="45">
        <v>731</v>
      </c>
      <c r="E927" s="51"/>
      <c r="F927" s="2"/>
      <c r="G927" s="71"/>
    </row>
    <row r="928" spans="1:7" s="6" customFormat="1" ht="15.75" customHeight="1" x14ac:dyDescent="0.25">
      <c r="A928" s="1"/>
      <c r="B928" s="3"/>
      <c r="C928" s="36" t="s">
        <v>874</v>
      </c>
      <c r="D928" s="45">
        <v>511</v>
      </c>
      <c r="E928" s="51"/>
      <c r="F928" s="2"/>
      <c r="G928" s="71"/>
    </row>
    <row r="929" spans="1:7" s="6" customFormat="1" ht="15.75" customHeight="1" x14ac:dyDescent="0.25">
      <c r="A929" s="1"/>
      <c r="B929" s="3"/>
      <c r="C929" s="36" t="s">
        <v>875</v>
      </c>
      <c r="D929" s="45">
        <v>1047</v>
      </c>
      <c r="E929" s="51"/>
      <c r="F929" s="2"/>
      <c r="G929" s="71"/>
    </row>
    <row r="930" spans="1:7" s="6" customFormat="1" ht="15.75" customHeight="1" x14ac:dyDescent="0.25">
      <c r="A930" s="1"/>
      <c r="B930" s="3"/>
      <c r="C930" s="36" t="s">
        <v>876</v>
      </c>
      <c r="D930" s="45">
        <v>779</v>
      </c>
      <c r="E930" s="51"/>
      <c r="F930" s="2"/>
      <c r="G930" s="71"/>
    </row>
    <row r="931" spans="1:7" s="6" customFormat="1" ht="15.75" customHeight="1" x14ac:dyDescent="0.25">
      <c r="A931" s="1"/>
      <c r="B931" s="3"/>
      <c r="C931" s="36" t="s">
        <v>877</v>
      </c>
      <c r="D931" s="45">
        <v>792</v>
      </c>
      <c r="E931" s="51"/>
      <c r="F931" s="2"/>
      <c r="G931" s="71"/>
    </row>
    <row r="932" spans="1:7" s="6" customFormat="1" ht="15.75" customHeight="1" x14ac:dyDescent="0.25">
      <c r="A932" s="1"/>
      <c r="B932" s="3"/>
      <c r="C932" s="36" t="s">
        <v>878</v>
      </c>
      <c r="D932" s="45">
        <v>1204</v>
      </c>
      <c r="E932" s="51"/>
      <c r="F932" s="2"/>
      <c r="G932" s="71"/>
    </row>
    <row r="933" spans="1:7" s="6" customFormat="1" ht="15.75" customHeight="1" x14ac:dyDescent="0.25">
      <c r="A933" s="1"/>
      <c r="B933" s="3"/>
      <c r="C933" s="36" t="s">
        <v>879</v>
      </c>
      <c r="D933" s="45">
        <v>482</v>
      </c>
      <c r="E933" s="51"/>
      <c r="F933" s="2"/>
      <c r="G933" s="71"/>
    </row>
    <row r="934" spans="1:7" s="6" customFormat="1" ht="15.75" customHeight="1" x14ac:dyDescent="0.25">
      <c r="A934" s="1"/>
      <c r="B934" s="3"/>
      <c r="C934" s="36" t="s">
        <v>880</v>
      </c>
      <c r="D934" s="45">
        <v>626</v>
      </c>
      <c r="E934" s="51"/>
      <c r="F934" s="2"/>
      <c r="G934" s="71"/>
    </row>
    <row r="935" spans="1:7" s="6" customFormat="1" ht="15.75" customHeight="1" x14ac:dyDescent="0.25">
      <c r="A935" s="1"/>
      <c r="B935" s="3"/>
      <c r="C935" s="36" t="s">
        <v>881</v>
      </c>
      <c r="D935" s="45">
        <v>615</v>
      </c>
      <c r="E935" s="51"/>
      <c r="F935" s="2"/>
      <c r="G935" s="71"/>
    </row>
    <row r="936" spans="1:7" s="6" customFormat="1" ht="15.75" customHeight="1" x14ac:dyDescent="0.25">
      <c r="A936" s="1"/>
      <c r="B936" s="3"/>
      <c r="C936" s="36" t="s">
        <v>882</v>
      </c>
      <c r="D936" s="45">
        <v>507</v>
      </c>
      <c r="E936" s="51"/>
      <c r="F936" s="2"/>
      <c r="G936" s="71"/>
    </row>
    <row r="937" spans="1:7" s="6" customFormat="1" ht="15.75" customHeight="1" x14ac:dyDescent="0.25">
      <c r="A937" s="1"/>
      <c r="B937" s="3"/>
      <c r="C937" s="36" t="s">
        <v>2</v>
      </c>
      <c r="D937" s="45">
        <v>2289</v>
      </c>
      <c r="E937" s="51"/>
      <c r="F937" s="2"/>
      <c r="G937" s="71"/>
    </row>
    <row r="938" spans="1:7" s="6" customFormat="1" ht="15.75" customHeight="1" x14ac:dyDescent="0.25">
      <c r="A938" s="1"/>
      <c r="B938" s="3"/>
      <c r="C938" s="36" t="s">
        <v>883</v>
      </c>
      <c r="D938" s="45">
        <v>326</v>
      </c>
      <c r="E938" s="51"/>
      <c r="F938" s="2"/>
      <c r="G938" s="71"/>
    </row>
    <row r="939" spans="1:7" s="6" customFormat="1" ht="15.75" customHeight="1" x14ac:dyDescent="0.25">
      <c r="A939" s="1"/>
      <c r="B939" s="3"/>
      <c r="C939" s="36"/>
      <c r="D939" s="45"/>
      <c r="E939" s="51"/>
      <c r="F939" s="2"/>
      <c r="G939" s="71"/>
    </row>
    <row r="940" spans="1:7" s="6" customFormat="1" ht="15.75" customHeight="1" x14ac:dyDescent="0.25">
      <c r="A940" s="1"/>
      <c r="B940" s="3"/>
      <c r="C940" s="35" t="s">
        <v>214</v>
      </c>
      <c r="D940" s="57">
        <f>SUM(D941:D958)</f>
        <v>25356</v>
      </c>
      <c r="E940" s="51"/>
      <c r="F940" s="2"/>
      <c r="G940" s="71"/>
    </row>
    <row r="941" spans="1:7" s="6" customFormat="1" ht="15.75" customHeight="1" x14ac:dyDescent="0.25">
      <c r="A941" s="1"/>
      <c r="B941" s="3"/>
      <c r="C941" s="36" t="s">
        <v>884</v>
      </c>
      <c r="D941" s="45">
        <v>2537</v>
      </c>
      <c r="E941" s="51"/>
      <c r="F941" s="2"/>
      <c r="G941" s="71"/>
    </row>
    <row r="942" spans="1:7" s="6" customFormat="1" ht="15.75" customHeight="1" x14ac:dyDescent="0.25">
      <c r="A942" s="1"/>
      <c r="B942" s="3"/>
      <c r="C942" s="36" t="s">
        <v>101</v>
      </c>
      <c r="D942" s="45">
        <v>1185</v>
      </c>
      <c r="E942" s="51"/>
      <c r="F942" s="2"/>
      <c r="G942" s="71"/>
    </row>
    <row r="943" spans="1:7" s="6" customFormat="1" ht="15.75" customHeight="1" x14ac:dyDescent="0.25">
      <c r="A943" s="1"/>
      <c r="B943" s="3"/>
      <c r="C943" s="36" t="s">
        <v>126</v>
      </c>
      <c r="D943" s="45">
        <v>769</v>
      </c>
      <c r="E943" s="51"/>
      <c r="F943" s="2"/>
      <c r="G943" s="71"/>
    </row>
    <row r="944" spans="1:7" s="6" customFormat="1" ht="15.75" customHeight="1" x14ac:dyDescent="0.25">
      <c r="A944" s="1"/>
      <c r="B944" s="3"/>
      <c r="C944" s="36" t="s">
        <v>864</v>
      </c>
      <c r="D944" s="45">
        <v>1291</v>
      </c>
      <c r="E944" s="51"/>
      <c r="F944" s="2"/>
      <c r="G944" s="71"/>
    </row>
    <row r="945" spans="1:7" s="6" customFormat="1" ht="15.75" customHeight="1" x14ac:dyDescent="0.25">
      <c r="A945" s="1"/>
      <c r="B945" s="3"/>
      <c r="C945" s="36" t="s">
        <v>885</v>
      </c>
      <c r="D945" s="45">
        <v>1871</v>
      </c>
      <c r="E945" s="51"/>
      <c r="F945" s="2"/>
      <c r="G945" s="71"/>
    </row>
    <row r="946" spans="1:7" s="6" customFormat="1" ht="15.75" customHeight="1" x14ac:dyDescent="0.25">
      <c r="A946" s="1"/>
      <c r="B946" s="3"/>
      <c r="C946" s="36" t="s">
        <v>886</v>
      </c>
      <c r="D946" s="45">
        <v>1686</v>
      </c>
      <c r="E946" s="51"/>
      <c r="F946" s="2"/>
      <c r="G946" s="71"/>
    </row>
    <row r="947" spans="1:7" s="6" customFormat="1" ht="15.75" customHeight="1" x14ac:dyDescent="0.25">
      <c r="A947" s="1"/>
      <c r="B947" s="3"/>
      <c r="C947" s="36" t="s">
        <v>887</v>
      </c>
      <c r="D947" s="45">
        <v>900</v>
      </c>
      <c r="E947" s="51"/>
      <c r="F947" s="2"/>
      <c r="G947" s="71"/>
    </row>
    <row r="948" spans="1:7" s="6" customFormat="1" ht="15.75" customHeight="1" x14ac:dyDescent="0.25">
      <c r="A948" s="1"/>
      <c r="B948" s="3"/>
      <c r="C948" s="36" t="s">
        <v>888</v>
      </c>
      <c r="D948" s="45">
        <v>2190</v>
      </c>
      <c r="E948" s="51"/>
      <c r="F948" s="2"/>
      <c r="G948" s="71"/>
    </row>
    <row r="949" spans="1:7" s="6" customFormat="1" ht="15.75" customHeight="1" x14ac:dyDescent="0.25">
      <c r="A949" s="1"/>
      <c r="B949" s="3"/>
      <c r="C949" s="36" t="s">
        <v>170</v>
      </c>
      <c r="D949" s="45">
        <v>702</v>
      </c>
      <c r="E949" s="51"/>
      <c r="F949" s="2"/>
      <c r="G949" s="71"/>
    </row>
    <row r="950" spans="1:7" s="6" customFormat="1" ht="15.75" customHeight="1" x14ac:dyDescent="0.25">
      <c r="A950" s="1"/>
      <c r="B950" s="3"/>
      <c r="C950" s="36" t="s">
        <v>889</v>
      </c>
      <c r="D950" s="45">
        <v>1311</v>
      </c>
      <c r="E950" s="51"/>
      <c r="F950" s="2"/>
      <c r="G950" s="71"/>
    </row>
    <row r="951" spans="1:7" s="6" customFormat="1" ht="15.75" customHeight="1" x14ac:dyDescent="0.25">
      <c r="A951" s="1"/>
      <c r="B951" s="3"/>
      <c r="C951" s="36" t="s">
        <v>514</v>
      </c>
      <c r="D951" s="45">
        <v>565</v>
      </c>
      <c r="E951" s="51"/>
      <c r="F951" s="2"/>
      <c r="G951" s="71"/>
    </row>
    <row r="952" spans="1:7" s="6" customFormat="1" ht="15.75" customHeight="1" x14ac:dyDescent="0.25">
      <c r="A952" s="1"/>
      <c r="B952" s="3"/>
      <c r="C952" s="36" t="s">
        <v>267</v>
      </c>
      <c r="D952" s="45">
        <v>2474</v>
      </c>
      <c r="E952" s="51"/>
      <c r="F952" s="2"/>
      <c r="G952" s="71"/>
    </row>
    <row r="953" spans="1:7" s="6" customFormat="1" ht="15.75" customHeight="1" x14ac:dyDescent="0.25">
      <c r="A953" s="1"/>
      <c r="B953" s="3"/>
      <c r="C953" s="36" t="s">
        <v>2</v>
      </c>
      <c r="D953" s="45">
        <v>2351</v>
      </c>
      <c r="E953" s="51"/>
      <c r="F953" s="2"/>
      <c r="G953" s="71"/>
    </row>
    <row r="954" spans="1:7" s="6" customFormat="1" ht="15.75" customHeight="1" x14ac:dyDescent="0.25">
      <c r="A954" s="1"/>
      <c r="B954" s="3"/>
      <c r="C954" s="36" t="s">
        <v>5</v>
      </c>
      <c r="D954" s="45">
        <v>1793</v>
      </c>
      <c r="E954" s="51"/>
      <c r="F954" s="2"/>
      <c r="G954" s="71"/>
    </row>
    <row r="955" spans="1:7" s="6" customFormat="1" ht="15.75" customHeight="1" x14ac:dyDescent="0.25">
      <c r="A955" s="1"/>
      <c r="B955" s="3"/>
      <c r="C955" s="36" t="s">
        <v>6</v>
      </c>
      <c r="D955" s="45">
        <v>861</v>
      </c>
      <c r="E955" s="51"/>
      <c r="F955" s="2"/>
      <c r="G955" s="71"/>
    </row>
    <row r="956" spans="1:7" s="6" customFormat="1" ht="15.75" customHeight="1" x14ac:dyDescent="0.25">
      <c r="A956" s="1"/>
      <c r="B956" s="3"/>
      <c r="C956" s="36" t="s">
        <v>10</v>
      </c>
      <c r="D956" s="45">
        <v>1056</v>
      </c>
      <c r="E956" s="51"/>
      <c r="F956" s="2"/>
      <c r="G956" s="71"/>
    </row>
    <row r="957" spans="1:7" s="6" customFormat="1" ht="15.75" customHeight="1" x14ac:dyDescent="0.25">
      <c r="A957" s="1"/>
      <c r="B957" s="3"/>
      <c r="C957" s="36" t="s">
        <v>15</v>
      </c>
      <c r="D957" s="45">
        <v>636</v>
      </c>
      <c r="E957" s="51"/>
      <c r="F957" s="2"/>
      <c r="G957" s="71"/>
    </row>
    <row r="958" spans="1:7" s="6" customFormat="1" ht="15.75" customHeight="1" x14ac:dyDescent="0.25">
      <c r="A958" s="1"/>
      <c r="B958" s="3"/>
      <c r="C958" s="36" t="s">
        <v>890</v>
      </c>
      <c r="D958" s="45">
        <v>1178</v>
      </c>
      <c r="E958" s="51"/>
      <c r="F958" s="2"/>
      <c r="G958" s="71"/>
    </row>
    <row r="959" spans="1:7" s="6" customFormat="1" ht="15.75" customHeight="1" x14ac:dyDescent="0.25">
      <c r="A959" s="1"/>
      <c r="B959" s="3"/>
      <c r="C959" s="36"/>
      <c r="D959" s="46"/>
      <c r="E959" s="51"/>
      <c r="F959" s="2"/>
      <c r="G959" s="71"/>
    </row>
    <row r="960" spans="1:7" s="6" customFormat="1" ht="15.75" customHeight="1" x14ac:dyDescent="0.25">
      <c r="A960" s="1"/>
      <c r="B960" s="3"/>
      <c r="C960" s="35" t="s">
        <v>891</v>
      </c>
      <c r="D960" s="57">
        <f>SUM(D961:D973)</f>
        <v>11376</v>
      </c>
      <c r="E960" s="51"/>
      <c r="F960" s="2"/>
      <c r="G960" s="71"/>
    </row>
    <row r="961" spans="1:7" s="6" customFormat="1" ht="15.75" customHeight="1" x14ac:dyDescent="0.25">
      <c r="A961" s="1"/>
      <c r="B961" s="3"/>
      <c r="C961" s="36" t="s">
        <v>892</v>
      </c>
      <c r="D961" s="45">
        <v>1000</v>
      </c>
      <c r="E961" s="51"/>
      <c r="F961" s="2"/>
      <c r="G961" s="71"/>
    </row>
    <row r="962" spans="1:7" s="6" customFormat="1" ht="15.75" customHeight="1" x14ac:dyDescent="0.25">
      <c r="A962" s="1"/>
      <c r="B962" s="3"/>
      <c r="C962" s="36" t="s">
        <v>893</v>
      </c>
      <c r="D962" s="45">
        <v>821</v>
      </c>
      <c r="E962" s="51"/>
      <c r="F962" s="2"/>
      <c r="G962" s="71"/>
    </row>
    <row r="963" spans="1:7" s="6" customFormat="1" ht="15.75" customHeight="1" x14ac:dyDescent="0.25">
      <c r="A963" s="1"/>
      <c r="B963" s="3"/>
      <c r="C963" s="36" t="s">
        <v>894</v>
      </c>
      <c r="D963" s="45">
        <v>650</v>
      </c>
      <c r="E963" s="51"/>
      <c r="F963" s="2"/>
      <c r="G963" s="71"/>
    </row>
    <row r="964" spans="1:7" s="6" customFormat="1" ht="15.75" customHeight="1" x14ac:dyDescent="0.25">
      <c r="A964" s="1"/>
      <c r="B964" s="3"/>
      <c r="C964" s="36" t="s">
        <v>895</v>
      </c>
      <c r="D964" s="45">
        <v>810</v>
      </c>
      <c r="E964" s="51"/>
      <c r="F964" s="2"/>
      <c r="G964" s="71"/>
    </row>
    <row r="965" spans="1:7" s="6" customFormat="1" ht="15.75" customHeight="1" x14ac:dyDescent="0.25">
      <c r="A965" s="1"/>
      <c r="B965" s="3"/>
      <c r="C965" s="36" t="s">
        <v>896</v>
      </c>
      <c r="D965" s="45">
        <v>646</v>
      </c>
      <c r="E965" s="51"/>
      <c r="F965" s="2"/>
      <c r="G965" s="71"/>
    </row>
    <row r="966" spans="1:7" s="6" customFormat="1" ht="15.75" customHeight="1" x14ac:dyDescent="0.25">
      <c r="A966" s="1"/>
      <c r="B966" s="3"/>
      <c r="C966" s="36" t="s">
        <v>897</v>
      </c>
      <c r="D966" s="45">
        <v>1081</v>
      </c>
      <c r="E966" s="51"/>
      <c r="F966" s="2"/>
      <c r="G966" s="71"/>
    </row>
    <row r="967" spans="1:7" s="6" customFormat="1" ht="15.75" customHeight="1" x14ac:dyDescent="0.25">
      <c r="A967" s="1"/>
      <c r="B967" s="3"/>
      <c r="C967" s="36" t="s">
        <v>898</v>
      </c>
      <c r="D967" s="45">
        <v>845</v>
      </c>
      <c r="E967" s="51"/>
      <c r="F967" s="2"/>
      <c r="G967" s="71"/>
    </row>
    <row r="968" spans="1:7" s="6" customFormat="1" ht="15.75" customHeight="1" x14ac:dyDescent="0.25">
      <c r="A968" s="1"/>
      <c r="B968" s="3"/>
      <c r="C968" s="36" t="s">
        <v>899</v>
      </c>
      <c r="D968" s="45">
        <v>683</v>
      </c>
      <c r="E968" s="51"/>
      <c r="F968" s="2"/>
      <c r="G968" s="71"/>
    </row>
    <row r="969" spans="1:7" s="6" customFormat="1" ht="15.75" customHeight="1" x14ac:dyDescent="0.25">
      <c r="A969" s="1"/>
      <c r="B969" s="3"/>
      <c r="C969" s="36" t="s">
        <v>900</v>
      </c>
      <c r="D969" s="45">
        <v>785</v>
      </c>
      <c r="E969" s="51"/>
      <c r="F969" s="2"/>
      <c r="G969" s="71"/>
    </row>
    <row r="970" spans="1:7" s="6" customFormat="1" ht="15.75" customHeight="1" x14ac:dyDescent="0.25">
      <c r="A970" s="1"/>
      <c r="B970" s="3"/>
      <c r="C970" s="36" t="s">
        <v>901</v>
      </c>
      <c r="D970" s="45">
        <v>997</v>
      </c>
      <c r="E970" s="51"/>
      <c r="F970" s="2"/>
      <c r="G970" s="71"/>
    </row>
    <row r="971" spans="1:7" s="6" customFormat="1" ht="15.75" customHeight="1" x14ac:dyDescent="0.25">
      <c r="A971" s="1"/>
      <c r="B971" s="3"/>
      <c r="C971" s="36" t="s">
        <v>902</v>
      </c>
      <c r="D971" s="45">
        <v>812</v>
      </c>
      <c r="E971" s="51"/>
      <c r="F971" s="2"/>
      <c r="G971" s="71"/>
    </row>
    <row r="972" spans="1:7" s="6" customFormat="1" ht="15.75" customHeight="1" x14ac:dyDescent="0.25">
      <c r="A972" s="1"/>
      <c r="B972" s="3"/>
      <c r="C972" s="36" t="s">
        <v>12</v>
      </c>
      <c r="D972" s="45">
        <v>1241</v>
      </c>
      <c r="E972" s="51"/>
      <c r="F972" s="2"/>
      <c r="G972" s="71"/>
    </row>
    <row r="973" spans="1:7" s="6" customFormat="1" ht="15.75" customHeight="1" x14ac:dyDescent="0.25">
      <c r="A973" s="1"/>
      <c r="B973" s="3"/>
      <c r="C973" s="36" t="s">
        <v>2</v>
      </c>
      <c r="D973" s="45">
        <v>1005</v>
      </c>
      <c r="E973" s="51"/>
      <c r="F973" s="2"/>
      <c r="G973" s="71"/>
    </row>
    <row r="974" spans="1:7" s="6" customFormat="1" ht="15.75" customHeight="1" x14ac:dyDescent="0.25">
      <c r="A974" s="1"/>
      <c r="B974" s="3"/>
      <c r="C974" s="36"/>
      <c r="D974" s="46"/>
      <c r="E974" s="51"/>
      <c r="F974" s="2"/>
      <c r="G974" s="71"/>
    </row>
    <row r="975" spans="1:7" s="6" customFormat="1" ht="15.75" customHeight="1" x14ac:dyDescent="0.25">
      <c r="A975" s="1"/>
      <c r="B975" s="3"/>
      <c r="C975" s="35" t="s">
        <v>1968</v>
      </c>
      <c r="D975" s="57">
        <f>SUM(D976:D997)</f>
        <v>26095</v>
      </c>
      <c r="E975" s="51"/>
      <c r="F975" s="2"/>
      <c r="G975" s="71"/>
    </row>
    <row r="976" spans="1:7" s="6" customFormat="1" ht="15.75" customHeight="1" x14ac:dyDescent="0.25">
      <c r="A976" s="1"/>
      <c r="B976" s="3"/>
      <c r="C976" s="36" t="s">
        <v>903</v>
      </c>
      <c r="D976" s="45">
        <v>2065</v>
      </c>
      <c r="E976" s="51"/>
      <c r="F976" s="2"/>
      <c r="G976" s="71"/>
    </row>
    <row r="977" spans="1:7" s="6" customFormat="1" ht="15.75" customHeight="1" x14ac:dyDescent="0.25">
      <c r="A977" s="1"/>
      <c r="B977" s="3"/>
      <c r="C977" s="36" t="s">
        <v>571</v>
      </c>
      <c r="D977" s="45">
        <v>781</v>
      </c>
      <c r="E977" s="51"/>
      <c r="F977" s="2"/>
      <c r="G977" s="71"/>
    </row>
    <row r="978" spans="1:7" s="6" customFormat="1" ht="15.75" customHeight="1" x14ac:dyDescent="0.25">
      <c r="A978" s="1"/>
      <c r="B978" s="3"/>
      <c r="C978" s="36" t="s">
        <v>904</v>
      </c>
      <c r="D978" s="45">
        <v>2843</v>
      </c>
      <c r="E978" s="51"/>
      <c r="F978" s="2"/>
      <c r="G978" s="71"/>
    </row>
    <row r="979" spans="1:7" s="6" customFormat="1" ht="15.75" customHeight="1" x14ac:dyDescent="0.25">
      <c r="A979" s="1"/>
      <c r="B979" s="3"/>
      <c r="C979" s="36" t="s">
        <v>905</v>
      </c>
      <c r="D979" s="45">
        <v>1468</v>
      </c>
      <c r="E979" s="51"/>
      <c r="F979" s="2"/>
      <c r="G979" s="71"/>
    </row>
    <row r="980" spans="1:7" s="6" customFormat="1" ht="15.75" customHeight="1" x14ac:dyDescent="0.25">
      <c r="A980" s="1"/>
      <c r="B980" s="3"/>
      <c r="C980" s="36" t="s">
        <v>906</v>
      </c>
      <c r="D980" s="45">
        <v>346</v>
      </c>
      <c r="E980" s="51"/>
      <c r="F980" s="2"/>
      <c r="G980" s="71"/>
    </row>
    <row r="981" spans="1:7" s="6" customFormat="1" ht="15.75" customHeight="1" x14ac:dyDescent="0.25">
      <c r="A981" s="1"/>
      <c r="B981" s="3"/>
      <c r="C981" s="36" t="s">
        <v>907</v>
      </c>
      <c r="D981" s="45">
        <v>344</v>
      </c>
      <c r="E981" s="51"/>
      <c r="F981" s="2"/>
      <c r="G981" s="71"/>
    </row>
    <row r="982" spans="1:7" s="6" customFormat="1" ht="15.75" customHeight="1" x14ac:dyDescent="0.25">
      <c r="A982" s="1"/>
      <c r="B982" s="3"/>
      <c r="C982" s="36" t="s">
        <v>294</v>
      </c>
      <c r="D982" s="45">
        <v>932</v>
      </c>
      <c r="E982" s="51"/>
      <c r="F982" s="2"/>
      <c r="G982" s="71"/>
    </row>
    <row r="983" spans="1:7" s="6" customFormat="1" ht="15.75" customHeight="1" x14ac:dyDescent="0.25">
      <c r="A983" s="1"/>
      <c r="B983" s="3"/>
      <c r="C983" s="36" t="s">
        <v>908</v>
      </c>
      <c r="D983" s="45">
        <v>622</v>
      </c>
      <c r="E983" s="51"/>
      <c r="F983" s="2"/>
      <c r="G983" s="71"/>
    </row>
    <row r="984" spans="1:7" s="6" customFormat="1" ht="15.75" customHeight="1" x14ac:dyDescent="0.25">
      <c r="A984" s="1"/>
      <c r="B984" s="3"/>
      <c r="C984" s="36" t="s">
        <v>909</v>
      </c>
      <c r="D984" s="45">
        <v>512</v>
      </c>
      <c r="E984" s="51"/>
      <c r="F984" s="2"/>
      <c r="G984" s="71"/>
    </row>
    <row r="985" spans="1:7" s="6" customFormat="1" ht="15.75" customHeight="1" x14ac:dyDescent="0.25">
      <c r="A985" s="1"/>
      <c r="B985" s="3"/>
      <c r="C985" s="36" t="s">
        <v>108</v>
      </c>
      <c r="D985" s="45">
        <v>720</v>
      </c>
      <c r="E985" s="51"/>
      <c r="F985" s="2"/>
      <c r="G985" s="71"/>
    </row>
    <row r="986" spans="1:7" s="6" customFormat="1" ht="15.75" customHeight="1" x14ac:dyDescent="0.25">
      <c r="A986" s="1"/>
      <c r="B986" s="3"/>
      <c r="C986" s="36" t="s">
        <v>910</v>
      </c>
      <c r="D986" s="45">
        <v>636</v>
      </c>
      <c r="E986" s="51"/>
      <c r="F986" s="2"/>
      <c r="G986" s="71"/>
    </row>
    <row r="987" spans="1:7" s="6" customFormat="1" ht="15.75" customHeight="1" x14ac:dyDescent="0.25">
      <c r="A987" s="1"/>
      <c r="B987" s="3"/>
      <c r="C987" s="36" t="s">
        <v>12</v>
      </c>
      <c r="D987" s="45">
        <v>618</v>
      </c>
      <c r="E987" s="51"/>
      <c r="F987" s="2"/>
      <c r="G987" s="71"/>
    </row>
    <row r="988" spans="1:7" s="6" customFormat="1" ht="15.75" customHeight="1" x14ac:dyDescent="0.25">
      <c r="A988" s="1"/>
      <c r="B988" s="3"/>
      <c r="C988" s="36" t="s">
        <v>444</v>
      </c>
      <c r="D988" s="45">
        <v>1382</v>
      </c>
      <c r="E988" s="51"/>
      <c r="F988" s="2"/>
      <c r="G988" s="71"/>
    </row>
    <row r="989" spans="1:7" s="6" customFormat="1" ht="15.75" customHeight="1" x14ac:dyDescent="0.25">
      <c r="A989" s="1"/>
      <c r="B989" s="3"/>
      <c r="C989" s="36" t="s">
        <v>911</v>
      </c>
      <c r="D989" s="45">
        <v>1301</v>
      </c>
      <c r="E989" s="51"/>
      <c r="F989" s="2"/>
      <c r="G989" s="71"/>
    </row>
    <row r="990" spans="1:7" s="6" customFormat="1" ht="15.75" customHeight="1" x14ac:dyDescent="0.25">
      <c r="A990" s="1"/>
      <c r="B990" s="3"/>
      <c r="C990" s="36" t="s">
        <v>2</v>
      </c>
      <c r="D990" s="45">
        <v>2743</v>
      </c>
      <c r="E990" s="51"/>
      <c r="F990" s="2"/>
      <c r="G990" s="71"/>
    </row>
    <row r="991" spans="1:7" s="6" customFormat="1" ht="15.75" customHeight="1" x14ac:dyDescent="0.25">
      <c r="A991" s="1"/>
      <c r="B991" s="3"/>
      <c r="C991" s="36" t="s">
        <v>507</v>
      </c>
      <c r="D991" s="45">
        <v>1956</v>
      </c>
      <c r="E991" s="51"/>
      <c r="F991" s="2"/>
      <c r="G991" s="71"/>
    </row>
    <row r="992" spans="1:7" s="6" customFormat="1" ht="15.75" customHeight="1" x14ac:dyDescent="0.25">
      <c r="A992" s="1"/>
      <c r="B992" s="3"/>
      <c r="C992" s="36" t="s">
        <v>16</v>
      </c>
      <c r="D992" s="45">
        <v>1164</v>
      </c>
      <c r="E992" s="51"/>
      <c r="F992" s="2"/>
      <c r="G992" s="71"/>
    </row>
    <row r="993" spans="1:7" s="6" customFormat="1" ht="15.75" customHeight="1" x14ac:dyDescent="0.25">
      <c r="A993" s="1"/>
      <c r="B993" s="3"/>
      <c r="C993" s="36" t="s">
        <v>5</v>
      </c>
      <c r="D993" s="45">
        <v>1327</v>
      </c>
      <c r="E993" s="51"/>
      <c r="F993" s="2"/>
      <c r="G993" s="71"/>
    </row>
    <row r="994" spans="1:7" s="6" customFormat="1" ht="15.75" customHeight="1" x14ac:dyDescent="0.25">
      <c r="A994" s="1"/>
      <c r="B994" s="3"/>
      <c r="C994" s="36" t="s">
        <v>6</v>
      </c>
      <c r="D994" s="45">
        <v>946</v>
      </c>
      <c r="E994" s="51"/>
      <c r="F994" s="2"/>
      <c r="G994" s="71"/>
    </row>
    <row r="995" spans="1:7" s="6" customFormat="1" ht="15.75" customHeight="1" x14ac:dyDescent="0.25">
      <c r="A995" s="1"/>
      <c r="B995" s="3"/>
      <c r="C995" s="36" t="s">
        <v>9</v>
      </c>
      <c r="D995" s="45">
        <v>1069</v>
      </c>
      <c r="E995" s="51"/>
      <c r="F995" s="2"/>
      <c r="G995" s="71"/>
    </row>
    <row r="996" spans="1:7" s="6" customFormat="1" ht="15.75" customHeight="1" x14ac:dyDescent="0.25">
      <c r="A996" s="1"/>
      <c r="B996" s="3"/>
      <c r="C996" s="36" t="s">
        <v>13</v>
      </c>
      <c r="D996" s="45">
        <v>1045</v>
      </c>
      <c r="E996" s="51"/>
      <c r="F996" s="2"/>
      <c r="G996" s="71"/>
    </row>
    <row r="997" spans="1:7" s="6" customFormat="1" ht="15.75" customHeight="1" x14ac:dyDescent="0.25">
      <c r="A997" s="1"/>
      <c r="B997" s="3"/>
      <c r="C997" s="36" t="s">
        <v>912</v>
      </c>
      <c r="D997" s="45">
        <v>1275</v>
      </c>
      <c r="E997" s="51"/>
      <c r="F997" s="2"/>
      <c r="G997" s="71"/>
    </row>
    <row r="998" spans="1:7" s="6" customFormat="1" ht="15.75" customHeight="1" x14ac:dyDescent="0.25">
      <c r="A998" s="1"/>
      <c r="B998" s="3"/>
      <c r="C998" s="36"/>
      <c r="D998" s="46"/>
      <c r="E998" s="51"/>
      <c r="F998" s="2"/>
      <c r="G998" s="71"/>
    </row>
    <row r="999" spans="1:7" s="6" customFormat="1" ht="15.75" customHeight="1" x14ac:dyDescent="0.25">
      <c r="A999" s="1"/>
      <c r="B999" s="3"/>
      <c r="C999" s="35" t="s">
        <v>913</v>
      </c>
      <c r="D999" s="57">
        <f>SUM(D1000:D1009)</f>
        <v>6906</v>
      </c>
      <c r="E999" s="51"/>
      <c r="F999" s="2"/>
      <c r="G999" s="71"/>
    </row>
    <row r="1000" spans="1:7" s="6" customFormat="1" ht="15.75" customHeight="1" x14ac:dyDescent="0.25">
      <c r="A1000" s="1"/>
      <c r="B1000" s="3"/>
      <c r="C1000" s="36" t="s">
        <v>914</v>
      </c>
      <c r="D1000" s="45">
        <v>440</v>
      </c>
      <c r="E1000" s="51"/>
      <c r="F1000" s="2"/>
      <c r="G1000" s="71"/>
    </row>
    <row r="1001" spans="1:7" s="6" customFormat="1" ht="15.75" customHeight="1" x14ac:dyDescent="0.25">
      <c r="A1001" s="1"/>
      <c r="B1001" s="3"/>
      <c r="C1001" s="36" t="s">
        <v>915</v>
      </c>
      <c r="D1001" s="45">
        <v>642</v>
      </c>
      <c r="E1001" s="51"/>
      <c r="F1001" s="2"/>
      <c r="G1001" s="71"/>
    </row>
    <row r="1002" spans="1:7" s="6" customFormat="1" ht="15.75" customHeight="1" x14ac:dyDescent="0.25">
      <c r="A1002" s="1"/>
      <c r="B1002" s="3"/>
      <c r="C1002" s="36" t="s">
        <v>97</v>
      </c>
      <c r="D1002" s="45">
        <v>628</v>
      </c>
      <c r="E1002" s="51"/>
      <c r="F1002" s="2"/>
      <c r="G1002" s="71"/>
    </row>
    <row r="1003" spans="1:7" s="6" customFormat="1" ht="15.75" customHeight="1" x14ac:dyDescent="0.25">
      <c r="A1003" s="1"/>
      <c r="B1003" s="3"/>
      <c r="C1003" s="36" t="s">
        <v>916</v>
      </c>
      <c r="D1003" s="45">
        <v>442</v>
      </c>
      <c r="E1003" s="51"/>
      <c r="F1003" s="2"/>
      <c r="G1003" s="71"/>
    </row>
    <row r="1004" spans="1:7" s="6" customFormat="1" ht="15.75" customHeight="1" x14ac:dyDescent="0.25">
      <c r="A1004" s="1"/>
      <c r="B1004" s="3"/>
      <c r="C1004" s="36" t="s">
        <v>917</v>
      </c>
      <c r="D1004" s="45">
        <v>782</v>
      </c>
      <c r="E1004" s="51"/>
      <c r="F1004" s="2"/>
      <c r="G1004" s="71"/>
    </row>
    <row r="1005" spans="1:7" s="6" customFormat="1" ht="15.75" customHeight="1" x14ac:dyDescent="0.25">
      <c r="A1005" s="1"/>
      <c r="B1005" s="3"/>
      <c r="C1005" s="36" t="s">
        <v>918</v>
      </c>
      <c r="D1005" s="45">
        <v>1268</v>
      </c>
      <c r="E1005" s="51"/>
      <c r="F1005" s="2"/>
      <c r="G1005" s="71"/>
    </row>
    <row r="1006" spans="1:7" s="6" customFormat="1" ht="15.75" customHeight="1" x14ac:dyDescent="0.25">
      <c r="A1006" s="1"/>
      <c r="B1006" s="3"/>
      <c r="C1006" s="36" t="s">
        <v>919</v>
      </c>
      <c r="D1006" s="45">
        <v>763</v>
      </c>
      <c r="E1006" s="51"/>
      <c r="F1006" s="2"/>
      <c r="G1006" s="71"/>
    </row>
    <row r="1007" spans="1:7" s="6" customFormat="1" ht="15.75" customHeight="1" x14ac:dyDescent="0.25">
      <c r="A1007" s="1"/>
      <c r="B1007" s="3"/>
      <c r="C1007" s="36" t="s">
        <v>920</v>
      </c>
      <c r="D1007" s="45">
        <v>551</v>
      </c>
      <c r="E1007" s="51"/>
      <c r="F1007" s="2"/>
      <c r="G1007" s="71"/>
    </row>
    <row r="1008" spans="1:7" s="6" customFormat="1" ht="15.75" customHeight="1" x14ac:dyDescent="0.25">
      <c r="A1008" s="1"/>
      <c r="B1008" s="3"/>
      <c r="C1008" s="36" t="s">
        <v>807</v>
      </c>
      <c r="D1008" s="45">
        <v>1068</v>
      </c>
      <c r="E1008" s="51"/>
      <c r="F1008" s="2"/>
      <c r="G1008" s="71"/>
    </row>
    <row r="1009" spans="1:7" s="6" customFormat="1" ht="15.75" customHeight="1" x14ac:dyDescent="0.25">
      <c r="A1009" s="1"/>
      <c r="B1009" s="3"/>
      <c r="C1009" s="36" t="s">
        <v>808</v>
      </c>
      <c r="D1009" s="45">
        <v>322</v>
      </c>
      <c r="E1009" s="51"/>
      <c r="F1009" s="2"/>
      <c r="G1009" s="71"/>
    </row>
    <row r="1010" spans="1:7" s="6" customFormat="1" ht="15.75" customHeight="1" x14ac:dyDescent="0.25">
      <c r="A1010" s="1"/>
      <c r="B1010" s="3"/>
      <c r="C1010" s="36"/>
      <c r="D1010" s="46"/>
      <c r="E1010" s="51"/>
      <c r="F1010" s="2"/>
      <c r="G1010" s="71"/>
    </row>
    <row r="1011" spans="1:7" s="6" customFormat="1" ht="15.75" customHeight="1" x14ac:dyDescent="0.25">
      <c r="A1011" s="1"/>
      <c r="B1011" s="3"/>
      <c r="C1011" s="35" t="s">
        <v>2399</v>
      </c>
      <c r="D1011" s="57">
        <f>SUM(D1012:D1026)</f>
        <v>104976</v>
      </c>
      <c r="E1011" s="51"/>
      <c r="F1011" s="2"/>
      <c r="G1011" s="71"/>
    </row>
    <row r="1012" spans="1:7" s="6" customFormat="1" ht="15.75" customHeight="1" x14ac:dyDescent="0.25">
      <c r="A1012" s="1"/>
      <c r="B1012" s="3"/>
      <c r="C1012" s="36" t="s">
        <v>921</v>
      </c>
      <c r="D1012" s="45">
        <v>6953</v>
      </c>
      <c r="E1012" s="51"/>
      <c r="F1012" s="2"/>
      <c r="G1012" s="71"/>
    </row>
    <row r="1013" spans="1:7" s="6" customFormat="1" ht="15.75" customHeight="1" x14ac:dyDescent="0.25">
      <c r="A1013" s="1"/>
      <c r="B1013" s="3"/>
      <c r="C1013" s="36" t="s">
        <v>922</v>
      </c>
      <c r="D1013" s="45">
        <v>9996</v>
      </c>
      <c r="E1013" s="51"/>
      <c r="F1013" s="2"/>
      <c r="G1013" s="71"/>
    </row>
    <row r="1014" spans="1:7" s="6" customFormat="1" ht="15.75" customHeight="1" x14ac:dyDescent="0.25">
      <c r="A1014" s="1"/>
      <c r="B1014" s="3"/>
      <c r="C1014" s="36" t="s">
        <v>820</v>
      </c>
      <c r="D1014" s="45">
        <v>2173</v>
      </c>
      <c r="E1014" s="51"/>
      <c r="F1014" s="2"/>
      <c r="G1014" s="71"/>
    </row>
    <row r="1015" spans="1:7" s="6" customFormat="1" ht="15.75" customHeight="1" x14ac:dyDescent="0.25">
      <c r="A1015" s="1"/>
      <c r="B1015" s="3"/>
      <c r="C1015" s="36" t="s">
        <v>107</v>
      </c>
      <c r="D1015" s="45">
        <v>15869</v>
      </c>
      <c r="E1015" s="51"/>
      <c r="F1015" s="2"/>
      <c r="G1015" s="71"/>
    </row>
    <row r="1016" spans="1:7" s="6" customFormat="1" ht="15.75" customHeight="1" x14ac:dyDescent="0.25">
      <c r="A1016" s="1"/>
      <c r="B1016" s="3"/>
      <c r="C1016" s="36" t="s">
        <v>38</v>
      </c>
      <c r="D1016" s="45">
        <v>10695</v>
      </c>
      <c r="E1016" s="51"/>
      <c r="F1016" s="2"/>
      <c r="G1016" s="71"/>
    </row>
    <row r="1017" spans="1:7" s="6" customFormat="1" ht="15.75" customHeight="1" x14ac:dyDescent="0.25">
      <c r="A1017" s="1"/>
      <c r="B1017" s="3"/>
      <c r="C1017" s="36" t="s">
        <v>923</v>
      </c>
      <c r="D1017" s="45">
        <v>9072</v>
      </c>
      <c r="E1017" s="51"/>
      <c r="F1017" s="2"/>
      <c r="G1017" s="71"/>
    </row>
    <row r="1018" spans="1:7" s="6" customFormat="1" ht="15.75" customHeight="1" x14ac:dyDescent="0.25">
      <c r="A1018" s="1"/>
      <c r="B1018" s="3"/>
      <c r="C1018" s="36" t="s">
        <v>924</v>
      </c>
      <c r="D1018" s="45">
        <v>7552</v>
      </c>
      <c r="E1018" s="51"/>
      <c r="F1018" s="2"/>
      <c r="G1018" s="71"/>
    </row>
    <row r="1019" spans="1:7" s="6" customFormat="1" ht="15.75" customHeight="1" x14ac:dyDescent="0.25">
      <c r="A1019" s="1"/>
      <c r="B1019" s="3"/>
      <c r="C1019" s="36" t="s">
        <v>925</v>
      </c>
      <c r="D1019" s="45">
        <v>6523</v>
      </c>
      <c r="E1019" s="51"/>
      <c r="F1019" s="2"/>
      <c r="G1019" s="71"/>
    </row>
    <row r="1020" spans="1:7" s="6" customFormat="1" ht="15.75" customHeight="1" x14ac:dyDescent="0.25">
      <c r="A1020" s="1"/>
      <c r="B1020" s="3"/>
      <c r="C1020" s="36" t="s">
        <v>807</v>
      </c>
      <c r="D1020" s="45">
        <v>2926</v>
      </c>
      <c r="E1020" s="51"/>
      <c r="F1020" s="2"/>
      <c r="G1020" s="71"/>
    </row>
    <row r="1021" spans="1:7" s="6" customFormat="1" ht="15.75" customHeight="1" x14ac:dyDescent="0.25">
      <c r="A1021" s="1"/>
      <c r="B1021" s="3"/>
      <c r="C1021" s="36" t="s">
        <v>808</v>
      </c>
      <c r="D1021" s="45">
        <v>4339</v>
      </c>
      <c r="E1021" s="51"/>
      <c r="F1021" s="2"/>
      <c r="G1021" s="71"/>
    </row>
    <row r="1022" spans="1:7" s="6" customFormat="1" ht="15.75" customHeight="1" x14ac:dyDescent="0.25">
      <c r="A1022" s="1"/>
      <c r="B1022" s="3"/>
      <c r="C1022" s="36" t="s">
        <v>926</v>
      </c>
      <c r="D1022" s="45">
        <v>5037</v>
      </c>
      <c r="E1022" s="51"/>
      <c r="F1022" s="2"/>
      <c r="G1022" s="71"/>
    </row>
    <row r="1023" spans="1:7" s="6" customFormat="1" ht="15.75" customHeight="1" x14ac:dyDescent="0.25">
      <c r="A1023" s="1"/>
      <c r="B1023" s="3"/>
      <c r="C1023" s="36" t="s">
        <v>5</v>
      </c>
      <c r="D1023" s="45">
        <v>6364</v>
      </c>
      <c r="E1023" s="51"/>
      <c r="F1023" s="2"/>
      <c r="G1023" s="71"/>
    </row>
    <row r="1024" spans="1:7" s="6" customFormat="1" ht="15.75" customHeight="1" x14ac:dyDescent="0.25">
      <c r="A1024" s="1"/>
      <c r="B1024" s="3"/>
      <c r="C1024" s="36" t="s">
        <v>927</v>
      </c>
      <c r="D1024" s="45">
        <v>6383</v>
      </c>
      <c r="E1024" s="51"/>
      <c r="F1024" s="2"/>
      <c r="G1024" s="71"/>
    </row>
    <row r="1025" spans="1:7" s="6" customFormat="1" ht="15.75" customHeight="1" x14ac:dyDescent="0.25">
      <c r="A1025" s="1"/>
      <c r="B1025" s="3"/>
      <c r="C1025" s="36" t="s">
        <v>928</v>
      </c>
      <c r="D1025" s="45">
        <v>5533</v>
      </c>
      <c r="E1025" s="51"/>
      <c r="F1025" s="2"/>
      <c r="G1025" s="71"/>
    </row>
    <row r="1026" spans="1:7" s="6" customFormat="1" ht="15.75" customHeight="1" x14ac:dyDescent="0.25">
      <c r="A1026" s="1"/>
      <c r="B1026" s="3"/>
      <c r="C1026" s="36" t="s">
        <v>646</v>
      </c>
      <c r="D1026" s="45">
        <v>5561</v>
      </c>
      <c r="E1026" s="51"/>
      <c r="F1026" s="2"/>
      <c r="G1026" s="71"/>
    </row>
    <row r="1027" spans="1:7" s="6" customFormat="1" ht="15.75" customHeight="1" x14ac:dyDescent="0.25">
      <c r="A1027" s="1"/>
      <c r="B1027" s="3"/>
      <c r="C1027" s="36"/>
      <c r="D1027" s="46"/>
      <c r="E1027" s="51"/>
      <c r="F1027" s="2"/>
      <c r="G1027" s="71"/>
    </row>
    <row r="1028" spans="1:7" s="6" customFormat="1" ht="15.75" customHeight="1" x14ac:dyDescent="0.25">
      <c r="A1028" s="1"/>
      <c r="B1028" s="3"/>
      <c r="C1028" s="35" t="s">
        <v>929</v>
      </c>
      <c r="D1028" s="57">
        <f>SUM(D1029:D1053)</f>
        <v>71272</v>
      </c>
      <c r="E1028" s="51"/>
      <c r="F1028" s="2"/>
      <c r="G1028" s="71"/>
    </row>
    <row r="1029" spans="1:7" s="6" customFormat="1" ht="15.75" customHeight="1" x14ac:dyDescent="0.25">
      <c r="A1029" s="1"/>
      <c r="B1029" s="3"/>
      <c r="C1029" s="36" t="s">
        <v>42</v>
      </c>
      <c r="D1029" s="45">
        <v>3902</v>
      </c>
      <c r="E1029" s="51"/>
      <c r="F1029" s="2"/>
      <c r="G1029" s="71"/>
    </row>
    <row r="1030" spans="1:7" s="6" customFormat="1" ht="15.75" customHeight="1" x14ac:dyDescent="0.25">
      <c r="A1030" s="1"/>
      <c r="B1030" s="3"/>
      <c r="C1030" s="36" t="s">
        <v>930</v>
      </c>
      <c r="D1030" s="45">
        <v>1974</v>
      </c>
      <c r="E1030" s="51"/>
      <c r="F1030" s="2"/>
      <c r="G1030" s="71"/>
    </row>
    <row r="1031" spans="1:7" s="6" customFormat="1" ht="15.75" customHeight="1" x14ac:dyDescent="0.25">
      <c r="A1031" s="1"/>
      <c r="B1031" s="3"/>
      <c r="C1031" s="36" t="s">
        <v>28</v>
      </c>
      <c r="D1031" s="45">
        <v>1137</v>
      </c>
      <c r="E1031" s="51"/>
      <c r="F1031" s="2"/>
      <c r="G1031" s="71"/>
    </row>
    <row r="1032" spans="1:7" s="6" customFormat="1" ht="15.75" customHeight="1" x14ac:dyDescent="0.25">
      <c r="A1032" s="1"/>
      <c r="B1032" s="3"/>
      <c r="C1032" s="36" t="s">
        <v>931</v>
      </c>
      <c r="D1032" s="45">
        <v>2354</v>
      </c>
      <c r="E1032" s="51"/>
      <c r="F1032" s="2"/>
      <c r="G1032" s="71"/>
    </row>
    <row r="1033" spans="1:7" s="6" customFormat="1" ht="15.75" customHeight="1" x14ac:dyDescent="0.25">
      <c r="A1033" s="1"/>
      <c r="B1033" s="3"/>
      <c r="C1033" s="36" t="s">
        <v>932</v>
      </c>
      <c r="D1033" s="45">
        <v>3738</v>
      </c>
      <c r="E1033" s="51"/>
      <c r="F1033" s="2"/>
      <c r="G1033" s="71"/>
    </row>
    <row r="1034" spans="1:7" s="6" customFormat="1" ht="15.75" customHeight="1" x14ac:dyDescent="0.25">
      <c r="A1034" s="1"/>
      <c r="B1034" s="3"/>
      <c r="C1034" s="36" t="s">
        <v>933</v>
      </c>
      <c r="D1034" s="45">
        <v>1427</v>
      </c>
      <c r="E1034" s="51"/>
      <c r="F1034" s="2"/>
      <c r="G1034" s="71"/>
    </row>
    <row r="1035" spans="1:7" s="6" customFormat="1" ht="15.75" customHeight="1" x14ac:dyDescent="0.25">
      <c r="A1035" s="1"/>
      <c r="B1035" s="3"/>
      <c r="C1035" s="36" t="s">
        <v>934</v>
      </c>
      <c r="D1035" s="45">
        <v>2215</v>
      </c>
      <c r="E1035" s="51"/>
      <c r="F1035" s="2"/>
      <c r="G1035" s="71"/>
    </row>
    <row r="1036" spans="1:7" s="6" customFormat="1" ht="15.75" customHeight="1" x14ac:dyDescent="0.25">
      <c r="A1036" s="1"/>
      <c r="B1036" s="3"/>
      <c r="C1036" s="36" t="s">
        <v>12</v>
      </c>
      <c r="D1036" s="45">
        <v>1467</v>
      </c>
      <c r="E1036" s="51"/>
      <c r="F1036" s="2"/>
      <c r="G1036" s="71"/>
    </row>
    <row r="1037" spans="1:7" s="6" customFormat="1" ht="15.75" customHeight="1" x14ac:dyDescent="0.25">
      <c r="A1037" s="1"/>
      <c r="B1037" s="3"/>
      <c r="C1037" s="36" t="s">
        <v>935</v>
      </c>
      <c r="D1037" s="45">
        <v>1891</v>
      </c>
      <c r="E1037" s="51"/>
      <c r="F1037" s="2"/>
      <c r="G1037" s="71"/>
    </row>
    <row r="1038" spans="1:7" s="6" customFormat="1" ht="15.75" customHeight="1" x14ac:dyDescent="0.25">
      <c r="A1038" s="1"/>
      <c r="B1038" s="3"/>
      <c r="C1038" s="36" t="s">
        <v>936</v>
      </c>
      <c r="D1038" s="45">
        <v>1785</v>
      </c>
      <c r="E1038" s="51"/>
      <c r="F1038" s="2"/>
      <c r="G1038" s="71"/>
    </row>
    <row r="1039" spans="1:7" s="6" customFormat="1" ht="15.75" customHeight="1" x14ac:dyDescent="0.25">
      <c r="A1039" s="1"/>
      <c r="B1039" s="3"/>
      <c r="C1039" s="36" t="s">
        <v>2</v>
      </c>
      <c r="D1039" s="45">
        <v>4153</v>
      </c>
      <c r="E1039" s="51"/>
      <c r="F1039" s="2"/>
      <c r="G1039" s="71"/>
    </row>
    <row r="1040" spans="1:7" s="6" customFormat="1" ht="15.75" customHeight="1" x14ac:dyDescent="0.25">
      <c r="A1040" s="1"/>
      <c r="B1040" s="3"/>
      <c r="C1040" s="36" t="s">
        <v>20</v>
      </c>
      <c r="D1040" s="45">
        <v>1484</v>
      </c>
      <c r="E1040" s="51"/>
      <c r="F1040" s="2"/>
      <c r="G1040" s="71"/>
    </row>
    <row r="1041" spans="1:7" s="6" customFormat="1" ht="15.75" customHeight="1" x14ac:dyDescent="0.25">
      <c r="A1041" s="1"/>
      <c r="B1041" s="3"/>
      <c r="C1041" s="36" t="s">
        <v>937</v>
      </c>
      <c r="D1041" s="45">
        <v>918</v>
      </c>
      <c r="E1041" s="51"/>
      <c r="F1041" s="2"/>
      <c r="G1041" s="71"/>
    </row>
    <row r="1042" spans="1:7" s="6" customFormat="1" ht="15.75" customHeight="1" x14ac:dyDescent="0.25">
      <c r="A1042" s="1"/>
      <c r="B1042" s="3"/>
      <c r="C1042" s="36" t="s">
        <v>16</v>
      </c>
      <c r="D1042" s="45">
        <v>5179</v>
      </c>
      <c r="E1042" s="51"/>
      <c r="F1042" s="2"/>
      <c r="G1042" s="71"/>
    </row>
    <row r="1043" spans="1:7" s="6" customFormat="1" ht="15.75" customHeight="1" x14ac:dyDescent="0.25">
      <c r="A1043" s="1"/>
      <c r="B1043" s="3"/>
      <c r="C1043" s="36" t="s">
        <v>8</v>
      </c>
      <c r="D1043" s="45">
        <v>1893</v>
      </c>
      <c r="E1043" s="51"/>
      <c r="F1043" s="2"/>
      <c r="G1043" s="71"/>
    </row>
    <row r="1044" spans="1:7" s="6" customFormat="1" ht="15.75" customHeight="1" x14ac:dyDescent="0.25">
      <c r="A1044" s="1"/>
      <c r="B1044" s="3"/>
      <c r="C1044" s="36" t="s">
        <v>7</v>
      </c>
      <c r="D1044" s="45">
        <v>6695</v>
      </c>
      <c r="E1044" s="51"/>
      <c r="F1044" s="2"/>
      <c r="G1044" s="71"/>
    </row>
    <row r="1045" spans="1:7" s="6" customFormat="1" ht="15.75" customHeight="1" x14ac:dyDescent="0.25">
      <c r="A1045" s="1"/>
      <c r="B1045" s="3"/>
      <c r="C1045" s="36" t="s">
        <v>5</v>
      </c>
      <c r="D1045" s="45">
        <v>4720</v>
      </c>
      <c r="E1045" s="51"/>
      <c r="F1045" s="2"/>
      <c r="G1045" s="71"/>
    </row>
    <row r="1046" spans="1:7" s="6" customFormat="1" ht="15.75" customHeight="1" x14ac:dyDescent="0.25">
      <c r="A1046" s="1"/>
      <c r="B1046" s="3"/>
      <c r="C1046" s="36" t="s">
        <v>6</v>
      </c>
      <c r="D1046" s="45">
        <v>6890</v>
      </c>
      <c r="E1046" s="51"/>
      <c r="F1046" s="2"/>
      <c r="G1046" s="71"/>
    </row>
    <row r="1047" spans="1:7" s="6" customFormat="1" ht="15.75" customHeight="1" x14ac:dyDescent="0.25">
      <c r="A1047" s="1"/>
      <c r="B1047" s="3"/>
      <c r="C1047" s="36" t="s">
        <v>11</v>
      </c>
      <c r="D1047" s="45">
        <v>1717</v>
      </c>
      <c r="E1047" s="51"/>
      <c r="F1047" s="2"/>
      <c r="G1047" s="71"/>
    </row>
    <row r="1048" spans="1:7" s="6" customFormat="1" ht="15.75" customHeight="1" x14ac:dyDescent="0.25">
      <c r="A1048" s="1"/>
      <c r="B1048" s="3"/>
      <c r="C1048" s="36" t="s">
        <v>17</v>
      </c>
      <c r="D1048" s="45">
        <v>3342</v>
      </c>
      <c r="E1048" s="51"/>
      <c r="F1048" s="2"/>
      <c r="G1048" s="71"/>
    </row>
    <row r="1049" spans="1:7" s="6" customFormat="1" ht="15.75" customHeight="1" x14ac:dyDescent="0.25">
      <c r="A1049" s="1"/>
      <c r="B1049" s="3"/>
      <c r="C1049" s="36" t="s">
        <v>15</v>
      </c>
      <c r="D1049" s="45">
        <v>4625</v>
      </c>
      <c r="E1049" s="51"/>
      <c r="F1049" s="2"/>
      <c r="G1049" s="71"/>
    </row>
    <row r="1050" spans="1:7" s="6" customFormat="1" ht="15.75" customHeight="1" x14ac:dyDescent="0.25">
      <c r="A1050" s="1"/>
      <c r="B1050" s="3"/>
      <c r="C1050" s="36" t="s">
        <v>239</v>
      </c>
      <c r="D1050" s="45">
        <v>1862</v>
      </c>
      <c r="E1050" s="51"/>
      <c r="F1050" s="2"/>
      <c r="G1050" s="71"/>
    </row>
    <row r="1051" spans="1:7" s="6" customFormat="1" ht="15.75" customHeight="1" x14ac:dyDescent="0.25">
      <c r="A1051" s="1"/>
      <c r="B1051" s="3"/>
      <c r="C1051" s="36" t="s">
        <v>280</v>
      </c>
      <c r="D1051" s="45">
        <v>1748</v>
      </c>
      <c r="E1051" s="51"/>
      <c r="F1051" s="2"/>
      <c r="G1051" s="71"/>
    </row>
    <row r="1052" spans="1:7" s="6" customFormat="1" ht="15.75" customHeight="1" x14ac:dyDescent="0.25">
      <c r="A1052" s="1"/>
      <c r="B1052" s="3"/>
      <c r="C1052" s="36" t="s">
        <v>938</v>
      </c>
      <c r="D1052" s="45">
        <v>2405</v>
      </c>
      <c r="E1052" s="51"/>
      <c r="F1052" s="2"/>
      <c r="G1052" s="71"/>
    </row>
    <row r="1053" spans="1:7" s="6" customFormat="1" ht="15.75" customHeight="1" x14ac:dyDescent="0.25">
      <c r="A1053" s="1"/>
      <c r="B1053" s="3"/>
      <c r="C1053" s="36" t="s">
        <v>242</v>
      </c>
      <c r="D1053" s="45">
        <v>1751</v>
      </c>
      <c r="E1053" s="51"/>
      <c r="F1053" s="2"/>
      <c r="G1053" s="71"/>
    </row>
    <row r="1054" spans="1:7" s="6" customFormat="1" ht="15.75" customHeight="1" x14ac:dyDescent="0.25">
      <c r="A1054" s="1"/>
      <c r="B1054" s="3"/>
      <c r="C1054" s="36"/>
      <c r="D1054" s="46"/>
      <c r="E1054" s="51"/>
      <c r="F1054" s="2"/>
      <c r="G1054" s="71"/>
    </row>
    <row r="1055" spans="1:7" s="6" customFormat="1" ht="15.75" customHeight="1" x14ac:dyDescent="0.25">
      <c r="A1055" s="1"/>
      <c r="B1055" s="3"/>
      <c r="C1055" s="35" t="s">
        <v>1969</v>
      </c>
      <c r="D1055" s="57">
        <f>SUM(D1056:D1075)</f>
        <v>35119</v>
      </c>
      <c r="E1055" s="51"/>
      <c r="F1055" s="2"/>
      <c r="G1055" s="71"/>
    </row>
    <row r="1056" spans="1:7" s="6" customFormat="1" ht="15.75" customHeight="1" x14ac:dyDescent="0.25">
      <c r="A1056" s="1"/>
      <c r="B1056" s="3"/>
      <c r="C1056" s="36" t="s">
        <v>395</v>
      </c>
      <c r="D1056" s="45">
        <v>1368</v>
      </c>
      <c r="E1056" s="51"/>
      <c r="F1056" s="2"/>
      <c r="G1056" s="71"/>
    </row>
    <row r="1057" spans="1:7" s="6" customFormat="1" ht="15.75" customHeight="1" x14ac:dyDescent="0.25">
      <c r="A1057" s="1"/>
      <c r="B1057" s="3"/>
      <c r="C1057" s="36" t="s">
        <v>459</v>
      </c>
      <c r="D1057" s="45">
        <v>1320</v>
      </c>
      <c r="E1057" s="51"/>
      <c r="F1057" s="2"/>
      <c r="G1057" s="71"/>
    </row>
    <row r="1058" spans="1:7" s="6" customFormat="1" ht="15.75" customHeight="1" x14ac:dyDescent="0.25">
      <c r="A1058" s="1"/>
      <c r="B1058" s="3"/>
      <c r="C1058" s="36" t="s">
        <v>939</v>
      </c>
      <c r="D1058" s="45">
        <v>1059</v>
      </c>
      <c r="E1058" s="51"/>
      <c r="F1058" s="2"/>
      <c r="G1058" s="71"/>
    </row>
    <row r="1059" spans="1:7" s="6" customFormat="1" ht="15.75" customHeight="1" x14ac:dyDescent="0.25">
      <c r="A1059" s="1"/>
      <c r="B1059" s="3"/>
      <c r="C1059" s="36" t="s">
        <v>52</v>
      </c>
      <c r="D1059" s="45">
        <v>2410</v>
      </c>
      <c r="E1059" s="51"/>
      <c r="F1059" s="2"/>
      <c r="G1059" s="71"/>
    </row>
    <row r="1060" spans="1:7" s="6" customFormat="1" ht="15.75" customHeight="1" x14ac:dyDescent="0.25">
      <c r="A1060" s="1"/>
      <c r="B1060" s="3"/>
      <c r="C1060" s="36" t="s">
        <v>940</v>
      </c>
      <c r="D1060" s="45">
        <v>1218</v>
      </c>
      <c r="E1060" s="51"/>
      <c r="F1060" s="2"/>
      <c r="G1060" s="71"/>
    </row>
    <row r="1061" spans="1:7" s="6" customFormat="1" ht="15.75" customHeight="1" x14ac:dyDescent="0.25">
      <c r="A1061" s="1"/>
      <c r="B1061" s="3"/>
      <c r="C1061" s="36" t="s">
        <v>941</v>
      </c>
      <c r="D1061" s="45">
        <v>2449</v>
      </c>
      <c r="E1061" s="51"/>
      <c r="F1061" s="2"/>
      <c r="G1061" s="71"/>
    </row>
    <row r="1062" spans="1:7" s="6" customFormat="1" ht="15.75" customHeight="1" x14ac:dyDescent="0.25">
      <c r="A1062" s="1"/>
      <c r="B1062" s="3"/>
      <c r="C1062" s="36" t="s">
        <v>220</v>
      </c>
      <c r="D1062" s="45">
        <v>2597</v>
      </c>
      <c r="E1062" s="51"/>
      <c r="F1062" s="2"/>
      <c r="G1062" s="71"/>
    </row>
    <row r="1063" spans="1:7" s="6" customFormat="1" ht="15.75" customHeight="1" x14ac:dyDescent="0.25">
      <c r="A1063" s="1"/>
      <c r="B1063" s="3"/>
      <c r="C1063" s="36" t="s">
        <v>942</v>
      </c>
      <c r="D1063" s="45">
        <v>1644</v>
      </c>
      <c r="E1063" s="51"/>
      <c r="F1063" s="2"/>
      <c r="G1063" s="71"/>
    </row>
    <row r="1064" spans="1:7" s="6" customFormat="1" ht="15.75" customHeight="1" x14ac:dyDescent="0.25">
      <c r="A1064" s="1"/>
      <c r="B1064" s="3"/>
      <c r="C1064" s="36" t="s">
        <v>108</v>
      </c>
      <c r="D1064" s="45">
        <v>2142</v>
      </c>
      <c r="E1064" s="51"/>
      <c r="F1064" s="2"/>
      <c r="G1064" s="71"/>
    </row>
    <row r="1065" spans="1:7" s="6" customFormat="1" ht="15.75" customHeight="1" x14ac:dyDescent="0.25">
      <c r="A1065" s="1"/>
      <c r="B1065" s="3"/>
      <c r="C1065" s="36" t="s">
        <v>443</v>
      </c>
      <c r="D1065" s="45">
        <v>1554</v>
      </c>
      <c r="E1065" s="51"/>
      <c r="F1065" s="2"/>
      <c r="G1065" s="71"/>
    </row>
    <row r="1066" spans="1:7" s="6" customFormat="1" ht="15.75" customHeight="1" x14ac:dyDescent="0.25">
      <c r="A1066" s="1"/>
      <c r="B1066" s="3"/>
      <c r="C1066" s="36" t="s">
        <v>943</v>
      </c>
      <c r="D1066" s="45">
        <v>1329</v>
      </c>
      <c r="E1066" s="51"/>
      <c r="F1066" s="2"/>
      <c r="G1066" s="71"/>
    </row>
    <row r="1067" spans="1:7" s="6" customFormat="1" ht="15.75" customHeight="1" x14ac:dyDescent="0.25">
      <c r="A1067" s="1"/>
      <c r="B1067" s="3"/>
      <c r="C1067" s="36" t="s">
        <v>944</v>
      </c>
      <c r="D1067" s="45">
        <v>1289</v>
      </c>
      <c r="E1067" s="51"/>
      <c r="F1067" s="2"/>
      <c r="G1067" s="71"/>
    </row>
    <row r="1068" spans="1:7" s="6" customFormat="1" ht="15.75" customHeight="1" x14ac:dyDescent="0.25">
      <c r="A1068" s="1"/>
      <c r="B1068" s="3"/>
      <c r="C1068" s="36" t="s">
        <v>945</v>
      </c>
      <c r="D1068" s="45">
        <v>1189</v>
      </c>
      <c r="E1068" s="51"/>
      <c r="F1068" s="2"/>
      <c r="G1068" s="71"/>
    </row>
    <row r="1069" spans="1:7" s="6" customFormat="1" ht="15.75" customHeight="1" x14ac:dyDescent="0.25">
      <c r="A1069" s="1"/>
      <c r="B1069" s="3"/>
      <c r="C1069" s="36" t="s">
        <v>2</v>
      </c>
      <c r="D1069" s="45">
        <v>3778</v>
      </c>
      <c r="E1069" s="51"/>
      <c r="F1069" s="2"/>
      <c r="G1069" s="71"/>
    </row>
    <row r="1070" spans="1:7" s="6" customFormat="1" ht="15.75" customHeight="1" x14ac:dyDescent="0.25">
      <c r="A1070" s="1"/>
      <c r="B1070" s="3"/>
      <c r="C1070" s="36" t="s">
        <v>5</v>
      </c>
      <c r="D1070" s="45">
        <v>627</v>
      </c>
      <c r="E1070" s="51"/>
      <c r="F1070" s="2"/>
      <c r="G1070" s="71"/>
    </row>
    <row r="1071" spans="1:7" s="6" customFormat="1" ht="15.75" customHeight="1" x14ac:dyDescent="0.25">
      <c r="A1071" s="1"/>
      <c r="B1071" s="3"/>
      <c r="C1071" s="36" t="s">
        <v>10</v>
      </c>
      <c r="D1071" s="45">
        <v>2343</v>
      </c>
      <c r="E1071" s="51"/>
      <c r="F1071" s="2"/>
      <c r="G1071" s="71"/>
    </row>
    <row r="1072" spans="1:7" s="6" customFormat="1" ht="15.75" customHeight="1" x14ac:dyDescent="0.25">
      <c r="A1072" s="1"/>
      <c r="B1072" s="3"/>
      <c r="C1072" s="36" t="s">
        <v>140</v>
      </c>
      <c r="D1072" s="45">
        <v>1165</v>
      </c>
      <c r="E1072" s="51"/>
      <c r="F1072" s="2"/>
      <c r="G1072" s="71"/>
    </row>
    <row r="1073" spans="1:7" s="6" customFormat="1" ht="15.75" customHeight="1" x14ac:dyDescent="0.25">
      <c r="A1073" s="1"/>
      <c r="B1073" s="3"/>
      <c r="C1073" s="36" t="s">
        <v>946</v>
      </c>
      <c r="D1073" s="45">
        <v>2411</v>
      </c>
      <c r="E1073" s="51"/>
      <c r="F1073" s="2"/>
      <c r="G1073" s="71"/>
    </row>
    <row r="1074" spans="1:7" s="6" customFormat="1" ht="15.75" customHeight="1" x14ac:dyDescent="0.25">
      <c r="A1074" s="1"/>
      <c r="B1074" s="3"/>
      <c r="C1074" s="36" t="s">
        <v>947</v>
      </c>
      <c r="D1074" s="45">
        <v>1595</v>
      </c>
      <c r="E1074" s="51"/>
      <c r="F1074" s="2"/>
      <c r="G1074" s="71"/>
    </row>
    <row r="1075" spans="1:7" s="6" customFormat="1" ht="15.75" customHeight="1" x14ac:dyDescent="0.25">
      <c r="A1075" s="1"/>
      <c r="B1075" s="3"/>
      <c r="C1075" s="36" t="s">
        <v>948</v>
      </c>
      <c r="D1075" s="45">
        <v>1632</v>
      </c>
      <c r="E1075" s="51"/>
      <c r="F1075" s="2"/>
      <c r="G1075" s="71"/>
    </row>
    <row r="1076" spans="1:7" s="6" customFormat="1" ht="15.75" customHeight="1" x14ac:dyDescent="0.25">
      <c r="A1076" s="1"/>
      <c r="B1076" s="3"/>
      <c r="C1076" s="36"/>
      <c r="D1076" s="46"/>
      <c r="E1076" s="51"/>
      <c r="F1076" s="2"/>
      <c r="G1076" s="71"/>
    </row>
    <row r="1077" spans="1:7" s="6" customFormat="1" ht="15.75" customHeight="1" x14ac:dyDescent="0.25">
      <c r="A1077" s="1"/>
      <c r="B1077" s="3"/>
      <c r="C1077" s="35" t="s">
        <v>949</v>
      </c>
      <c r="D1077" s="57">
        <f>SUM(D1078:D1111)</f>
        <v>47886</v>
      </c>
      <c r="E1077" s="51"/>
      <c r="F1077" s="2"/>
      <c r="G1077" s="71"/>
    </row>
    <row r="1078" spans="1:7" s="6" customFormat="1" ht="15.75" customHeight="1" x14ac:dyDescent="0.25">
      <c r="A1078" s="1"/>
      <c r="B1078" s="3"/>
      <c r="C1078" s="36" t="s">
        <v>950</v>
      </c>
      <c r="D1078" s="45">
        <v>1172</v>
      </c>
      <c r="E1078" s="51"/>
      <c r="F1078" s="2"/>
      <c r="G1078" s="71"/>
    </row>
    <row r="1079" spans="1:7" s="6" customFormat="1" ht="15.75" customHeight="1" x14ac:dyDescent="0.25">
      <c r="A1079" s="1"/>
      <c r="B1079" s="3"/>
      <c r="C1079" s="36" t="s">
        <v>951</v>
      </c>
      <c r="D1079" s="45">
        <v>736</v>
      </c>
      <c r="E1079" s="51"/>
      <c r="F1079" s="2"/>
      <c r="G1079" s="71"/>
    </row>
    <row r="1080" spans="1:7" s="6" customFormat="1" ht="15.75" customHeight="1" x14ac:dyDescent="0.25">
      <c r="A1080" s="1"/>
      <c r="B1080" s="3"/>
      <c r="C1080" s="36" t="s">
        <v>395</v>
      </c>
      <c r="D1080" s="45">
        <v>881</v>
      </c>
      <c r="E1080" s="51"/>
      <c r="F1080" s="2"/>
      <c r="G1080" s="71"/>
    </row>
    <row r="1081" spans="1:7" s="6" customFormat="1" ht="15.75" customHeight="1" x14ac:dyDescent="0.25">
      <c r="A1081" s="1"/>
      <c r="B1081" s="3"/>
      <c r="C1081" s="36" t="s">
        <v>952</v>
      </c>
      <c r="D1081" s="45">
        <v>871</v>
      </c>
      <c r="E1081" s="51"/>
      <c r="F1081" s="2"/>
      <c r="G1081" s="71"/>
    </row>
    <row r="1082" spans="1:7" s="6" customFormat="1" ht="15.75" customHeight="1" x14ac:dyDescent="0.25">
      <c r="A1082" s="1"/>
      <c r="B1082" s="3"/>
      <c r="C1082" s="36" t="s">
        <v>953</v>
      </c>
      <c r="D1082" s="45">
        <v>471</v>
      </c>
      <c r="E1082" s="51"/>
      <c r="F1082" s="2"/>
      <c r="G1082" s="71"/>
    </row>
    <row r="1083" spans="1:7" s="6" customFormat="1" ht="15.75" customHeight="1" x14ac:dyDescent="0.25">
      <c r="A1083" s="1"/>
      <c r="B1083" s="3"/>
      <c r="C1083" s="36" t="s">
        <v>954</v>
      </c>
      <c r="D1083" s="45">
        <v>1404</v>
      </c>
      <c r="E1083" s="51"/>
      <c r="F1083" s="2"/>
      <c r="G1083" s="71"/>
    </row>
    <row r="1084" spans="1:7" s="6" customFormat="1" ht="15.75" customHeight="1" x14ac:dyDescent="0.25">
      <c r="A1084" s="1"/>
      <c r="B1084" s="3"/>
      <c r="C1084" s="36" t="s">
        <v>438</v>
      </c>
      <c r="D1084" s="45">
        <v>1248</v>
      </c>
      <c r="E1084" s="51"/>
      <c r="F1084" s="2"/>
      <c r="G1084" s="71"/>
    </row>
    <row r="1085" spans="1:7" s="6" customFormat="1" ht="15.75" customHeight="1" x14ac:dyDescent="0.25">
      <c r="A1085" s="1"/>
      <c r="B1085" s="3"/>
      <c r="C1085" s="36" t="s">
        <v>129</v>
      </c>
      <c r="D1085" s="45">
        <v>2657</v>
      </c>
      <c r="E1085" s="51"/>
      <c r="F1085" s="2"/>
      <c r="G1085" s="71"/>
    </row>
    <row r="1086" spans="1:7" s="6" customFormat="1" ht="15.75" customHeight="1" x14ac:dyDescent="0.25">
      <c r="A1086" s="1"/>
      <c r="B1086" s="3"/>
      <c r="C1086" s="36" t="s">
        <v>909</v>
      </c>
      <c r="D1086" s="45">
        <v>1152</v>
      </c>
      <c r="E1086" s="51"/>
      <c r="F1086" s="2"/>
      <c r="G1086" s="71"/>
    </row>
    <row r="1087" spans="1:7" s="6" customFormat="1" ht="15.75" customHeight="1" x14ac:dyDescent="0.25">
      <c r="A1087" s="1"/>
      <c r="B1087" s="3"/>
      <c r="C1087" s="36" t="s">
        <v>203</v>
      </c>
      <c r="D1087" s="45">
        <v>1639</v>
      </c>
      <c r="E1087" s="51"/>
      <c r="F1087" s="2"/>
      <c r="G1087" s="71"/>
    </row>
    <row r="1088" spans="1:7" s="6" customFormat="1" ht="15.75" customHeight="1" x14ac:dyDescent="0.25">
      <c r="A1088" s="1"/>
      <c r="B1088" s="3"/>
      <c r="C1088" s="36" t="s">
        <v>955</v>
      </c>
      <c r="D1088" s="45">
        <v>2302</v>
      </c>
      <c r="E1088" s="51"/>
      <c r="F1088" s="2"/>
      <c r="G1088" s="71"/>
    </row>
    <row r="1089" spans="1:7" s="6" customFormat="1" ht="15.75" customHeight="1" x14ac:dyDescent="0.25">
      <c r="A1089" s="1"/>
      <c r="B1089" s="3"/>
      <c r="C1089" s="36" t="s">
        <v>956</v>
      </c>
      <c r="D1089" s="45">
        <v>647</v>
      </c>
      <c r="E1089" s="51"/>
      <c r="F1089" s="2"/>
      <c r="G1089" s="71"/>
    </row>
    <row r="1090" spans="1:7" s="6" customFormat="1" ht="15.75" customHeight="1" x14ac:dyDescent="0.25">
      <c r="A1090" s="1"/>
      <c r="B1090" s="3"/>
      <c r="C1090" s="36" t="s">
        <v>171</v>
      </c>
      <c r="D1090" s="45">
        <v>1657</v>
      </c>
      <c r="E1090" s="51"/>
      <c r="F1090" s="2"/>
      <c r="G1090" s="71"/>
    </row>
    <row r="1091" spans="1:7" s="6" customFormat="1" ht="15.75" customHeight="1" x14ac:dyDescent="0.25">
      <c r="A1091" s="1"/>
      <c r="B1091" s="3"/>
      <c r="C1091" s="36" t="s">
        <v>957</v>
      </c>
      <c r="D1091" s="45">
        <v>1302</v>
      </c>
      <c r="E1091" s="51"/>
      <c r="F1091" s="2"/>
      <c r="G1091" s="71"/>
    </row>
    <row r="1092" spans="1:7" s="6" customFormat="1" ht="15.75" customHeight="1" x14ac:dyDescent="0.25">
      <c r="A1092" s="1"/>
      <c r="B1092" s="3"/>
      <c r="C1092" s="36" t="s">
        <v>958</v>
      </c>
      <c r="D1092" s="45">
        <v>681</v>
      </c>
      <c r="E1092" s="51"/>
      <c r="F1092" s="2"/>
      <c r="G1092" s="71"/>
    </row>
    <row r="1093" spans="1:7" s="6" customFormat="1" ht="15.75" customHeight="1" x14ac:dyDescent="0.25">
      <c r="A1093" s="1"/>
      <c r="B1093" s="3"/>
      <c r="C1093" s="36" t="s">
        <v>50</v>
      </c>
      <c r="D1093" s="45">
        <v>1348</v>
      </c>
      <c r="E1093" s="51"/>
      <c r="F1093" s="2"/>
      <c r="G1093" s="71"/>
    </row>
    <row r="1094" spans="1:7" s="6" customFormat="1" ht="15.75" customHeight="1" x14ac:dyDescent="0.25">
      <c r="A1094" s="1"/>
      <c r="B1094" s="3"/>
      <c r="C1094" s="36" t="s">
        <v>959</v>
      </c>
      <c r="D1094" s="45">
        <v>2851</v>
      </c>
      <c r="E1094" s="51"/>
      <c r="F1094" s="2"/>
      <c r="G1094" s="71"/>
    </row>
    <row r="1095" spans="1:7" s="6" customFormat="1" ht="15.75" customHeight="1" x14ac:dyDescent="0.25">
      <c r="A1095" s="1"/>
      <c r="B1095" s="3"/>
      <c r="C1095" s="36" t="s">
        <v>960</v>
      </c>
      <c r="D1095" s="45">
        <v>670</v>
      </c>
      <c r="E1095" s="51"/>
      <c r="F1095" s="2"/>
      <c r="G1095" s="71"/>
    </row>
    <row r="1096" spans="1:7" s="6" customFormat="1" ht="15.75" customHeight="1" x14ac:dyDescent="0.25">
      <c r="A1096" s="1"/>
      <c r="B1096" s="3"/>
      <c r="C1096" s="36" t="s">
        <v>961</v>
      </c>
      <c r="D1096" s="45">
        <v>1103</v>
      </c>
      <c r="E1096" s="51"/>
      <c r="F1096" s="2"/>
      <c r="G1096" s="71"/>
    </row>
    <row r="1097" spans="1:7" s="6" customFormat="1" ht="15.75" customHeight="1" x14ac:dyDescent="0.25">
      <c r="A1097" s="1"/>
      <c r="B1097" s="3"/>
      <c r="C1097" s="36" t="s">
        <v>432</v>
      </c>
      <c r="D1097" s="45">
        <v>884</v>
      </c>
      <c r="E1097" s="51"/>
      <c r="F1097" s="2"/>
      <c r="G1097" s="71"/>
    </row>
    <row r="1098" spans="1:7" s="6" customFormat="1" ht="15.75" customHeight="1" x14ac:dyDescent="0.25">
      <c r="A1098" s="1"/>
      <c r="B1098" s="3"/>
      <c r="C1098" s="36" t="s">
        <v>962</v>
      </c>
      <c r="D1098" s="45">
        <v>2034</v>
      </c>
      <c r="E1098" s="51"/>
      <c r="F1098" s="2"/>
      <c r="G1098" s="71"/>
    </row>
    <row r="1099" spans="1:7" s="6" customFormat="1" ht="15.75" customHeight="1" x14ac:dyDescent="0.25">
      <c r="A1099" s="1"/>
      <c r="B1099" s="3"/>
      <c r="C1099" s="36" t="s">
        <v>37</v>
      </c>
      <c r="D1099" s="45">
        <v>1301</v>
      </c>
      <c r="E1099" s="51"/>
      <c r="F1099" s="2"/>
      <c r="G1099" s="71"/>
    </row>
    <row r="1100" spans="1:7" s="6" customFormat="1" ht="15.75" customHeight="1" x14ac:dyDescent="0.25">
      <c r="A1100" s="1"/>
      <c r="B1100" s="3"/>
      <c r="C1100" s="36" t="s">
        <v>963</v>
      </c>
      <c r="D1100" s="45">
        <v>567</v>
      </c>
      <c r="E1100" s="51"/>
      <c r="F1100" s="2"/>
      <c r="G1100" s="71"/>
    </row>
    <row r="1101" spans="1:7" s="6" customFormat="1" ht="15.75" customHeight="1" x14ac:dyDescent="0.25">
      <c r="A1101" s="1"/>
      <c r="B1101" s="3"/>
      <c r="C1101" s="36" t="s">
        <v>964</v>
      </c>
      <c r="D1101" s="45">
        <v>2324</v>
      </c>
      <c r="E1101" s="51"/>
      <c r="F1101" s="2"/>
      <c r="G1101" s="71"/>
    </row>
    <row r="1102" spans="1:7" s="6" customFormat="1" ht="15.75" customHeight="1" x14ac:dyDescent="0.25">
      <c r="A1102" s="1"/>
      <c r="B1102" s="3"/>
      <c r="C1102" s="36" t="s">
        <v>965</v>
      </c>
      <c r="D1102" s="45">
        <v>2457</v>
      </c>
      <c r="E1102" s="51"/>
      <c r="F1102" s="2"/>
      <c r="G1102" s="71"/>
    </row>
    <row r="1103" spans="1:7" s="6" customFormat="1" ht="15.75" customHeight="1" x14ac:dyDescent="0.25">
      <c r="A1103" s="1"/>
      <c r="B1103" s="3"/>
      <c r="C1103" s="36" t="s">
        <v>966</v>
      </c>
      <c r="D1103" s="45">
        <v>817</v>
      </c>
      <c r="E1103" s="51"/>
      <c r="F1103" s="2"/>
      <c r="G1103" s="71"/>
    </row>
    <row r="1104" spans="1:7" s="6" customFormat="1" ht="15.75" customHeight="1" x14ac:dyDescent="0.25">
      <c r="A1104" s="1"/>
      <c r="B1104" s="3"/>
      <c r="C1104" s="36" t="s">
        <v>967</v>
      </c>
      <c r="D1104" s="45">
        <v>2463</v>
      </c>
      <c r="E1104" s="51"/>
      <c r="F1104" s="2"/>
      <c r="G1104" s="71"/>
    </row>
    <row r="1105" spans="1:7" s="6" customFormat="1" ht="15.75" customHeight="1" x14ac:dyDescent="0.25">
      <c r="A1105" s="1"/>
      <c r="B1105" s="3"/>
      <c r="C1105" s="36" t="s">
        <v>968</v>
      </c>
      <c r="D1105" s="45">
        <v>2312</v>
      </c>
      <c r="E1105" s="51"/>
      <c r="F1105" s="2"/>
      <c r="G1105" s="71"/>
    </row>
    <row r="1106" spans="1:7" s="6" customFormat="1" ht="15.75" customHeight="1" x14ac:dyDescent="0.25">
      <c r="A1106" s="1"/>
      <c r="B1106" s="3"/>
      <c r="C1106" s="36" t="s">
        <v>969</v>
      </c>
      <c r="D1106" s="45">
        <v>789</v>
      </c>
      <c r="E1106" s="51"/>
      <c r="F1106" s="2"/>
      <c r="G1106" s="71"/>
    </row>
    <row r="1107" spans="1:7" s="6" customFormat="1" ht="15.75" customHeight="1" x14ac:dyDescent="0.25">
      <c r="A1107" s="1"/>
      <c r="B1107" s="3"/>
      <c r="C1107" s="36" t="s">
        <v>792</v>
      </c>
      <c r="D1107" s="45">
        <v>681</v>
      </c>
      <c r="E1107" s="51"/>
      <c r="F1107" s="2"/>
      <c r="G1107" s="71"/>
    </row>
    <row r="1108" spans="1:7" s="6" customFormat="1" ht="15.75" customHeight="1" x14ac:dyDescent="0.25">
      <c r="A1108" s="1"/>
      <c r="B1108" s="3"/>
      <c r="C1108" s="36" t="s">
        <v>970</v>
      </c>
      <c r="D1108" s="45">
        <v>3254</v>
      </c>
      <c r="E1108" s="51"/>
      <c r="F1108" s="2"/>
      <c r="G1108" s="71"/>
    </row>
    <row r="1109" spans="1:7" s="6" customFormat="1" ht="15.75" customHeight="1" x14ac:dyDescent="0.25">
      <c r="A1109" s="1"/>
      <c r="B1109" s="3"/>
      <c r="C1109" s="36" t="s">
        <v>971</v>
      </c>
      <c r="D1109" s="45">
        <v>223</v>
      </c>
      <c r="E1109" s="51"/>
      <c r="F1109" s="2"/>
      <c r="G1109" s="71"/>
    </row>
    <row r="1110" spans="1:7" s="6" customFormat="1" ht="15.75" customHeight="1" x14ac:dyDescent="0.25">
      <c r="A1110" s="1"/>
      <c r="B1110" s="3"/>
      <c r="C1110" s="36" t="s">
        <v>300</v>
      </c>
      <c r="D1110" s="45">
        <v>2262</v>
      </c>
      <c r="E1110" s="51"/>
      <c r="F1110" s="2"/>
      <c r="G1110" s="71"/>
    </row>
    <row r="1111" spans="1:7" s="6" customFormat="1" ht="15.75" customHeight="1" x14ac:dyDescent="0.25">
      <c r="A1111" s="1"/>
      <c r="B1111" s="3"/>
      <c r="C1111" s="36" t="s">
        <v>972</v>
      </c>
      <c r="D1111" s="45">
        <v>726</v>
      </c>
      <c r="E1111" s="51"/>
      <c r="F1111" s="2"/>
      <c r="G1111" s="71"/>
    </row>
    <row r="1112" spans="1:7" s="6" customFormat="1" ht="15.75" customHeight="1" x14ac:dyDescent="0.25">
      <c r="A1112" s="1"/>
      <c r="B1112" s="3"/>
      <c r="C1112" s="36"/>
      <c r="D1112" s="46"/>
      <c r="E1112" s="51"/>
      <c r="F1112" s="2"/>
      <c r="G1112" s="71"/>
    </row>
    <row r="1113" spans="1:7" s="6" customFormat="1" ht="15.75" customHeight="1" x14ac:dyDescent="0.25">
      <c r="A1113" s="1"/>
      <c r="B1113" s="3"/>
      <c r="C1113" s="35" t="s">
        <v>973</v>
      </c>
      <c r="D1113" s="57">
        <f>SUM(D1114:D1157)</f>
        <v>81799</v>
      </c>
      <c r="E1113" s="51"/>
      <c r="F1113" s="2"/>
      <c r="G1113" s="71"/>
    </row>
    <row r="1114" spans="1:7" s="6" customFormat="1" ht="15.75" customHeight="1" x14ac:dyDescent="0.25">
      <c r="A1114" s="1"/>
      <c r="B1114" s="3"/>
      <c r="C1114" s="36" t="s">
        <v>974</v>
      </c>
      <c r="D1114" s="45">
        <v>1746</v>
      </c>
      <c r="E1114" s="51"/>
      <c r="F1114" s="2"/>
      <c r="G1114" s="71"/>
    </row>
    <row r="1115" spans="1:7" s="6" customFormat="1" ht="15.75" customHeight="1" x14ac:dyDescent="0.25">
      <c r="A1115" s="1"/>
      <c r="B1115" s="3"/>
      <c r="C1115" s="36" t="s">
        <v>121</v>
      </c>
      <c r="D1115" s="45">
        <v>2002</v>
      </c>
      <c r="E1115" s="51"/>
      <c r="F1115" s="2"/>
      <c r="G1115" s="71"/>
    </row>
    <row r="1116" spans="1:7" s="6" customFormat="1" ht="15.75" customHeight="1" x14ac:dyDescent="0.25">
      <c r="A1116" s="1"/>
      <c r="B1116" s="3"/>
      <c r="C1116" s="36" t="s">
        <v>606</v>
      </c>
      <c r="D1116" s="45">
        <v>2885</v>
      </c>
      <c r="E1116" s="51"/>
      <c r="F1116" s="2"/>
      <c r="G1116" s="71"/>
    </row>
    <row r="1117" spans="1:7" s="6" customFormat="1" ht="15.75" customHeight="1" x14ac:dyDescent="0.25">
      <c r="A1117" s="1"/>
      <c r="B1117" s="3"/>
      <c r="C1117" s="36" t="s">
        <v>975</v>
      </c>
      <c r="D1117" s="45">
        <v>2498</v>
      </c>
      <c r="E1117" s="51"/>
      <c r="F1117" s="2"/>
      <c r="G1117" s="71"/>
    </row>
    <row r="1118" spans="1:7" s="6" customFormat="1" ht="15.75" customHeight="1" x14ac:dyDescent="0.25">
      <c r="A1118" s="1"/>
      <c r="B1118" s="3"/>
      <c r="C1118" s="36" t="s">
        <v>459</v>
      </c>
      <c r="D1118" s="45">
        <v>1046</v>
      </c>
      <c r="E1118" s="51"/>
      <c r="F1118" s="2"/>
      <c r="G1118" s="71"/>
    </row>
    <row r="1119" spans="1:7" s="6" customFormat="1" ht="15.75" customHeight="1" x14ac:dyDescent="0.25">
      <c r="A1119" s="1"/>
      <c r="B1119" s="3"/>
      <c r="C1119" s="36" t="s">
        <v>818</v>
      </c>
      <c r="D1119" s="45">
        <v>3679</v>
      </c>
      <c r="E1119" s="51"/>
      <c r="F1119" s="2"/>
      <c r="G1119" s="71"/>
    </row>
    <row r="1120" spans="1:7" s="6" customFormat="1" ht="15.75" customHeight="1" x14ac:dyDescent="0.25">
      <c r="A1120" s="1"/>
      <c r="B1120" s="3"/>
      <c r="C1120" s="36" t="s">
        <v>26</v>
      </c>
      <c r="D1120" s="45">
        <v>765</v>
      </c>
      <c r="E1120" s="51"/>
      <c r="F1120" s="2"/>
      <c r="G1120" s="71"/>
    </row>
    <row r="1121" spans="1:7" s="6" customFormat="1" ht="15.75" customHeight="1" x14ac:dyDescent="0.25">
      <c r="A1121" s="1"/>
      <c r="B1121" s="3"/>
      <c r="C1121" s="36" t="s">
        <v>976</v>
      </c>
      <c r="D1121" s="45">
        <v>2120</v>
      </c>
      <c r="E1121" s="51"/>
      <c r="F1121" s="2"/>
      <c r="G1121" s="71"/>
    </row>
    <row r="1122" spans="1:7" s="6" customFormat="1" ht="15.75" customHeight="1" x14ac:dyDescent="0.25">
      <c r="A1122" s="1"/>
      <c r="B1122" s="3"/>
      <c r="C1122" s="36" t="s">
        <v>977</v>
      </c>
      <c r="D1122" s="45">
        <v>662</v>
      </c>
      <c r="E1122" s="51"/>
      <c r="F1122" s="2"/>
      <c r="G1122" s="71"/>
    </row>
    <row r="1123" spans="1:7" s="6" customFormat="1" ht="15.75" customHeight="1" x14ac:dyDescent="0.25">
      <c r="A1123" s="1"/>
      <c r="B1123" s="3"/>
      <c r="C1123" s="36" t="s">
        <v>65</v>
      </c>
      <c r="D1123" s="45">
        <v>2836</v>
      </c>
      <c r="E1123" s="51"/>
      <c r="F1123" s="2"/>
      <c r="G1123" s="71"/>
    </row>
    <row r="1124" spans="1:7" s="6" customFormat="1" ht="15.75" customHeight="1" x14ac:dyDescent="0.25">
      <c r="A1124" s="1"/>
      <c r="B1124" s="3"/>
      <c r="C1124" s="36" t="s">
        <v>978</v>
      </c>
      <c r="D1124" s="45">
        <v>3056</v>
      </c>
      <c r="E1124" s="51"/>
      <c r="F1124" s="2"/>
      <c r="G1124" s="71"/>
    </row>
    <row r="1125" spans="1:7" s="6" customFormat="1" ht="15.75" customHeight="1" x14ac:dyDescent="0.25">
      <c r="A1125" s="1"/>
      <c r="B1125" s="3"/>
      <c r="C1125" s="36" t="s">
        <v>979</v>
      </c>
      <c r="D1125" s="45">
        <v>1673</v>
      </c>
      <c r="E1125" s="51"/>
      <c r="F1125" s="2"/>
      <c r="G1125" s="71"/>
    </row>
    <row r="1126" spans="1:7" s="6" customFormat="1" ht="15.75" customHeight="1" x14ac:dyDescent="0.25">
      <c r="A1126" s="1"/>
      <c r="B1126" s="3"/>
      <c r="C1126" s="36" t="s">
        <v>980</v>
      </c>
      <c r="D1126" s="45">
        <v>536</v>
      </c>
      <c r="E1126" s="51"/>
      <c r="F1126" s="2"/>
      <c r="G1126" s="71"/>
    </row>
    <row r="1127" spans="1:7" s="6" customFormat="1" ht="15.75" customHeight="1" x14ac:dyDescent="0.25">
      <c r="A1127" s="1"/>
      <c r="B1127" s="3"/>
      <c r="C1127" s="36" t="s">
        <v>64</v>
      </c>
      <c r="D1127" s="45">
        <v>3563</v>
      </c>
      <c r="E1127" s="51"/>
      <c r="F1127" s="2"/>
      <c r="G1127" s="71"/>
    </row>
    <row r="1128" spans="1:7" s="6" customFormat="1" ht="15.75" customHeight="1" x14ac:dyDescent="0.25">
      <c r="A1128" s="1"/>
      <c r="B1128" s="3"/>
      <c r="C1128" s="36" t="s">
        <v>83</v>
      </c>
      <c r="D1128" s="45">
        <v>1507</v>
      </c>
      <c r="E1128" s="51"/>
      <c r="F1128" s="2"/>
      <c r="G1128" s="71"/>
    </row>
    <row r="1129" spans="1:7" s="6" customFormat="1" ht="15.75" customHeight="1" x14ac:dyDescent="0.25">
      <c r="A1129" s="1"/>
      <c r="B1129" s="3"/>
      <c r="C1129" s="36" t="s">
        <v>981</v>
      </c>
      <c r="D1129" s="45">
        <v>904</v>
      </c>
      <c r="E1129" s="51"/>
      <c r="F1129" s="2"/>
      <c r="G1129" s="71"/>
    </row>
    <row r="1130" spans="1:7" s="6" customFormat="1" ht="15.75" customHeight="1" x14ac:dyDescent="0.25">
      <c r="A1130" s="1"/>
      <c r="B1130" s="3"/>
      <c r="C1130" s="36" t="s">
        <v>982</v>
      </c>
      <c r="D1130" s="45">
        <v>769</v>
      </c>
      <c r="E1130" s="51"/>
      <c r="F1130" s="2"/>
      <c r="G1130" s="71"/>
    </row>
    <row r="1131" spans="1:7" s="6" customFormat="1" ht="15.75" customHeight="1" x14ac:dyDescent="0.25">
      <c r="A1131" s="1"/>
      <c r="B1131" s="3"/>
      <c r="C1131" s="36" t="s">
        <v>983</v>
      </c>
      <c r="D1131" s="45">
        <v>1340</v>
      </c>
      <c r="E1131" s="51"/>
      <c r="F1131" s="2"/>
      <c r="G1131" s="71"/>
    </row>
    <row r="1132" spans="1:7" s="6" customFormat="1" ht="15.75" customHeight="1" x14ac:dyDescent="0.25">
      <c r="A1132" s="1"/>
      <c r="B1132" s="3"/>
      <c r="C1132" s="36" t="s">
        <v>984</v>
      </c>
      <c r="D1132" s="45">
        <v>1981</v>
      </c>
      <c r="E1132" s="51"/>
      <c r="F1132" s="2"/>
      <c r="G1132" s="71"/>
    </row>
    <row r="1133" spans="1:7" s="6" customFormat="1" ht="15.75" customHeight="1" x14ac:dyDescent="0.25">
      <c r="A1133" s="1"/>
      <c r="B1133" s="3"/>
      <c r="C1133" s="36" t="s">
        <v>632</v>
      </c>
      <c r="D1133" s="45">
        <v>749</v>
      </c>
      <c r="E1133" s="51"/>
      <c r="F1133" s="2"/>
      <c r="G1133" s="71"/>
    </row>
    <row r="1134" spans="1:7" s="6" customFormat="1" ht="15.75" customHeight="1" x14ac:dyDescent="0.25">
      <c r="A1134" s="1"/>
      <c r="B1134" s="3"/>
      <c r="C1134" s="36" t="s">
        <v>584</v>
      </c>
      <c r="D1134" s="45">
        <v>2146</v>
      </c>
      <c r="E1134" s="51"/>
      <c r="F1134" s="2"/>
      <c r="G1134" s="71"/>
    </row>
    <row r="1135" spans="1:7" s="6" customFormat="1" ht="15.75" customHeight="1" x14ac:dyDescent="0.25">
      <c r="A1135" s="1"/>
      <c r="B1135" s="3"/>
      <c r="C1135" s="36" t="s">
        <v>985</v>
      </c>
      <c r="D1135" s="45">
        <v>1373</v>
      </c>
      <c r="E1135" s="51"/>
      <c r="F1135" s="2"/>
      <c r="G1135" s="71"/>
    </row>
    <row r="1136" spans="1:7" s="6" customFormat="1" ht="15.75" customHeight="1" x14ac:dyDescent="0.25">
      <c r="A1136" s="1"/>
      <c r="B1136" s="3"/>
      <c r="C1136" s="36" t="s">
        <v>986</v>
      </c>
      <c r="D1136" s="45">
        <v>1935</v>
      </c>
      <c r="E1136" s="51"/>
      <c r="F1136" s="2"/>
      <c r="G1136" s="71"/>
    </row>
    <row r="1137" spans="1:7" s="6" customFormat="1" ht="15.75" customHeight="1" x14ac:dyDescent="0.25">
      <c r="A1137" s="1"/>
      <c r="B1137" s="3"/>
      <c r="C1137" s="36" t="s">
        <v>987</v>
      </c>
      <c r="D1137" s="45">
        <v>551</v>
      </c>
      <c r="E1137" s="51"/>
      <c r="F1137" s="2"/>
      <c r="G1137" s="71"/>
    </row>
    <row r="1138" spans="1:7" s="6" customFormat="1" ht="15.75" customHeight="1" x14ac:dyDescent="0.25">
      <c r="A1138" s="1"/>
      <c r="B1138" s="3"/>
      <c r="C1138" s="36" t="s">
        <v>988</v>
      </c>
      <c r="D1138" s="45">
        <v>2839</v>
      </c>
      <c r="E1138" s="51"/>
      <c r="F1138" s="2"/>
      <c r="G1138" s="71"/>
    </row>
    <row r="1139" spans="1:7" s="6" customFormat="1" ht="15.75" customHeight="1" x14ac:dyDescent="0.25">
      <c r="A1139" s="1"/>
      <c r="B1139" s="3"/>
      <c r="C1139" s="36" t="s">
        <v>989</v>
      </c>
      <c r="D1139" s="45">
        <v>1498</v>
      </c>
      <c r="E1139" s="51"/>
      <c r="F1139" s="2"/>
      <c r="G1139" s="71"/>
    </row>
    <row r="1140" spans="1:7" s="6" customFormat="1" ht="15.75" customHeight="1" x14ac:dyDescent="0.25">
      <c r="A1140" s="1"/>
      <c r="B1140" s="3"/>
      <c r="C1140" s="36" t="s">
        <v>69</v>
      </c>
      <c r="D1140" s="45">
        <v>1428</v>
      </c>
      <c r="E1140" s="51"/>
      <c r="F1140" s="2"/>
      <c r="G1140" s="71"/>
    </row>
    <row r="1141" spans="1:7" s="6" customFormat="1" ht="15.75" customHeight="1" x14ac:dyDescent="0.25">
      <c r="A1141" s="1"/>
      <c r="B1141" s="3"/>
      <c r="C1141" s="36" t="s">
        <v>2</v>
      </c>
      <c r="D1141" s="45">
        <v>2749</v>
      </c>
      <c r="E1141" s="51"/>
      <c r="F1141" s="2"/>
      <c r="G1141" s="71"/>
    </row>
    <row r="1142" spans="1:7" s="6" customFormat="1" ht="15.75" customHeight="1" x14ac:dyDescent="0.25">
      <c r="A1142" s="1"/>
      <c r="B1142" s="3"/>
      <c r="C1142" s="36" t="s">
        <v>7</v>
      </c>
      <c r="D1142" s="45">
        <v>1773</v>
      </c>
      <c r="E1142" s="51"/>
      <c r="F1142" s="2"/>
      <c r="G1142" s="71"/>
    </row>
    <row r="1143" spans="1:7" s="6" customFormat="1" ht="15.75" customHeight="1" x14ac:dyDescent="0.25">
      <c r="A1143" s="1"/>
      <c r="B1143" s="3"/>
      <c r="C1143" s="36" t="s">
        <v>5</v>
      </c>
      <c r="D1143" s="45">
        <v>820</v>
      </c>
      <c r="E1143" s="51"/>
      <c r="F1143" s="2"/>
      <c r="G1143" s="71"/>
    </row>
    <row r="1144" spans="1:7" s="6" customFormat="1" ht="15.75" customHeight="1" x14ac:dyDescent="0.25">
      <c r="A1144" s="1"/>
      <c r="B1144" s="3"/>
      <c r="C1144" s="36" t="s">
        <v>62</v>
      </c>
      <c r="D1144" s="45">
        <v>4094</v>
      </c>
      <c r="E1144" s="51"/>
      <c r="F1144" s="2"/>
      <c r="G1144" s="71"/>
    </row>
    <row r="1145" spans="1:7" s="6" customFormat="1" ht="15.75" customHeight="1" x14ac:dyDescent="0.25">
      <c r="A1145" s="1"/>
      <c r="B1145" s="3"/>
      <c r="C1145" s="36" t="s">
        <v>10</v>
      </c>
      <c r="D1145" s="45">
        <v>1204</v>
      </c>
      <c r="E1145" s="51"/>
      <c r="F1145" s="2"/>
      <c r="G1145" s="71"/>
    </row>
    <row r="1146" spans="1:7" s="6" customFormat="1" ht="15.75" customHeight="1" x14ac:dyDescent="0.25">
      <c r="A1146" s="1"/>
      <c r="B1146" s="3"/>
      <c r="C1146" s="36" t="s">
        <v>990</v>
      </c>
      <c r="D1146" s="45">
        <v>1033</v>
      </c>
      <c r="E1146" s="51"/>
      <c r="F1146" s="2"/>
      <c r="G1146" s="71"/>
    </row>
    <row r="1147" spans="1:7" s="6" customFormat="1" ht="15.75" customHeight="1" x14ac:dyDescent="0.25">
      <c r="A1147" s="1"/>
      <c r="B1147" s="3"/>
      <c r="C1147" s="36" t="s">
        <v>991</v>
      </c>
      <c r="D1147" s="45">
        <v>2683</v>
      </c>
      <c r="E1147" s="51"/>
      <c r="F1147" s="2"/>
      <c r="G1147" s="71"/>
    </row>
    <row r="1148" spans="1:7" s="6" customFormat="1" ht="15.75" customHeight="1" x14ac:dyDescent="0.25">
      <c r="A1148" s="1"/>
      <c r="B1148" s="3"/>
      <c r="C1148" s="36" t="s">
        <v>992</v>
      </c>
      <c r="D1148" s="45">
        <v>1631</v>
      </c>
      <c r="E1148" s="51"/>
      <c r="F1148" s="2"/>
      <c r="G1148" s="71"/>
    </row>
    <row r="1149" spans="1:7" s="6" customFormat="1" ht="15.75" customHeight="1" x14ac:dyDescent="0.25">
      <c r="A1149" s="1"/>
      <c r="B1149" s="3"/>
      <c r="C1149" s="36" t="s">
        <v>993</v>
      </c>
      <c r="D1149" s="45">
        <v>3400</v>
      </c>
      <c r="E1149" s="51"/>
      <c r="F1149" s="2"/>
      <c r="G1149" s="71"/>
    </row>
    <row r="1150" spans="1:7" s="6" customFormat="1" ht="15.75" customHeight="1" x14ac:dyDescent="0.25">
      <c r="A1150" s="1"/>
      <c r="B1150" s="3"/>
      <c r="C1150" s="36" t="s">
        <v>994</v>
      </c>
      <c r="D1150" s="45">
        <v>759</v>
      </c>
      <c r="E1150" s="51"/>
      <c r="F1150" s="2"/>
      <c r="G1150" s="71"/>
    </row>
    <row r="1151" spans="1:7" s="6" customFormat="1" ht="15.75" customHeight="1" x14ac:dyDescent="0.25">
      <c r="A1151" s="1"/>
      <c r="B1151" s="3"/>
      <c r="C1151" s="36" t="s">
        <v>195</v>
      </c>
      <c r="D1151" s="45">
        <v>2995</v>
      </c>
      <c r="E1151" s="51"/>
      <c r="F1151" s="2"/>
      <c r="G1151" s="71"/>
    </row>
    <row r="1152" spans="1:7" s="6" customFormat="1" ht="15.75" customHeight="1" x14ac:dyDescent="0.25">
      <c r="A1152" s="1"/>
      <c r="B1152" s="3"/>
      <c r="C1152" s="36" t="s">
        <v>995</v>
      </c>
      <c r="D1152" s="45">
        <v>1034</v>
      </c>
      <c r="E1152" s="51"/>
      <c r="F1152" s="2"/>
      <c r="G1152" s="71"/>
    </row>
    <row r="1153" spans="1:7" s="6" customFormat="1" ht="15.75" customHeight="1" x14ac:dyDescent="0.25">
      <c r="A1153" s="1"/>
      <c r="B1153" s="3"/>
      <c r="C1153" s="36" t="s">
        <v>996</v>
      </c>
      <c r="D1153" s="45">
        <v>1468</v>
      </c>
      <c r="E1153" s="51"/>
      <c r="F1153" s="2"/>
      <c r="G1153" s="71"/>
    </row>
    <row r="1154" spans="1:7" s="6" customFormat="1" ht="15.75" customHeight="1" x14ac:dyDescent="0.25">
      <c r="A1154" s="1"/>
      <c r="B1154" s="3"/>
      <c r="C1154" s="36" t="s">
        <v>85</v>
      </c>
      <c r="D1154" s="45">
        <v>2761</v>
      </c>
      <c r="E1154" s="51"/>
      <c r="F1154" s="2"/>
      <c r="G1154" s="71"/>
    </row>
    <row r="1155" spans="1:7" s="6" customFormat="1" ht="15.75" customHeight="1" x14ac:dyDescent="0.25">
      <c r="A1155" s="1"/>
      <c r="B1155" s="3"/>
      <c r="C1155" s="36" t="s">
        <v>997</v>
      </c>
      <c r="D1155" s="45">
        <v>1727</v>
      </c>
      <c r="E1155" s="51"/>
      <c r="F1155" s="2"/>
      <c r="G1155" s="71"/>
    </row>
    <row r="1156" spans="1:7" s="6" customFormat="1" ht="15.75" customHeight="1" x14ac:dyDescent="0.25">
      <c r="A1156" s="1"/>
      <c r="B1156" s="3"/>
      <c r="C1156" s="36" t="s">
        <v>998</v>
      </c>
      <c r="D1156" s="45">
        <v>2267</v>
      </c>
      <c r="E1156" s="51"/>
      <c r="F1156" s="2"/>
      <c r="G1156" s="71"/>
    </row>
    <row r="1157" spans="1:7" s="6" customFormat="1" ht="15.75" customHeight="1" x14ac:dyDescent="0.25">
      <c r="A1157" s="1"/>
      <c r="B1157" s="3"/>
      <c r="C1157" s="36" t="s">
        <v>183</v>
      </c>
      <c r="D1157" s="45">
        <v>1314</v>
      </c>
      <c r="E1157" s="51"/>
      <c r="F1157" s="2"/>
      <c r="G1157" s="71"/>
    </row>
    <row r="1158" spans="1:7" s="6" customFormat="1" ht="15.75" customHeight="1" x14ac:dyDescent="0.25">
      <c r="A1158" s="1"/>
      <c r="B1158" s="3"/>
      <c r="C1158" s="36"/>
      <c r="D1158" s="45"/>
      <c r="E1158" s="51"/>
      <c r="F1158" s="2"/>
      <c r="G1158" s="71"/>
    </row>
    <row r="1159" spans="1:7" s="6" customFormat="1" ht="15.75" customHeight="1" x14ac:dyDescent="0.25">
      <c r="A1159" s="1"/>
      <c r="B1159" s="3"/>
      <c r="C1159" s="35" t="s">
        <v>999</v>
      </c>
      <c r="D1159" s="57">
        <f>SUM(D1160:D1194)</f>
        <v>28392</v>
      </c>
      <c r="E1159" s="51"/>
      <c r="F1159" s="2"/>
      <c r="G1159" s="71"/>
    </row>
    <row r="1160" spans="1:7" s="6" customFormat="1" ht="15.75" customHeight="1" x14ac:dyDescent="0.25">
      <c r="A1160" s="1"/>
      <c r="B1160" s="3"/>
      <c r="C1160" s="36" t="s">
        <v>165</v>
      </c>
      <c r="D1160" s="45">
        <v>557</v>
      </c>
      <c r="E1160" s="51"/>
      <c r="F1160" s="2"/>
      <c r="G1160" s="71"/>
    </row>
    <row r="1161" spans="1:7" s="6" customFormat="1" ht="15.75" customHeight="1" x14ac:dyDescent="0.25">
      <c r="A1161" s="1"/>
      <c r="B1161" s="3"/>
      <c r="C1161" s="36" t="s">
        <v>1000</v>
      </c>
      <c r="D1161" s="45">
        <v>1853</v>
      </c>
      <c r="E1161" s="51"/>
      <c r="F1161" s="2"/>
      <c r="G1161" s="71"/>
    </row>
    <row r="1162" spans="1:7" s="6" customFormat="1" ht="15.75" customHeight="1" x14ac:dyDescent="0.25">
      <c r="A1162" s="1"/>
      <c r="B1162" s="3"/>
      <c r="C1162" s="36" t="s">
        <v>200</v>
      </c>
      <c r="D1162" s="45">
        <v>915</v>
      </c>
      <c r="E1162" s="51"/>
      <c r="F1162" s="2"/>
      <c r="G1162" s="71"/>
    </row>
    <row r="1163" spans="1:7" s="6" customFormat="1" ht="15.75" customHeight="1" x14ac:dyDescent="0.25">
      <c r="A1163" s="1"/>
      <c r="B1163" s="3"/>
      <c r="C1163" s="36" t="s">
        <v>1001</v>
      </c>
      <c r="D1163" s="45">
        <v>602</v>
      </c>
      <c r="E1163" s="51"/>
      <c r="F1163" s="2"/>
      <c r="G1163" s="71"/>
    </row>
    <row r="1164" spans="1:7" s="6" customFormat="1" ht="15.75" customHeight="1" x14ac:dyDescent="0.25">
      <c r="A1164" s="1"/>
      <c r="B1164" s="3"/>
      <c r="C1164" s="36" t="s">
        <v>1002</v>
      </c>
      <c r="D1164" s="45">
        <v>520</v>
      </c>
      <c r="E1164" s="51"/>
      <c r="F1164" s="2"/>
      <c r="G1164" s="71"/>
    </row>
    <row r="1165" spans="1:7" s="6" customFormat="1" ht="15.75" customHeight="1" x14ac:dyDescent="0.25">
      <c r="A1165" s="1"/>
      <c r="B1165" s="3"/>
      <c r="C1165" s="36" t="s">
        <v>174</v>
      </c>
      <c r="D1165" s="45">
        <v>583</v>
      </c>
      <c r="E1165" s="51"/>
      <c r="F1165" s="2"/>
      <c r="G1165" s="71"/>
    </row>
    <row r="1166" spans="1:7" s="6" customFormat="1" ht="15.75" customHeight="1" x14ac:dyDescent="0.25">
      <c r="A1166" s="1"/>
      <c r="B1166" s="3"/>
      <c r="C1166" s="36" t="s">
        <v>648</v>
      </c>
      <c r="D1166" s="45">
        <v>433</v>
      </c>
      <c r="E1166" s="51"/>
      <c r="F1166" s="2"/>
      <c r="G1166" s="71"/>
    </row>
    <row r="1167" spans="1:7" s="6" customFormat="1" ht="15.75" customHeight="1" x14ac:dyDescent="0.25">
      <c r="A1167" s="1"/>
      <c r="B1167" s="3"/>
      <c r="C1167" s="36" t="s">
        <v>1003</v>
      </c>
      <c r="D1167" s="45">
        <v>784</v>
      </c>
      <c r="E1167" s="51"/>
      <c r="F1167" s="2"/>
      <c r="G1167" s="71"/>
    </row>
    <row r="1168" spans="1:7" s="6" customFormat="1" ht="15.75" customHeight="1" x14ac:dyDescent="0.25">
      <c r="A1168" s="1"/>
      <c r="B1168" s="3"/>
      <c r="C1168" s="36" t="s">
        <v>1004</v>
      </c>
      <c r="D1168" s="45">
        <v>643</v>
      </c>
      <c r="E1168" s="51"/>
      <c r="F1168" s="2"/>
      <c r="G1168" s="71"/>
    </row>
    <row r="1169" spans="1:7" s="6" customFormat="1" ht="15.75" customHeight="1" x14ac:dyDescent="0.25">
      <c r="A1169" s="1"/>
      <c r="B1169" s="3"/>
      <c r="C1169" s="36" t="s">
        <v>233</v>
      </c>
      <c r="D1169" s="45">
        <v>1121</v>
      </c>
      <c r="E1169" s="51"/>
      <c r="F1169" s="2"/>
      <c r="G1169" s="71"/>
    </row>
    <row r="1170" spans="1:7" s="6" customFormat="1" ht="15.75" customHeight="1" x14ac:dyDescent="0.25">
      <c r="A1170" s="1"/>
      <c r="B1170" s="3"/>
      <c r="C1170" s="36" t="s">
        <v>1005</v>
      </c>
      <c r="D1170" s="45">
        <v>2133</v>
      </c>
      <c r="E1170" s="51"/>
      <c r="F1170" s="2"/>
      <c r="G1170" s="71"/>
    </row>
    <row r="1171" spans="1:7" s="6" customFormat="1" ht="15.75" customHeight="1" x14ac:dyDescent="0.25">
      <c r="A1171" s="1"/>
      <c r="B1171" s="3"/>
      <c r="C1171" s="36" t="s">
        <v>1006</v>
      </c>
      <c r="D1171" s="45">
        <v>965</v>
      </c>
      <c r="E1171" s="51"/>
      <c r="F1171" s="2"/>
      <c r="G1171" s="71"/>
    </row>
    <row r="1172" spans="1:7" s="6" customFormat="1" ht="15.75" customHeight="1" x14ac:dyDescent="0.25">
      <c r="A1172" s="1"/>
      <c r="B1172" s="3"/>
      <c r="C1172" s="36" t="s">
        <v>1007</v>
      </c>
      <c r="D1172" s="45">
        <v>437</v>
      </c>
      <c r="E1172" s="51"/>
      <c r="F1172" s="2"/>
      <c r="G1172" s="71"/>
    </row>
    <row r="1173" spans="1:7" s="6" customFormat="1" ht="15.75" customHeight="1" x14ac:dyDescent="0.25">
      <c r="A1173" s="1"/>
      <c r="B1173" s="3"/>
      <c r="C1173" s="36" t="s">
        <v>1008</v>
      </c>
      <c r="D1173" s="45">
        <v>1092</v>
      </c>
      <c r="E1173" s="51"/>
      <c r="F1173" s="2"/>
      <c r="G1173" s="71"/>
    </row>
    <row r="1174" spans="1:7" s="6" customFormat="1" ht="15.75" customHeight="1" x14ac:dyDescent="0.25">
      <c r="A1174" s="1"/>
      <c r="B1174" s="3"/>
      <c r="C1174" s="36" t="s">
        <v>48</v>
      </c>
      <c r="D1174" s="45">
        <v>617</v>
      </c>
      <c r="E1174" s="51"/>
      <c r="F1174" s="2"/>
      <c r="G1174" s="71"/>
    </row>
    <row r="1175" spans="1:7" s="6" customFormat="1" ht="15.75" customHeight="1" x14ac:dyDescent="0.25">
      <c r="A1175" s="1"/>
      <c r="B1175" s="3"/>
      <c r="C1175" s="36" t="s">
        <v>1009</v>
      </c>
      <c r="D1175" s="45">
        <v>637</v>
      </c>
      <c r="E1175" s="51"/>
      <c r="F1175" s="2"/>
      <c r="G1175" s="71"/>
    </row>
    <row r="1176" spans="1:7" s="6" customFormat="1" ht="15.75" customHeight="1" x14ac:dyDescent="0.25">
      <c r="A1176" s="1"/>
      <c r="B1176" s="3"/>
      <c r="C1176" s="36" t="s">
        <v>1010</v>
      </c>
      <c r="D1176" s="45">
        <v>763</v>
      </c>
      <c r="E1176" s="51"/>
      <c r="F1176" s="2"/>
      <c r="G1176" s="71"/>
    </row>
    <row r="1177" spans="1:7" s="6" customFormat="1" ht="15.75" customHeight="1" x14ac:dyDescent="0.25">
      <c r="A1177" s="1"/>
      <c r="B1177" s="3"/>
      <c r="C1177" s="36" t="s">
        <v>443</v>
      </c>
      <c r="D1177" s="45">
        <v>965</v>
      </c>
      <c r="E1177" s="51"/>
      <c r="F1177" s="2"/>
      <c r="G1177" s="71"/>
    </row>
    <row r="1178" spans="1:7" s="6" customFormat="1" ht="15.75" customHeight="1" x14ac:dyDescent="0.25">
      <c r="A1178" s="1"/>
      <c r="B1178" s="3"/>
      <c r="C1178" s="36" t="s">
        <v>1011</v>
      </c>
      <c r="D1178" s="45">
        <v>1013</v>
      </c>
      <c r="E1178" s="51"/>
      <c r="F1178" s="2"/>
      <c r="G1178" s="71"/>
    </row>
    <row r="1179" spans="1:7" s="6" customFormat="1" ht="15.75" customHeight="1" x14ac:dyDescent="0.25">
      <c r="A1179" s="1"/>
      <c r="B1179" s="3"/>
      <c r="C1179" s="36" t="s">
        <v>1012</v>
      </c>
      <c r="D1179" s="45">
        <v>428</v>
      </c>
      <c r="E1179" s="51"/>
      <c r="F1179" s="2"/>
      <c r="G1179" s="71"/>
    </row>
    <row r="1180" spans="1:7" s="6" customFormat="1" ht="15.75" customHeight="1" x14ac:dyDescent="0.25">
      <c r="A1180" s="1"/>
      <c r="B1180" s="3"/>
      <c r="C1180" s="36" t="s">
        <v>1013</v>
      </c>
      <c r="D1180" s="45">
        <v>775</v>
      </c>
      <c r="E1180" s="51"/>
      <c r="F1180" s="2"/>
      <c r="G1180" s="71"/>
    </row>
    <row r="1181" spans="1:7" s="6" customFormat="1" ht="15.75" customHeight="1" x14ac:dyDescent="0.25">
      <c r="A1181" s="1"/>
      <c r="B1181" s="3"/>
      <c r="C1181" s="36" t="s">
        <v>12</v>
      </c>
      <c r="D1181" s="45">
        <v>692</v>
      </c>
      <c r="E1181" s="51"/>
      <c r="F1181" s="2"/>
      <c r="G1181" s="71"/>
    </row>
    <row r="1182" spans="1:7" s="6" customFormat="1" ht="15.75" customHeight="1" x14ac:dyDescent="0.25">
      <c r="A1182" s="1"/>
      <c r="B1182" s="3"/>
      <c r="C1182" s="36" t="s">
        <v>1014</v>
      </c>
      <c r="D1182" s="45">
        <v>703</v>
      </c>
      <c r="E1182" s="51"/>
      <c r="F1182" s="2"/>
      <c r="G1182" s="71"/>
    </row>
    <row r="1183" spans="1:7" s="6" customFormat="1" ht="15.75" customHeight="1" x14ac:dyDescent="0.25">
      <c r="A1183" s="1"/>
      <c r="B1183" s="3"/>
      <c r="C1183" s="36" t="s">
        <v>1015</v>
      </c>
      <c r="D1183" s="45">
        <v>497</v>
      </c>
      <c r="E1183" s="51"/>
      <c r="F1183" s="2"/>
      <c r="G1183" s="71"/>
    </row>
    <row r="1184" spans="1:7" s="6" customFormat="1" ht="15.75" customHeight="1" x14ac:dyDescent="0.25">
      <c r="A1184" s="1"/>
      <c r="B1184" s="3"/>
      <c r="C1184" s="36" t="s">
        <v>1016</v>
      </c>
      <c r="D1184" s="45">
        <v>509</v>
      </c>
      <c r="E1184" s="51"/>
      <c r="F1184" s="2"/>
      <c r="G1184" s="71"/>
    </row>
    <row r="1185" spans="1:7" s="6" customFormat="1" ht="15.75" customHeight="1" x14ac:dyDescent="0.25">
      <c r="A1185" s="1"/>
      <c r="B1185" s="3"/>
      <c r="C1185" s="36" t="s">
        <v>1017</v>
      </c>
      <c r="D1185" s="45">
        <v>1186</v>
      </c>
      <c r="E1185" s="51"/>
      <c r="F1185" s="2"/>
      <c r="G1185" s="71"/>
    </row>
    <row r="1186" spans="1:7" s="6" customFormat="1" ht="15.75" customHeight="1" x14ac:dyDescent="0.25">
      <c r="A1186" s="1"/>
      <c r="B1186" s="3"/>
      <c r="C1186" s="36" t="s">
        <v>1018</v>
      </c>
      <c r="D1186" s="45">
        <v>399</v>
      </c>
      <c r="E1186" s="51"/>
      <c r="F1186" s="2"/>
      <c r="G1186" s="71"/>
    </row>
    <row r="1187" spans="1:7" s="6" customFormat="1" ht="15.75" customHeight="1" x14ac:dyDescent="0.25">
      <c r="A1187" s="1"/>
      <c r="B1187" s="3"/>
      <c r="C1187" s="36" t="s">
        <v>1019</v>
      </c>
      <c r="D1187" s="45">
        <v>1449</v>
      </c>
      <c r="E1187" s="51"/>
      <c r="F1187" s="2"/>
      <c r="G1187" s="71"/>
    </row>
    <row r="1188" spans="1:7" s="6" customFormat="1" ht="15.75" customHeight="1" x14ac:dyDescent="0.25">
      <c r="A1188" s="1"/>
      <c r="B1188" s="3"/>
      <c r="C1188" s="36" t="s">
        <v>1020</v>
      </c>
      <c r="D1188" s="45">
        <v>996</v>
      </c>
      <c r="E1188" s="51"/>
      <c r="F1188" s="2"/>
      <c r="G1188" s="71"/>
    </row>
    <row r="1189" spans="1:7" s="6" customFormat="1" ht="15.75" customHeight="1" x14ac:dyDescent="0.25">
      <c r="A1189" s="1"/>
      <c r="B1189" s="3"/>
      <c r="C1189" s="36" t="s">
        <v>1021</v>
      </c>
      <c r="D1189" s="45">
        <v>578</v>
      </c>
      <c r="E1189" s="51"/>
      <c r="F1189" s="2"/>
      <c r="G1189" s="71"/>
    </row>
    <row r="1190" spans="1:7" s="6" customFormat="1" ht="15.75" customHeight="1" x14ac:dyDescent="0.25">
      <c r="A1190" s="1"/>
      <c r="B1190" s="3"/>
      <c r="C1190" s="36" t="s">
        <v>702</v>
      </c>
      <c r="D1190" s="45">
        <v>423</v>
      </c>
      <c r="E1190" s="51"/>
      <c r="F1190" s="2"/>
      <c r="G1190" s="71"/>
    </row>
    <row r="1191" spans="1:7" s="6" customFormat="1" ht="15.75" customHeight="1" x14ac:dyDescent="0.25">
      <c r="A1191" s="1"/>
      <c r="B1191" s="3"/>
      <c r="C1191" s="36" t="s">
        <v>1022</v>
      </c>
      <c r="D1191" s="45">
        <v>568</v>
      </c>
      <c r="E1191" s="51"/>
      <c r="F1191" s="2"/>
      <c r="G1191" s="71"/>
    </row>
    <row r="1192" spans="1:7" s="6" customFormat="1" ht="15.75" customHeight="1" x14ac:dyDescent="0.25">
      <c r="A1192" s="1"/>
      <c r="B1192" s="3"/>
      <c r="C1192" s="36" t="s">
        <v>197</v>
      </c>
      <c r="D1192" s="45">
        <v>711</v>
      </c>
      <c r="E1192" s="51"/>
      <c r="F1192" s="2"/>
      <c r="G1192" s="71"/>
    </row>
    <row r="1193" spans="1:7" s="6" customFormat="1" ht="15.75" customHeight="1" x14ac:dyDescent="0.25">
      <c r="A1193" s="1"/>
      <c r="B1193" s="3"/>
      <c r="C1193" s="36" t="s">
        <v>1023</v>
      </c>
      <c r="D1193" s="45">
        <v>926</v>
      </c>
      <c r="E1193" s="51"/>
      <c r="F1193" s="2"/>
      <c r="G1193" s="71"/>
    </row>
    <row r="1194" spans="1:7" s="6" customFormat="1" ht="15.75" customHeight="1" x14ac:dyDescent="0.25">
      <c r="A1194" s="1"/>
      <c r="B1194" s="3"/>
      <c r="C1194" s="36" t="s">
        <v>1024</v>
      </c>
      <c r="D1194" s="45">
        <v>919</v>
      </c>
      <c r="E1194" s="51"/>
      <c r="F1194" s="2"/>
      <c r="G1194" s="71"/>
    </row>
    <row r="1195" spans="1:7" s="6" customFormat="1" ht="15.75" customHeight="1" x14ac:dyDescent="0.25">
      <c r="A1195" s="1"/>
      <c r="B1195" s="3"/>
      <c r="C1195" s="35" t="s">
        <v>1025</v>
      </c>
      <c r="D1195" s="57">
        <f>SUM(D1196:D1210)</f>
        <v>26666</v>
      </c>
      <c r="E1195" s="51"/>
      <c r="F1195" s="2"/>
      <c r="G1195" s="71"/>
    </row>
    <row r="1196" spans="1:7" s="6" customFormat="1" ht="15.75" customHeight="1" x14ac:dyDescent="0.25">
      <c r="A1196" s="1"/>
      <c r="B1196" s="3"/>
      <c r="C1196" s="36" t="s">
        <v>1026</v>
      </c>
      <c r="D1196" s="45">
        <v>1854</v>
      </c>
      <c r="E1196" s="51"/>
      <c r="F1196" s="2"/>
      <c r="G1196" s="71"/>
    </row>
    <row r="1197" spans="1:7" s="6" customFormat="1" ht="15.75" customHeight="1" x14ac:dyDescent="0.25">
      <c r="A1197" s="1"/>
      <c r="B1197" s="3"/>
      <c r="C1197" s="36" t="s">
        <v>1027</v>
      </c>
      <c r="D1197" s="45">
        <v>735</v>
      </c>
      <c r="E1197" s="51"/>
      <c r="F1197" s="2"/>
      <c r="G1197" s="71"/>
    </row>
    <row r="1198" spans="1:7" s="6" customFormat="1" ht="15.75" customHeight="1" x14ac:dyDescent="0.25">
      <c r="A1198" s="1"/>
      <c r="B1198" s="3"/>
      <c r="C1198" s="36" t="s">
        <v>1028</v>
      </c>
      <c r="D1198" s="45">
        <v>1987</v>
      </c>
      <c r="E1198" s="51"/>
      <c r="F1198" s="2"/>
      <c r="G1198" s="71"/>
    </row>
    <row r="1199" spans="1:7" s="6" customFormat="1" ht="15.75" customHeight="1" x14ac:dyDescent="0.25">
      <c r="A1199" s="1"/>
      <c r="B1199" s="3"/>
      <c r="C1199" s="36" t="s">
        <v>1029</v>
      </c>
      <c r="D1199" s="45">
        <v>1667</v>
      </c>
      <c r="E1199" s="51"/>
      <c r="F1199" s="2"/>
      <c r="G1199" s="71"/>
    </row>
    <row r="1200" spans="1:7" s="6" customFormat="1" ht="15.75" customHeight="1" x14ac:dyDescent="0.25">
      <c r="A1200" s="1"/>
      <c r="B1200" s="3"/>
      <c r="C1200" s="36" t="s">
        <v>1030</v>
      </c>
      <c r="D1200" s="45">
        <v>1059</v>
      </c>
      <c r="E1200" s="51"/>
      <c r="F1200" s="2"/>
      <c r="G1200" s="71"/>
    </row>
    <row r="1201" spans="1:7" s="6" customFormat="1" ht="15.75" customHeight="1" x14ac:dyDescent="0.25">
      <c r="A1201" s="1"/>
      <c r="B1201" s="3"/>
      <c r="C1201" s="36" t="s">
        <v>223</v>
      </c>
      <c r="D1201" s="45">
        <v>1567</v>
      </c>
      <c r="E1201" s="51"/>
      <c r="F1201" s="2"/>
      <c r="G1201" s="71"/>
    </row>
    <row r="1202" spans="1:7" s="6" customFormat="1" ht="15.75" customHeight="1" x14ac:dyDescent="0.25">
      <c r="A1202" s="1"/>
      <c r="B1202" s="3"/>
      <c r="C1202" s="36" t="s">
        <v>1031</v>
      </c>
      <c r="D1202" s="45">
        <v>2602</v>
      </c>
      <c r="E1202" s="51"/>
      <c r="F1202" s="2"/>
      <c r="G1202" s="71"/>
    </row>
    <row r="1203" spans="1:7" s="6" customFormat="1" ht="15.75" customHeight="1" x14ac:dyDescent="0.25">
      <c r="A1203" s="1"/>
      <c r="B1203" s="3"/>
      <c r="C1203" s="36" t="s">
        <v>1032</v>
      </c>
      <c r="D1203" s="45">
        <v>1521</v>
      </c>
      <c r="E1203" s="51"/>
      <c r="F1203" s="2"/>
      <c r="G1203" s="71"/>
    </row>
    <row r="1204" spans="1:7" s="6" customFormat="1" ht="15.75" customHeight="1" x14ac:dyDescent="0.25">
      <c r="A1204" s="1"/>
      <c r="B1204" s="3"/>
      <c r="C1204" s="36" t="s">
        <v>1033</v>
      </c>
      <c r="D1204" s="45">
        <v>2671</v>
      </c>
      <c r="E1204" s="51"/>
      <c r="F1204" s="2"/>
      <c r="G1204" s="71"/>
    </row>
    <row r="1205" spans="1:7" s="6" customFormat="1" ht="15.75" customHeight="1" x14ac:dyDescent="0.25">
      <c r="A1205" s="1"/>
      <c r="B1205" s="3"/>
      <c r="C1205" s="36" t="s">
        <v>1034</v>
      </c>
      <c r="D1205" s="45">
        <v>1818</v>
      </c>
      <c r="E1205" s="51"/>
      <c r="F1205" s="2"/>
      <c r="G1205" s="71"/>
    </row>
    <row r="1206" spans="1:7" s="6" customFormat="1" ht="15.75" customHeight="1" x14ac:dyDescent="0.25">
      <c r="A1206" s="1"/>
      <c r="B1206" s="3"/>
      <c r="C1206" s="36" t="s">
        <v>1035</v>
      </c>
      <c r="D1206" s="45">
        <v>2230</v>
      </c>
      <c r="E1206" s="51"/>
      <c r="F1206" s="2"/>
      <c r="G1206" s="71"/>
    </row>
    <row r="1207" spans="1:7" s="6" customFormat="1" ht="15.75" customHeight="1" x14ac:dyDescent="0.25">
      <c r="A1207" s="1"/>
      <c r="B1207" s="3"/>
      <c r="C1207" s="36" t="s">
        <v>1036</v>
      </c>
      <c r="D1207" s="45">
        <v>3265</v>
      </c>
      <c r="E1207" s="51"/>
      <c r="F1207" s="2"/>
      <c r="G1207" s="71"/>
    </row>
    <row r="1208" spans="1:7" s="6" customFormat="1" ht="15.75" customHeight="1" x14ac:dyDescent="0.25">
      <c r="A1208" s="1"/>
      <c r="B1208" s="3"/>
      <c r="C1208" s="36" t="s">
        <v>1037</v>
      </c>
      <c r="D1208" s="45">
        <v>1162</v>
      </c>
      <c r="E1208" s="51"/>
      <c r="F1208" s="2"/>
      <c r="G1208" s="71"/>
    </row>
    <row r="1209" spans="1:7" s="6" customFormat="1" ht="15.75" customHeight="1" x14ac:dyDescent="0.25">
      <c r="A1209" s="1"/>
      <c r="B1209" s="3"/>
      <c r="C1209" s="36" t="s">
        <v>224</v>
      </c>
      <c r="D1209" s="45">
        <v>1468</v>
      </c>
      <c r="E1209" s="51"/>
      <c r="F1209" s="2"/>
      <c r="G1209" s="71"/>
    </row>
    <row r="1210" spans="1:7" s="6" customFormat="1" ht="15.75" customHeight="1" x14ac:dyDescent="0.25">
      <c r="A1210" s="1"/>
      <c r="B1210" s="3"/>
      <c r="C1210" s="36" t="s">
        <v>996</v>
      </c>
      <c r="D1210" s="45">
        <v>1060</v>
      </c>
      <c r="E1210" s="51"/>
      <c r="F1210" s="2"/>
      <c r="G1210" s="71"/>
    </row>
    <row r="1211" spans="1:7" s="6" customFormat="1" ht="15.75" customHeight="1" x14ac:dyDescent="0.25">
      <c r="A1211" s="2"/>
      <c r="B1211" s="3"/>
      <c r="C1211" s="25"/>
      <c r="D1211" s="25"/>
      <c r="E1211" s="18"/>
      <c r="F1211" s="2"/>
      <c r="G1211" s="71"/>
    </row>
    <row r="1212" spans="1:7" s="14" customFormat="1" ht="15.75" customHeight="1" x14ac:dyDescent="0.25">
      <c r="A1212" s="1"/>
      <c r="B1212" s="3"/>
      <c r="C1212" s="13"/>
      <c r="D1212" s="13"/>
      <c r="E1212" s="18"/>
      <c r="F1212" s="2"/>
      <c r="G1212" s="71"/>
    </row>
    <row r="1213" spans="1:7" s="14" customFormat="1" ht="15.75" customHeight="1" x14ac:dyDescent="0.25">
      <c r="A1213" s="1"/>
      <c r="B1213" s="3"/>
      <c r="C1213" s="26" t="s">
        <v>1973</v>
      </c>
      <c r="D1213" s="13"/>
      <c r="E1213" s="18"/>
      <c r="F1213" s="2"/>
      <c r="G1213" s="71"/>
    </row>
    <row r="1214" spans="1:7" s="10" customFormat="1" ht="15.75" customHeight="1" x14ac:dyDescent="0.25">
      <c r="A1214" s="1"/>
      <c r="B1214" s="3"/>
      <c r="C1214" s="73" t="s">
        <v>2418</v>
      </c>
      <c r="D1214" s="15"/>
      <c r="E1214" s="18"/>
      <c r="F1214" s="2"/>
      <c r="G1214" s="71"/>
    </row>
    <row r="1215" spans="1:7" ht="15.75" customHeight="1" x14ac:dyDescent="0.25">
      <c r="A1215" s="1"/>
      <c r="B1215" s="3"/>
      <c r="C1215" s="78" t="s">
        <v>2419</v>
      </c>
    </row>
    <row r="1216" spans="1:7" s="6" customFormat="1" ht="15.75" customHeight="1" x14ac:dyDescent="0.25">
      <c r="A1216" s="2"/>
      <c r="B1216" s="3"/>
      <c r="C1216" s="21"/>
      <c r="D1216" s="21"/>
      <c r="E1216" s="18"/>
      <c r="F1216" s="2"/>
      <c r="G1216" s="71"/>
    </row>
    <row r="1217" spans="1:7" s="6" customFormat="1" ht="15.75" customHeight="1" x14ac:dyDescent="0.25">
      <c r="A1217" s="2"/>
      <c r="B1217" s="3"/>
      <c r="C1217" s="26" t="s">
        <v>1974</v>
      </c>
      <c r="D1217" s="21"/>
      <c r="E1217" s="18"/>
      <c r="F1217" s="2"/>
      <c r="G1217" s="71"/>
    </row>
    <row r="1218" spans="1:7" ht="15.75" customHeight="1" x14ac:dyDescent="0.25">
      <c r="C1218" s="28" t="s">
        <v>1978</v>
      </c>
    </row>
  </sheetData>
  <sortState xmlns:xlrd2="http://schemas.microsoft.com/office/spreadsheetml/2017/richdata2" ref="A7:D1210">
    <sortCondition ref="A7:A1210"/>
  </sortState>
  <mergeCells count="2">
    <mergeCell ref="C1:D1"/>
    <mergeCell ref="C2:D2"/>
  </mergeCells>
  <printOptions horizontalCentered="1"/>
  <pageMargins left="0.98425196850393704" right="0.98425196850393704" top="0.98425196850393704" bottom="0.98425196850393704" header="0.51181102362204722" footer="0.51181102362204722"/>
  <pageSetup firstPageNumber="6" orientation="portrait" useFirstPageNumber="1" r:id="rId1"/>
  <headerFooter differentOddEven="1">
    <oddHeader>&amp;L&amp;"Arial,Bold Italic"&amp;10Bohol&amp;R&amp;"Arial,Bold Italic"&amp;10 2020 Census of Population and Housing</oddHeader>
    <oddFooter>&amp;L&amp;"Arial,Bold"&amp;10&amp;P&amp;R&amp;"Arial,Bold Italic"&amp;10Philippine Statistics Authority</oddFooter>
    <evenHeader>&amp;L&amp;"Arial,Bold Italic"&amp;10 2020 Census of Population and Housing&amp;R&amp;"Arial,Bold Italic"&amp;10Bohol</evenHeader>
    <evenFooter>&amp;L&amp;"Arial,Bold Italic"&amp;10Philippine Statistics Authority&amp;R&amp;"Arial,Bold"&amp;10&amp;P</evenFooter>
  </headerFooter>
  <rowBreaks count="3" manualBreakCount="3">
    <brk id="1086" min="2" max="3" man="1"/>
    <brk id="1122" min="2" max="3" man="1"/>
    <brk id="1158" min="2" max="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182"/>
  <sheetViews>
    <sheetView view="pageBreakPreview" zoomScaleSheetLayoutView="100" workbookViewId="0">
      <selection activeCell="G1161" sqref="G1161"/>
    </sheetView>
  </sheetViews>
  <sheetFormatPr defaultRowHeight="15.75" customHeight="1" x14ac:dyDescent="0.25"/>
  <cols>
    <col min="1" max="2" width="9.140625" style="2"/>
    <col min="3" max="3" width="56.7109375" style="2" customWidth="1"/>
    <col min="4" max="4" width="19.7109375" style="2" customWidth="1"/>
    <col min="5" max="5" width="9.140625" style="18"/>
    <col min="6" max="6" width="28.140625" style="2" bestFit="1" customWidth="1"/>
    <col min="7" max="7" width="17.28515625" style="71" bestFit="1" customWidth="1"/>
    <col min="8" max="16384" width="9.140625" style="2"/>
  </cols>
  <sheetData>
    <row r="1" spans="1:7" s="1" customFormat="1" ht="15.75" customHeight="1" x14ac:dyDescent="0.25">
      <c r="C1" s="83" t="s">
        <v>1979</v>
      </c>
      <c r="D1" s="83"/>
      <c r="G1" s="70"/>
    </row>
    <row r="2" spans="1:7" s="1" customFormat="1" ht="15.75" customHeight="1" x14ac:dyDescent="0.25">
      <c r="C2" s="83" t="s">
        <v>1980</v>
      </c>
      <c r="D2" s="83"/>
      <c r="E2" s="16"/>
      <c r="G2" s="70"/>
    </row>
    <row r="3" spans="1:7" s="1" customFormat="1" ht="15.75" customHeight="1" thickBot="1" x14ac:dyDescent="0.3">
      <c r="E3" s="16"/>
      <c r="G3" s="70"/>
    </row>
    <row r="4" spans="1:7" s="1" customFormat="1" ht="15.75" customHeight="1" thickTop="1" x14ac:dyDescent="0.25">
      <c r="C4" s="49" t="s">
        <v>1972</v>
      </c>
      <c r="D4" s="33" t="s">
        <v>1977</v>
      </c>
      <c r="E4" s="16"/>
      <c r="G4" s="70"/>
    </row>
    <row r="5" spans="1:7" s="1" customFormat="1" ht="15.75" customHeight="1" thickBot="1" x14ac:dyDescent="0.3">
      <c r="C5" s="50" t="s">
        <v>0</v>
      </c>
      <c r="D5" s="34" t="s">
        <v>1</v>
      </c>
      <c r="E5" s="16"/>
      <c r="G5" s="70"/>
    </row>
    <row r="6" spans="1:7" s="1" customFormat="1" ht="15.75" customHeight="1" thickTop="1" x14ac:dyDescent="0.25">
      <c r="E6" s="16"/>
      <c r="G6" s="70"/>
    </row>
    <row r="7" spans="1:7" s="9" customFormat="1" ht="15.75" customHeight="1" x14ac:dyDescent="0.25">
      <c r="A7" s="1"/>
      <c r="B7" s="3"/>
      <c r="C7" s="39" t="s">
        <v>1038</v>
      </c>
      <c r="D7" s="48">
        <f>D9+D20+D30+D41+D58+D105+D134+D165+D195+D223+D267+D298+D311+D331+D348+D371+D393+D412+D435+D450+D472+D507+D551+D590+D606+D622+D638+D655+D676+D697+D714+D744+D767+D782+D810+D829+D845+D862+D885+D902+D931+D943+D955+D982+D1002+D1029+D1043+D1067+D1107+D1163</f>
        <v>3325385</v>
      </c>
      <c r="E7" s="51"/>
      <c r="F7" s="52"/>
      <c r="G7" s="52"/>
    </row>
    <row r="8" spans="1:7" s="9" customFormat="1" ht="15.75" customHeight="1" x14ac:dyDescent="0.25">
      <c r="A8" s="1"/>
      <c r="B8" s="3"/>
      <c r="C8" s="39"/>
      <c r="D8" s="48"/>
      <c r="E8" s="51"/>
      <c r="F8" s="52"/>
      <c r="G8" s="52"/>
    </row>
    <row r="9" spans="1:7" s="9" customFormat="1" ht="15.75" customHeight="1" x14ac:dyDescent="0.25">
      <c r="A9" s="1"/>
      <c r="B9" s="3"/>
      <c r="C9" s="39" t="s">
        <v>1039</v>
      </c>
      <c r="D9" s="44">
        <f>SUM(D10:D18)</f>
        <v>16910</v>
      </c>
      <c r="E9" s="51"/>
      <c r="F9" s="52"/>
      <c r="G9" s="52"/>
    </row>
    <row r="10" spans="1:7" s="9" customFormat="1" ht="15.75" customHeight="1" x14ac:dyDescent="0.25">
      <c r="A10" s="1"/>
      <c r="B10" s="3"/>
      <c r="C10" s="40" t="s">
        <v>236</v>
      </c>
      <c r="D10" s="45">
        <v>971</v>
      </c>
      <c r="E10" s="51"/>
      <c r="F10" s="52"/>
      <c r="G10" s="52"/>
    </row>
    <row r="11" spans="1:7" s="9" customFormat="1" ht="15.75" customHeight="1" x14ac:dyDescent="0.25">
      <c r="A11" s="1"/>
      <c r="B11" s="3"/>
      <c r="C11" s="40" t="s">
        <v>1040</v>
      </c>
      <c r="D11" s="45">
        <v>943</v>
      </c>
      <c r="E11" s="51"/>
      <c r="F11" s="52"/>
      <c r="G11" s="52"/>
    </row>
    <row r="12" spans="1:7" s="10" customFormat="1" ht="15.75" customHeight="1" x14ac:dyDescent="0.25">
      <c r="A12" s="1"/>
      <c r="B12" s="3"/>
      <c r="C12" s="40" t="s">
        <v>276</v>
      </c>
      <c r="D12" s="45">
        <v>2595</v>
      </c>
      <c r="E12" s="51"/>
      <c r="F12" s="52"/>
      <c r="G12" s="52"/>
    </row>
    <row r="13" spans="1:7" s="10" customFormat="1" ht="15.75" customHeight="1" x14ac:dyDescent="0.25">
      <c r="A13" s="1"/>
      <c r="B13" s="3"/>
      <c r="C13" s="40" t="s">
        <v>155</v>
      </c>
      <c r="D13" s="45">
        <v>1852</v>
      </c>
      <c r="E13" s="51"/>
      <c r="F13" s="52"/>
      <c r="G13" s="52"/>
    </row>
    <row r="14" spans="1:7" s="10" customFormat="1" ht="15.75" customHeight="1" x14ac:dyDescent="0.25">
      <c r="A14" s="1"/>
      <c r="B14" s="3"/>
      <c r="C14" s="40" t="s">
        <v>924</v>
      </c>
      <c r="D14" s="45">
        <v>2102</v>
      </c>
      <c r="E14" s="51"/>
      <c r="F14" s="52"/>
      <c r="G14" s="52"/>
    </row>
    <row r="15" spans="1:7" s="10" customFormat="1" ht="15.75" customHeight="1" x14ac:dyDescent="0.25">
      <c r="A15" s="1"/>
      <c r="B15" s="3"/>
      <c r="C15" s="40" t="s">
        <v>1041</v>
      </c>
      <c r="D15" s="45">
        <v>3239</v>
      </c>
      <c r="E15" s="51"/>
      <c r="F15" s="52"/>
      <c r="G15" s="52"/>
    </row>
    <row r="16" spans="1:7" s="10" customFormat="1" ht="15.75" customHeight="1" x14ac:dyDescent="0.25">
      <c r="A16" s="1"/>
      <c r="B16" s="3"/>
      <c r="C16" s="40" t="s">
        <v>2</v>
      </c>
      <c r="D16" s="45">
        <v>2712</v>
      </c>
      <c r="E16" s="51"/>
      <c r="F16" s="52"/>
      <c r="G16" s="52"/>
    </row>
    <row r="17" spans="1:7" s="10" customFormat="1" ht="15.75" customHeight="1" x14ac:dyDescent="0.25">
      <c r="A17" s="1"/>
      <c r="B17" s="3"/>
      <c r="C17" s="40" t="s">
        <v>119</v>
      </c>
      <c r="D17" s="45">
        <v>1783</v>
      </c>
      <c r="E17" s="51"/>
      <c r="F17" s="52"/>
      <c r="G17" s="52"/>
    </row>
    <row r="18" spans="1:7" s="10" customFormat="1" ht="15.75" customHeight="1" x14ac:dyDescent="0.25">
      <c r="A18" s="1"/>
      <c r="B18" s="3"/>
      <c r="C18" s="40" t="s">
        <v>1042</v>
      </c>
      <c r="D18" s="45">
        <v>713</v>
      </c>
      <c r="E18" s="51"/>
      <c r="F18" s="52"/>
      <c r="G18" s="52"/>
    </row>
    <row r="19" spans="1:7" s="10" customFormat="1" ht="15.75" customHeight="1" x14ac:dyDescent="0.25">
      <c r="A19" s="1"/>
      <c r="B19" s="3"/>
      <c r="C19" s="40"/>
      <c r="D19" s="46"/>
      <c r="E19" s="51"/>
      <c r="F19" s="52"/>
      <c r="G19" s="52"/>
    </row>
    <row r="20" spans="1:7" s="10" customFormat="1" ht="15.75" customHeight="1" x14ac:dyDescent="0.25">
      <c r="A20" s="1"/>
      <c r="B20" s="3"/>
      <c r="C20" s="39" t="s">
        <v>1043</v>
      </c>
      <c r="D20" s="57">
        <f>SUM(D21:D28)</f>
        <v>19186</v>
      </c>
      <c r="E20" s="51"/>
      <c r="F20" s="52"/>
      <c r="G20" s="52"/>
    </row>
    <row r="21" spans="1:7" s="10" customFormat="1" ht="15.75" customHeight="1" x14ac:dyDescent="0.25">
      <c r="A21" s="1"/>
      <c r="B21" s="3"/>
      <c r="C21" s="40" t="s">
        <v>138</v>
      </c>
      <c r="D21" s="45">
        <v>2323</v>
      </c>
      <c r="E21" s="51"/>
      <c r="F21" s="52"/>
      <c r="G21" s="52"/>
    </row>
    <row r="22" spans="1:7" s="10" customFormat="1" ht="15.75" customHeight="1" x14ac:dyDescent="0.25">
      <c r="A22" s="1"/>
      <c r="B22" s="3"/>
      <c r="C22" s="40" t="s">
        <v>1044</v>
      </c>
      <c r="D22" s="45">
        <v>2392</v>
      </c>
      <c r="E22" s="51"/>
      <c r="F22" s="52"/>
      <c r="G22" s="52"/>
    </row>
    <row r="23" spans="1:7" s="10" customFormat="1" ht="15.75" customHeight="1" x14ac:dyDescent="0.25">
      <c r="A23" s="1"/>
      <c r="B23" s="3"/>
      <c r="C23" s="40" t="s">
        <v>1045</v>
      </c>
      <c r="D23" s="45">
        <v>1827</v>
      </c>
      <c r="E23" s="51"/>
      <c r="F23" s="52"/>
      <c r="G23" s="52"/>
    </row>
    <row r="24" spans="1:7" s="10" customFormat="1" ht="15.75" customHeight="1" x14ac:dyDescent="0.25">
      <c r="A24" s="1"/>
      <c r="B24" s="3"/>
      <c r="C24" s="40" t="s">
        <v>1046</v>
      </c>
      <c r="D24" s="45">
        <v>3631</v>
      </c>
      <c r="E24" s="51"/>
      <c r="F24" s="52"/>
      <c r="G24" s="52"/>
    </row>
    <row r="25" spans="1:7" s="10" customFormat="1" ht="15.75" customHeight="1" x14ac:dyDescent="0.25">
      <c r="A25" s="1"/>
      <c r="B25" s="3"/>
      <c r="C25" s="40" t="s">
        <v>1047</v>
      </c>
      <c r="D25" s="45">
        <v>1884</v>
      </c>
      <c r="E25" s="51"/>
      <c r="F25" s="52"/>
      <c r="G25" s="52"/>
    </row>
    <row r="26" spans="1:7" s="10" customFormat="1" ht="15.75" customHeight="1" x14ac:dyDescent="0.25">
      <c r="A26" s="1"/>
      <c r="B26" s="3"/>
      <c r="C26" s="40" t="s">
        <v>2</v>
      </c>
      <c r="D26" s="45">
        <v>3943</v>
      </c>
      <c r="E26" s="51"/>
      <c r="F26" s="52"/>
      <c r="G26" s="52"/>
    </row>
    <row r="27" spans="1:7" s="10" customFormat="1" ht="15.75" customHeight="1" x14ac:dyDescent="0.25">
      <c r="A27" s="1"/>
      <c r="B27" s="3"/>
      <c r="C27" s="40" t="s">
        <v>1048</v>
      </c>
      <c r="D27" s="45">
        <v>2669</v>
      </c>
      <c r="E27" s="51"/>
      <c r="F27" s="52"/>
      <c r="G27" s="52"/>
    </row>
    <row r="28" spans="1:7" s="11" customFormat="1" ht="15.75" customHeight="1" x14ac:dyDescent="0.25">
      <c r="A28" s="1"/>
      <c r="B28" s="3"/>
      <c r="C28" s="40" t="s">
        <v>16</v>
      </c>
      <c r="D28" s="45">
        <v>517</v>
      </c>
      <c r="E28" s="51"/>
      <c r="F28" s="52"/>
      <c r="G28" s="52"/>
    </row>
    <row r="29" spans="1:7" s="11" customFormat="1" ht="15.75" customHeight="1" x14ac:dyDescent="0.25">
      <c r="A29" s="1"/>
      <c r="B29" s="3"/>
      <c r="C29" s="40"/>
      <c r="D29" s="45"/>
      <c r="E29" s="51"/>
      <c r="F29" s="52"/>
      <c r="G29" s="52"/>
    </row>
    <row r="30" spans="1:7" s="9" customFormat="1" ht="15.75" customHeight="1" x14ac:dyDescent="0.25">
      <c r="A30" s="1"/>
      <c r="B30" s="3"/>
      <c r="C30" s="39" t="s">
        <v>1049</v>
      </c>
      <c r="D30" s="44">
        <f>SUM(D31:D39)</f>
        <v>25620</v>
      </c>
      <c r="E30" s="51"/>
      <c r="F30" s="52"/>
      <c r="G30" s="52"/>
    </row>
    <row r="31" spans="1:7" s="12" customFormat="1" ht="15.75" customHeight="1" x14ac:dyDescent="0.25">
      <c r="A31" s="1"/>
      <c r="B31" s="3"/>
      <c r="C31" s="40" t="s">
        <v>1050</v>
      </c>
      <c r="D31" s="45">
        <v>1643</v>
      </c>
      <c r="E31" s="51"/>
      <c r="F31" s="52"/>
      <c r="G31" s="52"/>
    </row>
    <row r="32" spans="1:7" s="10" customFormat="1" ht="15.75" customHeight="1" x14ac:dyDescent="0.25">
      <c r="A32" s="1"/>
      <c r="B32" s="3"/>
      <c r="C32" s="40" t="s">
        <v>53</v>
      </c>
      <c r="D32" s="45">
        <v>2919</v>
      </c>
      <c r="E32" s="51"/>
      <c r="F32" s="52"/>
      <c r="G32" s="52"/>
    </row>
    <row r="33" spans="1:7" s="10" customFormat="1" ht="15.75" customHeight="1" x14ac:dyDescent="0.25">
      <c r="A33" s="1"/>
      <c r="B33" s="3"/>
      <c r="C33" s="40" t="s">
        <v>1051</v>
      </c>
      <c r="D33" s="45">
        <v>1893</v>
      </c>
      <c r="E33" s="51"/>
      <c r="F33" s="52"/>
      <c r="G33" s="52"/>
    </row>
    <row r="34" spans="1:7" s="10" customFormat="1" ht="15.75" customHeight="1" x14ac:dyDescent="0.25">
      <c r="A34" s="1"/>
      <c r="B34" s="3"/>
      <c r="C34" s="40" t="s">
        <v>1052</v>
      </c>
      <c r="D34" s="45">
        <v>2405</v>
      </c>
      <c r="E34" s="51"/>
      <c r="F34" s="52"/>
      <c r="G34" s="52"/>
    </row>
    <row r="35" spans="1:7" s="10" customFormat="1" ht="15.75" customHeight="1" x14ac:dyDescent="0.25">
      <c r="A35" s="1"/>
      <c r="B35" s="3"/>
      <c r="C35" s="40" t="s">
        <v>1053</v>
      </c>
      <c r="D35" s="45">
        <v>5239</v>
      </c>
      <c r="E35" s="51"/>
      <c r="F35" s="52"/>
      <c r="G35" s="52"/>
    </row>
    <row r="36" spans="1:7" s="10" customFormat="1" ht="15.75" customHeight="1" x14ac:dyDescent="0.25">
      <c r="A36" s="1"/>
      <c r="B36" s="3"/>
      <c r="C36" s="40" t="s">
        <v>1054</v>
      </c>
      <c r="D36" s="45">
        <v>1532</v>
      </c>
      <c r="E36" s="51"/>
      <c r="F36" s="52"/>
      <c r="G36" s="52"/>
    </row>
    <row r="37" spans="1:7" s="10" customFormat="1" ht="15.75" customHeight="1" x14ac:dyDescent="0.25">
      <c r="A37" s="1"/>
      <c r="B37" s="3"/>
      <c r="C37" s="40" t="s">
        <v>2</v>
      </c>
      <c r="D37" s="45">
        <v>2529</v>
      </c>
      <c r="E37" s="51"/>
      <c r="F37" s="52"/>
      <c r="G37" s="52"/>
    </row>
    <row r="38" spans="1:7" s="10" customFormat="1" ht="15.75" customHeight="1" x14ac:dyDescent="0.25">
      <c r="A38" s="1"/>
      <c r="B38" s="3"/>
      <c r="C38" s="40" t="s">
        <v>222</v>
      </c>
      <c r="D38" s="45">
        <v>3485</v>
      </c>
      <c r="E38" s="51"/>
      <c r="F38" s="52"/>
      <c r="G38" s="52"/>
    </row>
    <row r="39" spans="1:7" s="10" customFormat="1" ht="15.75" customHeight="1" x14ac:dyDescent="0.25">
      <c r="A39" s="1"/>
      <c r="B39" s="3"/>
      <c r="C39" s="40" t="s">
        <v>91</v>
      </c>
      <c r="D39" s="45">
        <v>3975</v>
      </c>
      <c r="E39" s="51"/>
      <c r="F39" s="52"/>
      <c r="G39" s="52"/>
    </row>
    <row r="40" spans="1:7" s="10" customFormat="1" ht="15.75" customHeight="1" x14ac:dyDescent="0.25">
      <c r="A40" s="1"/>
      <c r="B40" s="3"/>
      <c r="C40" s="40"/>
      <c r="D40" s="46"/>
      <c r="E40" s="51"/>
      <c r="F40" s="52"/>
      <c r="G40" s="52"/>
    </row>
    <row r="41" spans="1:7" s="10" customFormat="1" ht="15.75" customHeight="1" x14ac:dyDescent="0.25">
      <c r="A41" s="1"/>
      <c r="B41" s="3"/>
      <c r="C41" s="39" t="s">
        <v>1055</v>
      </c>
      <c r="D41" s="57">
        <f>SUM(D42:D56)</f>
        <v>34466</v>
      </c>
      <c r="E41" s="51"/>
      <c r="F41" s="52"/>
      <c r="G41" s="52"/>
    </row>
    <row r="42" spans="1:7" s="10" customFormat="1" ht="15.75" customHeight="1" x14ac:dyDescent="0.25">
      <c r="A42" s="1"/>
      <c r="B42" s="3"/>
      <c r="C42" s="40" t="s">
        <v>285</v>
      </c>
      <c r="D42" s="45">
        <v>2656</v>
      </c>
      <c r="E42" s="51"/>
      <c r="F42" s="52"/>
      <c r="G42" s="52"/>
    </row>
    <row r="43" spans="1:7" s="11" customFormat="1" ht="15.75" customHeight="1" x14ac:dyDescent="0.25">
      <c r="A43" s="1"/>
      <c r="B43" s="3"/>
      <c r="C43" s="40" t="s">
        <v>1056</v>
      </c>
      <c r="D43" s="45">
        <v>2218</v>
      </c>
      <c r="E43" s="51"/>
      <c r="F43" s="52"/>
      <c r="G43" s="52"/>
    </row>
    <row r="44" spans="1:7" s="9" customFormat="1" ht="15.75" customHeight="1" x14ac:dyDescent="0.25">
      <c r="A44" s="1"/>
      <c r="B44" s="3"/>
      <c r="C44" s="40" t="s">
        <v>43</v>
      </c>
      <c r="D44" s="45">
        <v>9023</v>
      </c>
      <c r="E44" s="51"/>
      <c r="F44" s="52"/>
      <c r="G44" s="52"/>
    </row>
    <row r="45" spans="1:7" s="10" customFormat="1" ht="15.75" customHeight="1" x14ac:dyDescent="0.25">
      <c r="A45" s="1"/>
      <c r="B45" s="3"/>
      <c r="C45" s="40" t="s">
        <v>114</v>
      </c>
      <c r="D45" s="45">
        <v>1853</v>
      </c>
      <c r="E45" s="51"/>
      <c r="F45" s="52"/>
      <c r="G45" s="52"/>
    </row>
    <row r="46" spans="1:7" s="10" customFormat="1" ht="15.75" customHeight="1" x14ac:dyDescent="0.25">
      <c r="A46" s="1"/>
      <c r="B46" s="3"/>
      <c r="C46" s="40" t="s">
        <v>1057</v>
      </c>
      <c r="D46" s="45">
        <v>867</v>
      </c>
      <c r="E46" s="51"/>
      <c r="F46" s="52"/>
      <c r="G46" s="52"/>
    </row>
    <row r="47" spans="1:7" s="10" customFormat="1" ht="15.75" customHeight="1" x14ac:dyDescent="0.25">
      <c r="A47" s="1"/>
      <c r="B47" s="3"/>
      <c r="C47" s="40" t="s">
        <v>1058</v>
      </c>
      <c r="D47" s="45">
        <v>1765</v>
      </c>
      <c r="E47" s="51"/>
      <c r="F47" s="52"/>
      <c r="G47" s="52"/>
    </row>
    <row r="48" spans="1:7" s="10" customFormat="1" ht="15.75" customHeight="1" x14ac:dyDescent="0.25">
      <c r="A48" s="1"/>
      <c r="B48" s="3"/>
      <c r="C48" s="40" t="s">
        <v>1059</v>
      </c>
      <c r="D48" s="45">
        <v>2450</v>
      </c>
      <c r="E48" s="51"/>
      <c r="F48" s="52"/>
      <c r="G48" s="52"/>
    </row>
    <row r="49" spans="1:7" s="10" customFormat="1" ht="15.75" customHeight="1" x14ac:dyDescent="0.25">
      <c r="A49" s="1"/>
      <c r="B49" s="3"/>
      <c r="C49" s="40" t="s">
        <v>204</v>
      </c>
      <c r="D49" s="45">
        <v>1047</v>
      </c>
      <c r="E49" s="51"/>
      <c r="F49" s="52"/>
      <c r="G49" s="52"/>
    </row>
    <row r="50" spans="1:7" s="10" customFormat="1" ht="15.75" customHeight="1" x14ac:dyDescent="0.25">
      <c r="A50" s="1"/>
      <c r="B50" s="3"/>
      <c r="C50" s="40" t="s">
        <v>2</v>
      </c>
      <c r="D50" s="45">
        <v>3727</v>
      </c>
      <c r="E50" s="51"/>
      <c r="F50" s="52"/>
      <c r="G50" s="52"/>
    </row>
    <row r="51" spans="1:7" s="10" customFormat="1" ht="15.75" customHeight="1" x14ac:dyDescent="0.25">
      <c r="A51" s="1"/>
      <c r="B51" s="3"/>
      <c r="C51" s="40" t="s">
        <v>1060</v>
      </c>
      <c r="D51" s="45">
        <v>1537</v>
      </c>
      <c r="E51" s="51"/>
      <c r="F51" s="52"/>
      <c r="G51" s="52"/>
    </row>
    <row r="52" spans="1:7" s="10" customFormat="1" ht="15.75" customHeight="1" x14ac:dyDescent="0.25">
      <c r="A52" s="1"/>
      <c r="B52" s="3"/>
      <c r="C52" s="40" t="s">
        <v>132</v>
      </c>
      <c r="D52" s="45">
        <v>2198</v>
      </c>
      <c r="E52" s="51"/>
      <c r="F52" s="52"/>
      <c r="G52" s="52"/>
    </row>
    <row r="53" spans="1:7" s="10" customFormat="1" ht="15.75" customHeight="1" x14ac:dyDescent="0.25">
      <c r="A53" s="1"/>
      <c r="B53" s="3"/>
      <c r="C53" s="40" t="s">
        <v>1061</v>
      </c>
      <c r="D53" s="45">
        <v>1085</v>
      </c>
      <c r="E53" s="51"/>
      <c r="F53" s="52"/>
      <c r="G53" s="52"/>
    </row>
    <row r="54" spans="1:7" s="10" customFormat="1" ht="15.75" customHeight="1" x14ac:dyDescent="0.25">
      <c r="A54" s="1"/>
      <c r="B54" s="3"/>
      <c r="C54" s="40" t="s">
        <v>1062</v>
      </c>
      <c r="D54" s="45">
        <v>2150</v>
      </c>
      <c r="E54" s="51"/>
      <c r="F54" s="52"/>
      <c r="G54" s="52"/>
    </row>
    <row r="55" spans="1:7" s="10" customFormat="1" ht="15.75" customHeight="1" x14ac:dyDescent="0.25">
      <c r="A55" s="1"/>
      <c r="B55" s="3"/>
      <c r="C55" s="40" t="s">
        <v>1063</v>
      </c>
      <c r="D55" s="45">
        <v>612</v>
      </c>
      <c r="E55" s="51"/>
      <c r="F55" s="52"/>
      <c r="G55" s="52"/>
    </row>
    <row r="56" spans="1:7" s="10" customFormat="1" ht="15.75" customHeight="1" x14ac:dyDescent="0.25">
      <c r="A56" s="1"/>
      <c r="B56" s="3"/>
      <c r="C56" s="40" t="s">
        <v>177</v>
      </c>
      <c r="D56" s="45">
        <v>1278</v>
      </c>
      <c r="E56" s="51"/>
      <c r="F56" s="52"/>
      <c r="G56" s="52"/>
    </row>
    <row r="57" spans="1:7" s="10" customFormat="1" ht="15.75" customHeight="1" x14ac:dyDescent="0.25">
      <c r="A57" s="1"/>
      <c r="B57" s="3"/>
      <c r="C57" s="40"/>
      <c r="D57" s="46"/>
      <c r="E57" s="51"/>
      <c r="F57" s="52"/>
      <c r="G57" s="52"/>
    </row>
    <row r="58" spans="1:7" s="10" customFormat="1" ht="15.75" customHeight="1" x14ac:dyDescent="0.25">
      <c r="A58" s="1"/>
      <c r="B58" s="3"/>
      <c r="C58" s="39" t="s">
        <v>1064</v>
      </c>
      <c r="D58" s="57">
        <f>SUM(D59:D103)</f>
        <v>78187</v>
      </c>
      <c r="E58" s="51"/>
      <c r="F58" s="52"/>
      <c r="G58" s="52"/>
    </row>
    <row r="59" spans="1:7" s="10" customFormat="1" ht="15.75" customHeight="1" x14ac:dyDescent="0.25">
      <c r="A59" s="1"/>
      <c r="B59" s="3"/>
      <c r="C59" s="40" t="s">
        <v>1065</v>
      </c>
      <c r="D59" s="45">
        <v>1655</v>
      </c>
      <c r="E59" s="51"/>
      <c r="F59" s="52"/>
      <c r="G59" s="52"/>
    </row>
    <row r="60" spans="1:7" s="10" customFormat="1" ht="15.75" customHeight="1" x14ac:dyDescent="0.25">
      <c r="A60" s="1"/>
      <c r="B60" s="3"/>
      <c r="C60" s="40" t="s">
        <v>1066</v>
      </c>
      <c r="D60" s="45">
        <v>911</v>
      </c>
      <c r="E60" s="51"/>
      <c r="F60" s="52"/>
      <c r="G60" s="52"/>
    </row>
    <row r="61" spans="1:7" s="10" customFormat="1" ht="15.75" customHeight="1" x14ac:dyDescent="0.25">
      <c r="A61" s="1"/>
      <c r="B61" s="3"/>
      <c r="C61" s="40" t="s">
        <v>1067</v>
      </c>
      <c r="D61" s="45">
        <v>654</v>
      </c>
      <c r="E61" s="51"/>
      <c r="F61" s="52"/>
      <c r="G61" s="52"/>
    </row>
    <row r="62" spans="1:7" s="10" customFormat="1" ht="15.75" customHeight="1" x14ac:dyDescent="0.25">
      <c r="A62" s="1"/>
      <c r="B62" s="3"/>
      <c r="C62" s="40" t="s">
        <v>1068</v>
      </c>
      <c r="D62" s="45">
        <v>892</v>
      </c>
      <c r="E62" s="51"/>
      <c r="F62" s="52"/>
      <c r="G62" s="52"/>
    </row>
    <row r="63" spans="1:7" s="10" customFormat="1" ht="15.75" customHeight="1" x14ac:dyDescent="0.25">
      <c r="A63" s="1"/>
      <c r="B63" s="3"/>
      <c r="C63" s="40" t="s">
        <v>1069</v>
      </c>
      <c r="D63" s="45">
        <v>2275</v>
      </c>
      <c r="E63" s="51"/>
      <c r="F63" s="52"/>
      <c r="G63" s="52"/>
    </row>
    <row r="64" spans="1:7" s="10" customFormat="1" ht="15.75" customHeight="1" x14ac:dyDescent="0.25">
      <c r="A64" s="1"/>
      <c r="B64" s="3"/>
      <c r="C64" s="40" t="s">
        <v>1070</v>
      </c>
      <c r="D64" s="45">
        <v>4067</v>
      </c>
      <c r="E64" s="51"/>
      <c r="F64" s="52"/>
      <c r="G64" s="52"/>
    </row>
    <row r="65" spans="1:7" s="10" customFormat="1" ht="15.75" customHeight="1" x14ac:dyDescent="0.25">
      <c r="A65" s="1"/>
      <c r="B65" s="3"/>
      <c r="C65" s="40" t="s">
        <v>845</v>
      </c>
      <c r="D65" s="45">
        <v>3967</v>
      </c>
      <c r="E65" s="51"/>
      <c r="F65" s="52"/>
      <c r="G65" s="52"/>
    </row>
    <row r="66" spans="1:7" s="10" customFormat="1" ht="15.75" customHeight="1" x14ac:dyDescent="0.25">
      <c r="A66" s="1"/>
      <c r="B66" s="3"/>
      <c r="C66" s="40" t="s">
        <v>1071</v>
      </c>
      <c r="D66" s="45">
        <v>1011</v>
      </c>
      <c r="E66" s="51"/>
      <c r="F66" s="52"/>
      <c r="G66" s="52"/>
    </row>
    <row r="67" spans="1:7" s="12" customFormat="1" ht="15.75" customHeight="1" x14ac:dyDescent="0.25">
      <c r="A67" s="1"/>
      <c r="B67" s="3"/>
      <c r="C67" s="40" t="s">
        <v>202</v>
      </c>
      <c r="D67" s="45">
        <v>889</v>
      </c>
      <c r="E67" s="51"/>
      <c r="F67" s="52"/>
      <c r="G67" s="52"/>
    </row>
    <row r="68" spans="1:7" s="10" customFormat="1" ht="15.75" customHeight="1" x14ac:dyDescent="0.25">
      <c r="A68" s="1"/>
      <c r="B68" s="3"/>
      <c r="C68" s="40" t="s">
        <v>1072</v>
      </c>
      <c r="D68" s="45">
        <v>3943</v>
      </c>
      <c r="E68" s="51"/>
      <c r="F68" s="52"/>
      <c r="G68" s="52"/>
    </row>
    <row r="69" spans="1:7" s="10" customFormat="1" ht="15.75" customHeight="1" x14ac:dyDescent="0.25">
      <c r="A69" s="1"/>
      <c r="B69" s="3"/>
      <c r="C69" s="40" t="s">
        <v>1073</v>
      </c>
      <c r="D69" s="45">
        <v>1029</v>
      </c>
      <c r="E69" s="51"/>
      <c r="F69" s="52"/>
      <c r="G69" s="52"/>
    </row>
    <row r="70" spans="1:7" s="10" customFormat="1" ht="15.75" customHeight="1" x14ac:dyDescent="0.25">
      <c r="A70" s="1"/>
      <c r="B70" s="3"/>
      <c r="C70" s="40" t="s">
        <v>1074</v>
      </c>
      <c r="D70" s="45">
        <v>932</v>
      </c>
      <c r="E70" s="51"/>
      <c r="F70" s="52"/>
      <c r="G70" s="52"/>
    </row>
    <row r="71" spans="1:7" s="10" customFormat="1" ht="15.75" customHeight="1" x14ac:dyDescent="0.25">
      <c r="A71" s="1"/>
      <c r="B71" s="3"/>
      <c r="C71" s="40" t="s">
        <v>1075</v>
      </c>
      <c r="D71" s="45">
        <v>2731</v>
      </c>
      <c r="E71" s="51"/>
      <c r="F71" s="52"/>
      <c r="G71" s="52"/>
    </row>
    <row r="72" spans="1:7" s="10" customFormat="1" ht="15.75" customHeight="1" x14ac:dyDescent="0.25">
      <c r="A72" s="1"/>
      <c r="B72" s="3"/>
      <c r="C72" s="40" t="s">
        <v>1076</v>
      </c>
      <c r="D72" s="45">
        <v>2562</v>
      </c>
      <c r="E72" s="51"/>
      <c r="F72" s="52"/>
      <c r="G72" s="52"/>
    </row>
    <row r="73" spans="1:7" s="10" customFormat="1" ht="15.75" customHeight="1" x14ac:dyDescent="0.25">
      <c r="A73" s="1"/>
      <c r="B73" s="3"/>
      <c r="C73" s="40" t="s">
        <v>1077</v>
      </c>
      <c r="D73" s="45">
        <v>1146</v>
      </c>
      <c r="E73" s="51"/>
      <c r="F73" s="52"/>
      <c r="G73" s="52"/>
    </row>
    <row r="74" spans="1:7" s="10" customFormat="1" ht="15.75" customHeight="1" x14ac:dyDescent="0.25">
      <c r="A74" s="1"/>
      <c r="B74" s="3"/>
      <c r="C74" s="40" t="s">
        <v>79</v>
      </c>
      <c r="D74" s="45">
        <v>1040</v>
      </c>
      <c r="E74" s="51"/>
      <c r="F74" s="52"/>
      <c r="G74" s="52"/>
    </row>
    <row r="75" spans="1:7" s="10" customFormat="1" ht="15.75" customHeight="1" x14ac:dyDescent="0.25">
      <c r="A75" s="1"/>
      <c r="B75" s="3"/>
      <c r="C75" s="40" t="s">
        <v>1078</v>
      </c>
      <c r="D75" s="45">
        <v>645</v>
      </c>
      <c r="E75" s="51"/>
      <c r="F75" s="52"/>
      <c r="G75" s="52"/>
    </row>
    <row r="76" spans="1:7" s="10" customFormat="1" ht="15.75" customHeight="1" x14ac:dyDescent="0.25">
      <c r="A76" s="1"/>
      <c r="B76" s="3"/>
      <c r="C76" s="40" t="s">
        <v>1079</v>
      </c>
      <c r="D76" s="45">
        <v>1198</v>
      </c>
      <c r="E76" s="51"/>
      <c r="F76" s="52"/>
      <c r="G76" s="52"/>
    </row>
    <row r="77" spans="1:7" s="11" customFormat="1" ht="15.75" customHeight="1" x14ac:dyDescent="0.25">
      <c r="A77" s="1"/>
      <c r="B77" s="3"/>
      <c r="C77" s="40" t="s">
        <v>1080</v>
      </c>
      <c r="D77" s="45">
        <v>611</v>
      </c>
      <c r="E77" s="51"/>
      <c r="F77" s="52"/>
      <c r="G77" s="52"/>
    </row>
    <row r="78" spans="1:7" s="9" customFormat="1" ht="15.75" customHeight="1" x14ac:dyDescent="0.25">
      <c r="A78" s="1"/>
      <c r="B78" s="3"/>
      <c r="C78" s="40" t="s">
        <v>171</v>
      </c>
      <c r="D78" s="45">
        <v>1839</v>
      </c>
      <c r="E78" s="51"/>
      <c r="F78" s="52"/>
      <c r="G78" s="52"/>
    </row>
    <row r="79" spans="1:7" s="10" customFormat="1" ht="15.75" customHeight="1" x14ac:dyDescent="0.25">
      <c r="A79" s="1"/>
      <c r="B79" s="3"/>
      <c r="C79" s="40" t="s">
        <v>1081</v>
      </c>
      <c r="D79" s="45">
        <v>811</v>
      </c>
      <c r="E79" s="51"/>
      <c r="F79" s="52"/>
      <c r="G79" s="52"/>
    </row>
    <row r="80" spans="1:7" s="10" customFormat="1" ht="15.75" customHeight="1" x14ac:dyDescent="0.25">
      <c r="A80" s="1"/>
      <c r="B80" s="3"/>
      <c r="C80" s="40" t="s">
        <v>1082</v>
      </c>
      <c r="D80" s="45">
        <v>2741</v>
      </c>
      <c r="E80" s="51"/>
      <c r="F80" s="52"/>
      <c r="G80" s="52"/>
    </row>
    <row r="81" spans="1:7" s="10" customFormat="1" ht="15.75" customHeight="1" x14ac:dyDescent="0.25">
      <c r="A81" s="1"/>
      <c r="B81" s="3"/>
      <c r="C81" s="40" t="s">
        <v>1083</v>
      </c>
      <c r="D81" s="45">
        <v>998</v>
      </c>
      <c r="E81" s="51"/>
      <c r="F81" s="52"/>
      <c r="G81" s="52"/>
    </row>
    <row r="82" spans="1:7" s="10" customFormat="1" ht="15.75" customHeight="1" x14ac:dyDescent="0.25">
      <c r="A82" s="1"/>
      <c r="B82" s="3"/>
      <c r="C82" s="40" t="s">
        <v>1084</v>
      </c>
      <c r="D82" s="45">
        <v>2662</v>
      </c>
      <c r="E82" s="51"/>
      <c r="F82" s="52"/>
      <c r="G82" s="52"/>
    </row>
    <row r="83" spans="1:7" s="10" customFormat="1" ht="15.75" customHeight="1" x14ac:dyDescent="0.25">
      <c r="A83" s="1"/>
      <c r="B83" s="3"/>
      <c r="C83" s="40" t="s">
        <v>865</v>
      </c>
      <c r="D83" s="45">
        <v>3417</v>
      </c>
      <c r="E83" s="51"/>
      <c r="F83" s="52"/>
      <c r="G83" s="52"/>
    </row>
    <row r="84" spans="1:7" s="10" customFormat="1" ht="15.75" customHeight="1" x14ac:dyDescent="0.25">
      <c r="A84" s="1"/>
      <c r="B84" s="3"/>
      <c r="C84" s="40" t="s">
        <v>235</v>
      </c>
      <c r="D84" s="45">
        <v>768</v>
      </c>
      <c r="E84" s="51"/>
      <c r="F84" s="52"/>
      <c r="G84" s="52"/>
    </row>
    <row r="85" spans="1:7" s="10" customFormat="1" ht="15.75" customHeight="1" x14ac:dyDescent="0.25">
      <c r="A85" s="1"/>
      <c r="B85" s="3"/>
      <c r="C85" s="40" t="s">
        <v>1085</v>
      </c>
      <c r="D85" s="45">
        <v>605</v>
      </c>
      <c r="E85" s="51"/>
      <c r="F85" s="52"/>
      <c r="G85" s="52"/>
    </row>
    <row r="86" spans="1:7" s="10" customFormat="1" ht="15.75" customHeight="1" x14ac:dyDescent="0.25">
      <c r="A86" s="1"/>
      <c r="B86" s="3"/>
      <c r="C86" s="40" t="s">
        <v>1086</v>
      </c>
      <c r="D86" s="45">
        <v>1245</v>
      </c>
      <c r="E86" s="51"/>
      <c r="F86" s="52"/>
      <c r="G86" s="52"/>
    </row>
    <row r="87" spans="1:7" s="10" customFormat="1" ht="15.75" customHeight="1" x14ac:dyDescent="0.25">
      <c r="A87" s="1"/>
      <c r="B87" s="3"/>
      <c r="C87" s="40" t="s">
        <v>1087</v>
      </c>
      <c r="D87" s="45">
        <v>1071</v>
      </c>
      <c r="E87" s="51"/>
      <c r="F87" s="52"/>
      <c r="G87" s="52"/>
    </row>
    <row r="88" spans="1:7" s="10" customFormat="1" ht="15.75" customHeight="1" x14ac:dyDescent="0.25">
      <c r="A88" s="1"/>
      <c r="B88" s="3"/>
      <c r="C88" s="40" t="s">
        <v>146</v>
      </c>
      <c r="D88" s="45">
        <v>1487</v>
      </c>
      <c r="E88" s="51"/>
      <c r="F88" s="52"/>
      <c r="G88" s="52"/>
    </row>
    <row r="89" spans="1:7" s="10" customFormat="1" ht="15.75" customHeight="1" x14ac:dyDescent="0.25">
      <c r="A89" s="1"/>
      <c r="B89" s="3"/>
      <c r="C89" s="40" t="s">
        <v>1088</v>
      </c>
      <c r="D89" s="45">
        <v>722</v>
      </c>
      <c r="E89" s="51"/>
      <c r="F89" s="52"/>
      <c r="G89" s="52"/>
    </row>
    <row r="90" spans="1:7" s="10" customFormat="1" ht="15.75" customHeight="1" x14ac:dyDescent="0.25">
      <c r="A90" s="1"/>
      <c r="B90" s="3"/>
      <c r="C90" s="40" t="s">
        <v>1089</v>
      </c>
      <c r="D90" s="45">
        <v>944</v>
      </c>
      <c r="E90" s="51"/>
      <c r="F90" s="52"/>
      <c r="G90" s="52"/>
    </row>
    <row r="91" spans="1:7" s="10" customFormat="1" ht="15.75" customHeight="1" x14ac:dyDescent="0.25">
      <c r="A91" s="1"/>
      <c r="B91" s="3"/>
      <c r="C91" s="40" t="s">
        <v>432</v>
      </c>
      <c r="D91" s="45">
        <v>617</v>
      </c>
      <c r="E91" s="51"/>
      <c r="F91" s="52"/>
      <c r="G91" s="52"/>
    </row>
    <row r="92" spans="1:7" s="10" customFormat="1" ht="15.75" customHeight="1" x14ac:dyDescent="0.25">
      <c r="A92" s="1"/>
      <c r="B92" s="3"/>
      <c r="C92" s="40" t="s">
        <v>2</v>
      </c>
      <c r="D92" s="45">
        <v>6009</v>
      </c>
      <c r="E92" s="51"/>
      <c r="F92" s="52"/>
      <c r="G92" s="52"/>
    </row>
    <row r="93" spans="1:7" s="10" customFormat="1" ht="15.75" customHeight="1" x14ac:dyDescent="0.25">
      <c r="A93" s="1"/>
      <c r="B93" s="3"/>
      <c r="C93" s="40" t="s">
        <v>75</v>
      </c>
      <c r="D93" s="45">
        <v>797</v>
      </c>
      <c r="E93" s="51"/>
      <c r="F93" s="52"/>
      <c r="G93" s="52"/>
    </row>
    <row r="94" spans="1:7" s="10" customFormat="1" ht="15.75" customHeight="1" x14ac:dyDescent="0.25">
      <c r="A94" s="1"/>
      <c r="B94" s="3"/>
      <c r="C94" s="40" t="s">
        <v>1090</v>
      </c>
      <c r="D94" s="45">
        <v>1026</v>
      </c>
      <c r="E94" s="51"/>
      <c r="F94" s="52"/>
      <c r="G94" s="52"/>
    </row>
    <row r="95" spans="1:7" s="10" customFormat="1" ht="15.75" customHeight="1" x14ac:dyDescent="0.25">
      <c r="A95" s="1"/>
      <c r="B95" s="3"/>
      <c r="C95" s="40" t="s">
        <v>1091</v>
      </c>
      <c r="D95" s="45">
        <v>983</v>
      </c>
      <c r="E95" s="51"/>
      <c r="F95" s="52"/>
      <c r="G95" s="52"/>
    </row>
    <row r="96" spans="1:7" s="10" customFormat="1" ht="15.75" customHeight="1" x14ac:dyDescent="0.25">
      <c r="A96" s="1"/>
      <c r="B96" s="3"/>
      <c r="C96" s="40" t="s">
        <v>1092</v>
      </c>
      <c r="D96" s="45">
        <v>3937</v>
      </c>
      <c r="E96" s="51"/>
      <c r="F96" s="52"/>
      <c r="G96" s="52"/>
    </row>
    <row r="97" spans="1:7" s="10" customFormat="1" ht="15.75" customHeight="1" x14ac:dyDescent="0.25">
      <c r="A97" s="1"/>
      <c r="B97" s="3"/>
      <c r="C97" s="40" t="s">
        <v>1093</v>
      </c>
      <c r="D97" s="45">
        <v>1891</v>
      </c>
      <c r="E97" s="51"/>
      <c r="F97" s="52"/>
      <c r="G97" s="52"/>
    </row>
    <row r="98" spans="1:7" s="12" customFormat="1" ht="15.75" customHeight="1" x14ac:dyDescent="0.25">
      <c r="A98" s="1"/>
      <c r="B98" s="3"/>
      <c r="C98" s="40" t="s">
        <v>1094</v>
      </c>
      <c r="D98" s="45">
        <v>4233</v>
      </c>
      <c r="E98" s="51"/>
      <c r="F98" s="52"/>
      <c r="G98" s="52"/>
    </row>
    <row r="99" spans="1:7" s="10" customFormat="1" ht="15.75" customHeight="1" x14ac:dyDescent="0.25">
      <c r="A99" s="1"/>
      <c r="B99" s="3"/>
      <c r="C99" s="40" t="s">
        <v>193</v>
      </c>
      <c r="D99" s="45">
        <v>1104</v>
      </c>
      <c r="E99" s="51"/>
      <c r="F99" s="52"/>
      <c r="G99" s="52"/>
    </row>
    <row r="100" spans="1:7" s="11" customFormat="1" ht="15.75" customHeight="1" x14ac:dyDescent="0.25">
      <c r="A100" s="1"/>
      <c r="B100" s="3"/>
      <c r="C100" s="40" t="s">
        <v>689</v>
      </c>
      <c r="D100" s="45">
        <v>756</v>
      </c>
      <c r="E100" s="51"/>
      <c r="F100" s="52"/>
      <c r="G100" s="52"/>
    </row>
    <row r="101" spans="1:7" s="9" customFormat="1" ht="15.75" customHeight="1" x14ac:dyDescent="0.25">
      <c r="A101" s="1"/>
      <c r="B101" s="3"/>
      <c r="C101" s="40" t="s">
        <v>1095</v>
      </c>
      <c r="D101" s="45">
        <v>2992</v>
      </c>
      <c r="E101" s="51"/>
      <c r="F101" s="52"/>
      <c r="G101" s="52"/>
    </row>
    <row r="102" spans="1:7" s="10" customFormat="1" ht="15.75" customHeight="1" x14ac:dyDescent="0.25">
      <c r="A102" s="1"/>
      <c r="B102" s="3"/>
      <c r="C102" s="40" t="s">
        <v>1096</v>
      </c>
      <c r="D102" s="45">
        <v>1141</v>
      </c>
      <c r="E102" s="51"/>
      <c r="F102" s="52"/>
      <c r="G102" s="52"/>
    </row>
    <row r="103" spans="1:7" s="10" customFormat="1" ht="15.75" customHeight="1" x14ac:dyDescent="0.25">
      <c r="A103" s="1"/>
      <c r="B103" s="3"/>
      <c r="C103" s="40" t="s">
        <v>1097</v>
      </c>
      <c r="D103" s="45">
        <v>1233</v>
      </c>
      <c r="E103" s="51"/>
      <c r="F103" s="52"/>
      <c r="G103" s="52"/>
    </row>
    <row r="104" spans="1:7" s="10" customFormat="1" ht="15.75" customHeight="1" x14ac:dyDescent="0.25">
      <c r="A104" s="1"/>
      <c r="B104" s="3"/>
      <c r="C104" s="40"/>
      <c r="D104" s="46"/>
      <c r="E104" s="51"/>
      <c r="F104" s="52"/>
      <c r="G104" s="52"/>
    </row>
    <row r="105" spans="1:7" s="10" customFormat="1" ht="15.75" customHeight="1" x14ac:dyDescent="0.25">
      <c r="A105" s="1"/>
      <c r="B105" s="3"/>
      <c r="C105" s="39" t="s">
        <v>1098</v>
      </c>
      <c r="D105" s="57">
        <f>SUM(D106:D132)</f>
        <v>55397</v>
      </c>
      <c r="E105" s="51"/>
      <c r="F105" s="52"/>
      <c r="G105" s="52"/>
    </row>
    <row r="106" spans="1:7" s="10" customFormat="1" ht="15.75" customHeight="1" x14ac:dyDescent="0.25">
      <c r="A106" s="1"/>
      <c r="B106" s="3"/>
      <c r="C106" s="40" t="s">
        <v>1099</v>
      </c>
      <c r="D106" s="45">
        <v>933</v>
      </c>
      <c r="E106" s="51"/>
      <c r="F106" s="52"/>
      <c r="G106" s="52"/>
    </row>
    <row r="107" spans="1:7" s="10" customFormat="1" ht="15.75" customHeight="1" x14ac:dyDescent="0.25">
      <c r="A107" s="1"/>
      <c r="B107" s="3"/>
      <c r="C107" s="40" t="s">
        <v>1100</v>
      </c>
      <c r="D107" s="45">
        <v>1176</v>
      </c>
      <c r="E107" s="51"/>
      <c r="F107" s="52"/>
      <c r="G107" s="52"/>
    </row>
    <row r="108" spans="1:7" s="10" customFormat="1" ht="15.75" customHeight="1" x14ac:dyDescent="0.25">
      <c r="A108" s="1"/>
      <c r="B108" s="3"/>
      <c r="C108" s="40" t="s">
        <v>166</v>
      </c>
      <c r="D108" s="45">
        <v>2069</v>
      </c>
      <c r="E108" s="51"/>
      <c r="F108" s="52"/>
      <c r="G108" s="52"/>
    </row>
    <row r="109" spans="1:7" s="10" customFormat="1" ht="15.75" customHeight="1" x14ac:dyDescent="0.25">
      <c r="A109" s="1"/>
      <c r="B109" s="3"/>
      <c r="C109" s="40" t="s">
        <v>1101</v>
      </c>
      <c r="D109" s="45">
        <v>1017</v>
      </c>
      <c r="E109" s="51"/>
      <c r="F109" s="52"/>
      <c r="G109" s="52"/>
    </row>
    <row r="110" spans="1:7" s="10" customFormat="1" ht="15.75" customHeight="1" x14ac:dyDescent="0.25">
      <c r="A110" s="1"/>
      <c r="B110" s="3"/>
      <c r="C110" s="40" t="s">
        <v>109</v>
      </c>
      <c r="D110" s="45">
        <v>876</v>
      </c>
      <c r="E110" s="51"/>
      <c r="F110" s="52"/>
      <c r="G110" s="52"/>
    </row>
    <row r="111" spans="1:7" s="10" customFormat="1" ht="15.75" customHeight="1" x14ac:dyDescent="0.25">
      <c r="A111" s="1"/>
      <c r="B111" s="3"/>
      <c r="C111" s="40" t="s">
        <v>157</v>
      </c>
      <c r="D111" s="45">
        <v>733</v>
      </c>
      <c r="E111" s="51"/>
      <c r="F111" s="52"/>
      <c r="G111" s="52"/>
    </row>
    <row r="112" spans="1:7" s="10" customFormat="1" ht="15.75" customHeight="1" x14ac:dyDescent="0.25">
      <c r="A112" s="1"/>
      <c r="B112" s="3"/>
      <c r="C112" s="40" t="s">
        <v>1102</v>
      </c>
      <c r="D112" s="45">
        <v>460</v>
      </c>
      <c r="E112" s="51"/>
      <c r="F112" s="52"/>
      <c r="G112" s="52"/>
    </row>
    <row r="113" spans="1:7" s="10" customFormat="1" ht="15.75" customHeight="1" x14ac:dyDescent="0.25">
      <c r="A113" s="1"/>
      <c r="B113" s="3"/>
      <c r="C113" s="40" t="s">
        <v>1103</v>
      </c>
      <c r="D113" s="45">
        <v>862</v>
      </c>
      <c r="E113" s="51"/>
      <c r="F113" s="52"/>
      <c r="G113" s="52"/>
    </row>
    <row r="114" spans="1:7" s="10" customFormat="1" ht="15.75" customHeight="1" x14ac:dyDescent="0.25">
      <c r="A114" s="1"/>
      <c r="B114" s="3"/>
      <c r="C114" s="40" t="s">
        <v>1104</v>
      </c>
      <c r="D114" s="45">
        <v>802</v>
      </c>
      <c r="E114" s="51"/>
      <c r="F114" s="52"/>
      <c r="G114" s="52"/>
    </row>
    <row r="115" spans="1:7" s="10" customFormat="1" ht="15.75" customHeight="1" x14ac:dyDescent="0.25">
      <c r="A115" s="1"/>
      <c r="B115" s="3"/>
      <c r="C115" s="40" t="s">
        <v>235</v>
      </c>
      <c r="D115" s="45">
        <v>3983</v>
      </c>
      <c r="E115" s="51"/>
      <c r="F115" s="52"/>
      <c r="G115" s="52"/>
    </row>
    <row r="116" spans="1:7" s="10" customFormat="1" ht="15.75" customHeight="1" x14ac:dyDescent="0.25">
      <c r="A116" s="1"/>
      <c r="B116" s="3"/>
      <c r="C116" s="40" t="s">
        <v>1105</v>
      </c>
      <c r="D116" s="45">
        <v>2911</v>
      </c>
      <c r="E116" s="51"/>
      <c r="F116" s="52"/>
      <c r="G116" s="52"/>
    </row>
    <row r="117" spans="1:7" s="10" customFormat="1" ht="15.75" customHeight="1" x14ac:dyDescent="0.25">
      <c r="A117" s="1"/>
      <c r="B117" s="3"/>
      <c r="C117" s="40" t="s">
        <v>1106</v>
      </c>
      <c r="D117" s="45">
        <v>2683</v>
      </c>
      <c r="E117" s="51"/>
      <c r="F117" s="52"/>
      <c r="G117" s="52"/>
    </row>
    <row r="118" spans="1:7" s="10" customFormat="1" ht="15.75" customHeight="1" x14ac:dyDescent="0.25">
      <c r="A118" s="1"/>
      <c r="B118" s="3"/>
      <c r="C118" s="40" t="s">
        <v>1107</v>
      </c>
      <c r="D118" s="45">
        <v>769</v>
      </c>
      <c r="E118" s="51"/>
      <c r="F118" s="52"/>
      <c r="G118" s="52"/>
    </row>
    <row r="119" spans="1:7" s="11" customFormat="1" ht="15.75" customHeight="1" x14ac:dyDescent="0.25">
      <c r="A119" s="1"/>
      <c r="B119" s="3"/>
      <c r="C119" s="40" t="s">
        <v>1108</v>
      </c>
      <c r="D119" s="45">
        <v>2036</v>
      </c>
      <c r="E119" s="51"/>
      <c r="F119" s="52"/>
      <c r="G119" s="52"/>
    </row>
    <row r="120" spans="1:7" s="9" customFormat="1" ht="15.75" customHeight="1" x14ac:dyDescent="0.25">
      <c r="A120" s="1"/>
      <c r="B120" s="3"/>
      <c r="C120" s="40" t="s">
        <v>1109</v>
      </c>
      <c r="D120" s="45">
        <v>2028</v>
      </c>
      <c r="E120" s="51"/>
      <c r="F120" s="52"/>
      <c r="G120" s="52"/>
    </row>
    <row r="121" spans="1:7" s="10" customFormat="1" ht="15.75" customHeight="1" x14ac:dyDescent="0.25">
      <c r="A121" s="1"/>
      <c r="B121" s="3"/>
      <c r="C121" s="40" t="s">
        <v>188</v>
      </c>
      <c r="D121" s="45">
        <v>4891</v>
      </c>
      <c r="E121" s="51"/>
      <c r="F121" s="52"/>
      <c r="G121" s="52"/>
    </row>
    <row r="122" spans="1:7" s="12" customFormat="1" ht="15.75" customHeight="1" x14ac:dyDescent="0.25">
      <c r="A122" s="1"/>
      <c r="B122" s="3"/>
      <c r="C122" s="40" t="s">
        <v>2</v>
      </c>
      <c r="D122" s="45">
        <v>6702</v>
      </c>
      <c r="E122" s="51"/>
      <c r="F122" s="52"/>
      <c r="G122" s="52"/>
    </row>
    <row r="123" spans="1:7" s="10" customFormat="1" ht="15.75" customHeight="1" x14ac:dyDescent="0.25">
      <c r="A123" s="1"/>
      <c r="B123" s="3"/>
      <c r="C123" s="40" t="s">
        <v>1061</v>
      </c>
      <c r="D123" s="45">
        <v>315</v>
      </c>
      <c r="E123" s="51"/>
      <c r="F123" s="52"/>
      <c r="G123" s="52"/>
    </row>
    <row r="124" spans="1:7" s="10" customFormat="1" ht="15.75" customHeight="1" x14ac:dyDescent="0.25">
      <c r="A124" s="1"/>
      <c r="B124" s="3"/>
      <c r="C124" s="40" t="s">
        <v>5</v>
      </c>
      <c r="D124" s="45">
        <v>3069</v>
      </c>
      <c r="E124" s="51"/>
      <c r="F124" s="52"/>
      <c r="G124" s="52"/>
    </row>
    <row r="125" spans="1:7" s="10" customFormat="1" ht="15.75" customHeight="1" x14ac:dyDescent="0.25">
      <c r="A125" s="1"/>
      <c r="B125" s="3"/>
      <c r="C125" s="40" t="s">
        <v>17</v>
      </c>
      <c r="D125" s="45">
        <v>2978</v>
      </c>
      <c r="E125" s="51"/>
      <c r="F125" s="52"/>
      <c r="G125" s="52"/>
    </row>
    <row r="126" spans="1:7" s="10" customFormat="1" ht="15.75" customHeight="1" x14ac:dyDescent="0.25">
      <c r="A126" s="1"/>
      <c r="B126" s="3"/>
      <c r="C126" s="40" t="s">
        <v>1110</v>
      </c>
      <c r="D126" s="45">
        <v>4658</v>
      </c>
      <c r="E126" s="51"/>
      <c r="F126" s="52"/>
      <c r="G126" s="52"/>
    </row>
    <row r="127" spans="1:7" s="10" customFormat="1" ht="15.75" customHeight="1" x14ac:dyDescent="0.25">
      <c r="A127" s="1"/>
      <c r="B127" s="3"/>
      <c r="C127" s="40" t="s">
        <v>153</v>
      </c>
      <c r="D127" s="45">
        <v>1292</v>
      </c>
      <c r="E127" s="51"/>
      <c r="F127" s="52"/>
      <c r="G127" s="52"/>
    </row>
    <row r="128" spans="1:7" s="10" customFormat="1" ht="15.75" customHeight="1" x14ac:dyDescent="0.25">
      <c r="A128" s="1"/>
      <c r="B128" s="3"/>
      <c r="C128" s="40" t="s">
        <v>1111</v>
      </c>
      <c r="D128" s="45">
        <v>945</v>
      </c>
      <c r="E128" s="51"/>
      <c r="F128" s="52"/>
      <c r="G128" s="52"/>
    </row>
    <row r="129" spans="1:7" s="10" customFormat="1" ht="15.75" customHeight="1" x14ac:dyDescent="0.25">
      <c r="A129" s="1"/>
      <c r="B129" s="3"/>
      <c r="C129" s="40" t="s">
        <v>1112</v>
      </c>
      <c r="D129" s="45">
        <v>547</v>
      </c>
      <c r="E129" s="51"/>
      <c r="F129" s="52"/>
      <c r="G129" s="52"/>
    </row>
    <row r="130" spans="1:7" s="10" customFormat="1" ht="15.75" customHeight="1" x14ac:dyDescent="0.25">
      <c r="A130" s="1"/>
      <c r="B130" s="3"/>
      <c r="C130" s="40" t="s">
        <v>1113</v>
      </c>
      <c r="D130" s="45">
        <v>4857</v>
      </c>
      <c r="E130" s="51"/>
      <c r="F130" s="52"/>
      <c r="G130" s="52"/>
    </row>
    <row r="131" spans="1:7" s="10" customFormat="1" ht="15.75" customHeight="1" x14ac:dyDescent="0.25">
      <c r="A131" s="1"/>
      <c r="B131" s="3"/>
      <c r="C131" s="40" t="s">
        <v>104</v>
      </c>
      <c r="D131" s="45">
        <v>947</v>
      </c>
      <c r="E131" s="51"/>
      <c r="F131" s="52"/>
      <c r="G131" s="52"/>
    </row>
    <row r="132" spans="1:7" s="10" customFormat="1" ht="15.75" customHeight="1" x14ac:dyDescent="0.25">
      <c r="A132" s="1"/>
      <c r="B132" s="3"/>
      <c r="C132" s="40" t="s">
        <v>1114</v>
      </c>
      <c r="D132" s="45">
        <v>858</v>
      </c>
      <c r="E132" s="51"/>
      <c r="F132" s="52"/>
      <c r="G132" s="52"/>
    </row>
    <row r="133" spans="1:7" s="10" customFormat="1" ht="15.75" customHeight="1" x14ac:dyDescent="0.25">
      <c r="A133" s="1"/>
      <c r="B133" s="3"/>
      <c r="C133" s="40"/>
      <c r="D133" s="46"/>
      <c r="E133" s="51"/>
      <c r="F133" s="52"/>
      <c r="G133" s="52"/>
    </row>
    <row r="134" spans="1:7" s="10" customFormat="1" ht="15.75" customHeight="1" x14ac:dyDescent="0.25">
      <c r="A134" s="1"/>
      <c r="B134" s="3"/>
      <c r="C134" s="39" t="s">
        <v>1115</v>
      </c>
      <c r="D134" s="57">
        <f>SUM(D135:D163)</f>
        <v>43735</v>
      </c>
      <c r="E134" s="51"/>
      <c r="F134" s="52"/>
      <c r="G134" s="52"/>
    </row>
    <row r="135" spans="1:7" s="10" customFormat="1" ht="15.75" customHeight="1" x14ac:dyDescent="0.25">
      <c r="A135" s="1"/>
      <c r="B135" s="3"/>
      <c r="C135" s="40" t="s">
        <v>1116</v>
      </c>
      <c r="D135" s="45">
        <v>1210</v>
      </c>
      <c r="E135" s="51"/>
      <c r="F135" s="52"/>
      <c r="G135" s="52"/>
    </row>
    <row r="136" spans="1:7" s="10" customFormat="1" ht="15.75" customHeight="1" x14ac:dyDescent="0.25">
      <c r="A136" s="1"/>
      <c r="B136" s="3"/>
      <c r="C136" s="40" t="s">
        <v>1117</v>
      </c>
      <c r="D136" s="45">
        <v>478</v>
      </c>
      <c r="E136" s="51"/>
      <c r="F136" s="52"/>
      <c r="G136" s="52"/>
    </row>
    <row r="137" spans="1:7" s="10" customFormat="1" ht="15.75" customHeight="1" x14ac:dyDescent="0.25">
      <c r="A137" s="1"/>
      <c r="B137" s="3"/>
      <c r="C137" s="40" t="s">
        <v>1118</v>
      </c>
      <c r="D137" s="45">
        <v>3041</v>
      </c>
      <c r="E137" s="51"/>
      <c r="F137" s="52"/>
      <c r="G137" s="52"/>
    </row>
    <row r="138" spans="1:7" s="10" customFormat="1" ht="15.75" customHeight="1" x14ac:dyDescent="0.25">
      <c r="A138" s="1"/>
      <c r="B138" s="3"/>
      <c r="C138" s="40" t="s">
        <v>229</v>
      </c>
      <c r="D138" s="45">
        <v>1704</v>
      </c>
      <c r="E138" s="51"/>
      <c r="F138" s="52"/>
      <c r="G138" s="52"/>
    </row>
    <row r="139" spans="1:7" s="10" customFormat="1" ht="15.75" customHeight="1" x14ac:dyDescent="0.25">
      <c r="A139" s="1"/>
      <c r="B139" s="3"/>
      <c r="C139" s="40" t="s">
        <v>156</v>
      </c>
      <c r="D139" s="45">
        <v>1086</v>
      </c>
      <c r="E139" s="51"/>
      <c r="F139" s="52"/>
      <c r="G139" s="52"/>
    </row>
    <row r="140" spans="1:7" s="10" customFormat="1" ht="15.75" customHeight="1" x14ac:dyDescent="0.25">
      <c r="A140" s="1"/>
      <c r="B140" s="3"/>
      <c r="C140" s="40" t="s">
        <v>160</v>
      </c>
      <c r="D140" s="45">
        <v>1304</v>
      </c>
      <c r="E140" s="51"/>
      <c r="F140" s="52"/>
      <c r="G140" s="52"/>
    </row>
    <row r="141" spans="1:7" s="10" customFormat="1" ht="15.75" customHeight="1" x14ac:dyDescent="0.25">
      <c r="A141" s="1"/>
      <c r="B141" s="3"/>
      <c r="C141" s="40" t="s">
        <v>1119</v>
      </c>
      <c r="D141" s="45">
        <v>3199</v>
      </c>
      <c r="E141" s="51"/>
      <c r="F141" s="52"/>
      <c r="G141" s="52"/>
    </row>
    <row r="142" spans="1:7" s="10" customFormat="1" ht="15.75" customHeight="1" x14ac:dyDescent="0.25">
      <c r="A142" s="1"/>
      <c r="B142" s="3"/>
      <c r="C142" s="40" t="s">
        <v>128</v>
      </c>
      <c r="D142" s="45">
        <v>624</v>
      </c>
      <c r="E142" s="51"/>
      <c r="F142" s="52"/>
      <c r="G142" s="52"/>
    </row>
    <row r="143" spans="1:7" s="10" customFormat="1" ht="15.75" customHeight="1" x14ac:dyDescent="0.25">
      <c r="A143" s="1"/>
      <c r="B143" s="3"/>
      <c r="C143" s="40" t="s">
        <v>1120</v>
      </c>
      <c r="D143" s="45">
        <v>1235</v>
      </c>
      <c r="E143" s="51"/>
      <c r="F143" s="52"/>
      <c r="G143" s="52"/>
    </row>
    <row r="144" spans="1:7" s="10" customFormat="1" ht="15.75" customHeight="1" x14ac:dyDescent="0.25">
      <c r="A144" s="1"/>
      <c r="B144" s="3"/>
      <c r="C144" s="40" t="s">
        <v>1121</v>
      </c>
      <c r="D144" s="45">
        <v>1492</v>
      </c>
      <c r="E144" s="51"/>
      <c r="F144" s="52"/>
      <c r="G144" s="52"/>
    </row>
    <row r="145" spans="1:7" s="10" customFormat="1" ht="15.75" customHeight="1" x14ac:dyDescent="0.25">
      <c r="A145" s="1"/>
      <c r="B145" s="3"/>
      <c r="C145" s="40" t="s">
        <v>1122</v>
      </c>
      <c r="D145" s="45">
        <v>1236</v>
      </c>
      <c r="E145" s="51"/>
      <c r="F145" s="52"/>
      <c r="G145" s="52"/>
    </row>
    <row r="146" spans="1:7" s="10" customFormat="1" ht="15.75" customHeight="1" x14ac:dyDescent="0.25">
      <c r="A146" s="1"/>
      <c r="B146" s="3"/>
      <c r="C146" s="40" t="s">
        <v>1123</v>
      </c>
      <c r="D146" s="45">
        <v>660</v>
      </c>
      <c r="E146" s="51"/>
      <c r="F146" s="52"/>
      <c r="G146" s="52"/>
    </row>
    <row r="147" spans="1:7" s="10" customFormat="1" ht="15.75" customHeight="1" x14ac:dyDescent="0.25">
      <c r="A147" s="1"/>
      <c r="B147" s="3"/>
      <c r="C147" s="40" t="s">
        <v>1124</v>
      </c>
      <c r="D147" s="45">
        <v>1707</v>
      </c>
      <c r="E147" s="51"/>
      <c r="F147" s="52"/>
      <c r="G147" s="52"/>
    </row>
    <row r="148" spans="1:7" s="10" customFormat="1" ht="15.75" customHeight="1" x14ac:dyDescent="0.25">
      <c r="A148" s="1"/>
      <c r="B148" s="3"/>
      <c r="C148" s="40" t="s">
        <v>1125</v>
      </c>
      <c r="D148" s="45">
        <v>1067</v>
      </c>
      <c r="E148" s="51"/>
      <c r="F148" s="52"/>
      <c r="G148" s="52"/>
    </row>
    <row r="149" spans="1:7" s="10" customFormat="1" ht="15.75" customHeight="1" x14ac:dyDescent="0.25">
      <c r="A149" s="1"/>
      <c r="B149" s="3"/>
      <c r="C149" s="40" t="s">
        <v>1126</v>
      </c>
      <c r="D149" s="45">
        <v>3790</v>
      </c>
      <c r="E149" s="51"/>
      <c r="F149" s="52"/>
      <c r="G149" s="52"/>
    </row>
    <row r="150" spans="1:7" s="10" customFormat="1" ht="15.75" customHeight="1" x14ac:dyDescent="0.25">
      <c r="A150" s="1"/>
      <c r="B150" s="3"/>
      <c r="C150" s="40" t="s">
        <v>1127</v>
      </c>
      <c r="D150" s="45">
        <v>1797</v>
      </c>
      <c r="E150" s="51"/>
      <c r="F150" s="52"/>
      <c r="G150" s="52"/>
    </row>
    <row r="151" spans="1:7" s="10" customFormat="1" ht="15.75" customHeight="1" x14ac:dyDescent="0.25">
      <c r="A151" s="1"/>
      <c r="B151" s="3"/>
      <c r="C151" s="40" t="s">
        <v>1128</v>
      </c>
      <c r="D151" s="45">
        <v>1008</v>
      </c>
      <c r="E151" s="51"/>
      <c r="F151" s="52"/>
      <c r="G151" s="52"/>
    </row>
    <row r="152" spans="1:7" s="10" customFormat="1" ht="15.75" customHeight="1" x14ac:dyDescent="0.25">
      <c r="A152" s="1"/>
      <c r="B152" s="3"/>
      <c r="C152" s="40" t="s">
        <v>1129</v>
      </c>
      <c r="D152" s="45">
        <v>958</v>
      </c>
      <c r="E152" s="51"/>
      <c r="F152" s="52"/>
      <c r="G152" s="52"/>
    </row>
    <row r="153" spans="1:7" s="12" customFormat="1" ht="15.75" customHeight="1" x14ac:dyDescent="0.25">
      <c r="A153" s="1"/>
      <c r="B153" s="3"/>
      <c r="C153" s="40" t="s">
        <v>2</v>
      </c>
      <c r="D153" s="45">
        <v>4291</v>
      </c>
      <c r="E153" s="51"/>
      <c r="F153" s="52"/>
      <c r="G153" s="52"/>
    </row>
    <row r="154" spans="1:7" s="10" customFormat="1" ht="15.75" customHeight="1" x14ac:dyDescent="0.25">
      <c r="A154" s="1"/>
      <c r="B154" s="3"/>
      <c r="C154" s="40" t="s">
        <v>1130</v>
      </c>
      <c r="D154" s="45">
        <v>985</v>
      </c>
      <c r="E154" s="51"/>
      <c r="F154" s="52"/>
      <c r="G154" s="52"/>
    </row>
    <row r="155" spans="1:7" s="10" customFormat="1" ht="15.75" customHeight="1" x14ac:dyDescent="0.25">
      <c r="A155" s="1"/>
      <c r="B155" s="3"/>
      <c r="C155" s="40" t="s">
        <v>1131</v>
      </c>
      <c r="D155" s="45">
        <v>671</v>
      </c>
      <c r="E155" s="51"/>
      <c r="F155" s="52"/>
      <c r="G155" s="52"/>
    </row>
    <row r="156" spans="1:7" s="10" customFormat="1" ht="15.75" customHeight="1" x14ac:dyDescent="0.25">
      <c r="A156" s="1"/>
      <c r="B156" s="3"/>
      <c r="C156" s="40" t="s">
        <v>181</v>
      </c>
      <c r="D156" s="45">
        <v>1153</v>
      </c>
      <c r="E156" s="51"/>
      <c r="F156" s="52"/>
      <c r="G156" s="52"/>
    </row>
    <row r="157" spans="1:7" s="10" customFormat="1" ht="15.75" customHeight="1" x14ac:dyDescent="0.25">
      <c r="A157" s="1"/>
      <c r="B157" s="3"/>
      <c r="C157" s="40" t="s">
        <v>1132</v>
      </c>
      <c r="D157" s="45">
        <v>575</v>
      </c>
      <c r="E157" s="51"/>
      <c r="F157" s="52"/>
      <c r="G157" s="52"/>
    </row>
    <row r="158" spans="1:7" s="10" customFormat="1" ht="15.75" customHeight="1" x14ac:dyDescent="0.25">
      <c r="A158" s="1"/>
      <c r="B158" s="3"/>
      <c r="C158" s="40" t="s">
        <v>1133</v>
      </c>
      <c r="D158" s="45">
        <v>955</v>
      </c>
      <c r="E158" s="51"/>
      <c r="F158" s="52"/>
      <c r="G158" s="52"/>
    </row>
    <row r="159" spans="1:7" s="11" customFormat="1" ht="15.75" customHeight="1" x14ac:dyDescent="0.25">
      <c r="A159" s="1"/>
      <c r="B159" s="3"/>
      <c r="C159" s="40" t="s">
        <v>197</v>
      </c>
      <c r="D159" s="45">
        <v>2544</v>
      </c>
      <c r="E159" s="51"/>
      <c r="F159" s="52"/>
      <c r="G159" s="52"/>
    </row>
    <row r="160" spans="1:7" s="9" customFormat="1" ht="15.75" customHeight="1" x14ac:dyDescent="0.25">
      <c r="A160" s="1"/>
      <c r="B160" s="3"/>
      <c r="C160" s="40" t="s">
        <v>92</v>
      </c>
      <c r="D160" s="45">
        <v>1016</v>
      </c>
      <c r="E160" s="51"/>
      <c r="F160" s="52"/>
      <c r="G160" s="52"/>
    </row>
    <row r="161" spans="1:7" s="10" customFormat="1" ht="15.75" customHeight="1" x14ac:dyDescent="0.25">
      <c r="A161" s="1"/>
      <c r="B161" s="3"/>
      <c r="C161" s="40" t="s">
        <v>193</v>
      </c>
      <c r="D161" s="45">
        <v>560</v>
      </c>
      <c r="E161" s="51"/>
      <c r="F161" s="52"/>
      <c r="G161" s="52"/>
    </row>
    <row r="162" spans="1:7" s="10" customFormat="1" ht="15.75" customHeight="1" x14ac:dyDescent="0.25">
      <c r="A162" s="1"/>
      <c r="B162" s="3"/>
      <c r="C162" s="40" t="s">
        <v>104</v>
      </c>
      <c r="D162" s="45">
        <v>1331</v>
      </c>
      <c r="E162" s="51"/>
      <c r="F162" s="52"/>
      <c r="G162" s="52"/>
    </row>
    <row r="163" spans="1:7" s="10" customFormat="1" ht="15.75" customHeight="1" x14ac:dyDescent="0.25">
      <c r="A163" s="1"/>
      <c r="B163" s="3"/>
      <c r="C163" s="40" t="s">
        <v>177</v>
      </c>
      <c r="D163" s="45">
        <v>2058</v>
      </c>
      <c r="E163" s="51"/>
      <c r="F163" s="52"/>
      <c r="G163" s="52"/>
    </row>
    <row r="164" spans="1:7" s="10" customFormat="1" ht="15.75" customHeight="1" x14ac:dyDescent="0.25">
      <c r="A164" s="1"/>
      <c r="B164" s="3"/>
      <c r="C164" s="40"/>
      <c r="D164" s="46"/>
      <c r="E164" s="51"/>
      <c r="F164" s="52"/>
      <c r="G164" s="52"/>
    </row>
    <row r="165" spans="1:7" s="10" customFormat="1" ht="15.75" customHeight="1" x14ac:dyDescent="0.25">
      <c r="A165" s="1"/>
      <c r="B165" s="3"/>
      <c r="C165" s="39" t="s">
        <v>1134</v>
      </c>
      <c r="D165" s="57">
        <f>SUM(D166:D193)</f>
        <v>95136</v>
      </c>
      <c r="E165" s="51"/>
      <c r="F165" s="52"/>
      <c r="G165" s="52"/>
    </row>
    <row r="166" spans="1:7" s="10" customFormat="1" ht="15.75" customHeight="1" x14ac:dyDescent="0.25">
      <c r="A166" s="1"/>
      <c r="B166" s="3"/>
      <c r="C166" s="40" t="s">
        <v>1135</v>
      </c>
      <c r="D166" s="45">
        <v>6111</v>
      </c>
      <c r="E166" s="51"/>
      <c r="F166" s="52"/>
      <c r="G166" s="52"/>
    </row>
    <row r="167" spans="1:7" s="10" customFormat="1" ht="15.75" customHeight="1" x14ac:dyDescent="0.25">
      <c r="A167" s="1"/>
      <c r="B167" s="3"/>
      <c r="C167" s="40" t="s">
        <v>1136</v>
      </c>
      <c r="D167" s="45">
        <v>2862</v>
      </c>
      <c r="E167" s="51"/>
      <c r="F167" s="52"/>
      <c r="G167" s="52"/>
    </row>
    <row r="168" spans="1:7" s="10" customFormat="1" ht="15.75" customHeight="1" x14ac:dyDescent="0.25">
      <c r="A168" s="1"/>
      <c r="B168" s="3"/>
      <c r="C168" s="40" t="s">
        <v>1137</v>
      </c>
      <c r="D168" s="45">
        <v>6977</v>
      </c>
      <c r="E168" s="51"/>
      <c r="F168" s="52"/>
      <c r="G168" s="52"/>
    </row>
    <row r="169" spans="1:7" s="10" customFormat="1" ht="15.75" customHeight="1" x14ac:dyDescent="0.25">
      <c r="A169" s="1"/>
      <c r="B169" s="3"/>
      <c r="C169" s="40" t="s">
        <v>605</v>
      </c>
      <c r="D169" s="45">
        <v>1063</v>
      </c>
      <c r="E169" s="51"/>
      <c r="F169" s="52"/>
      <c r="G169" s="52"/>
    </row>
    <row r="170" spans="1:7" s="12" customFormat="1" ht="15.75" customHeight="1" x14ac:dyDescent="0.25">
      <c r="A170" s="1"/>
      <c r="B170" s="3"/>
      <c r="C170" s="40" t="s">
        <v>752</v>
      </c>
      <c r="D170" s="45">
        <v>2207</v>
      </c>
      <c r="E170" s="51"/>
      <c r="F170" s="52"/>
      <c r="G170" s="52"/>
    </row>
    <row r="171" spans="1:7" s="10" customFormat="1" ht="15.75" customHeight="1" x14ac:dyDescent="0.25">
      <c r="A171" s="1"/>
      <c r="B171" s="3"/>
      <c r="C171" s="40" t="s">
        <v>1138</v>
      </c>
      <c r="D171" s="45">
        <v>14093</v>
      </c>
      <c r="E171" s="51"/>
      <c r="F171" s="52"/>
      <c r="G171" s="52"/>
    </row>
    <row r="172" spans="1:7" s="10" customFormat="1" ht="15.75" customHeight="1" x14ac:dyDescent="0.25">
      <c r="A172" s="1"/>
      <c r="B172" s="3"/>
      <c r="C172" s="40" t="s">
        <v>1139</v>
      </c>
      <c r="D172" s="45">
        <v>906</v>
      </c>
      <c r="E172" s="51"/>
      <c r="F172" s="52"/>
      <c r="G172" s="52"/>
    </row>
    <row r="173" spans="1:7" s="10" customFormat="1" ht="15.75" customHeight="1" x14ac:dyDescent="0.25">
      <c r="A173" s="1"/>
      <c r="B173" s="3"/>
      <c r="C173" s="40" t="s">
        <v>1140</v>
      </c>
      <c r="D173" s="45">
        <v>1499</v>
      </c>
      <c r="E173" s="51"/>
      <c r="F173" s="52"/>
      <c r="G173" s="52"/>
    </row>
    <row r="174" spans="1:7" s="10" customFormat="1" ht="15.75" customHeight="1" x14ac:dyDescent="0.25">
      <c r="A174" s="1"/>
      <c r="B174" s="3"/>
      <c r="C174" s="40" t="s">
        <v>1141</v>
      </c>
      <c r="D174" s="45">
        <v>3760</v>
      </c>
      <c r="E174" s="51"/>
      <c r="F174" s="52"/>
      <c r="G174" s="52"/>
    </row>
    <row r="175" spans="1:7" s="10" customFormat="1" ht="15.75" customHeight="1" x14ac:dyDescent="0.25">
      <c r="A175" s="1"/>
      <c r="B175" s="3"/>
      <c r="C175" s="40" t="s">
        <v>1142</v>
      </c>
      <c r="D175" s="45">
        <v>2049</v>
      </c>
      <c r="E175" s="51"/>
      <c r="F175" s="52"/>
      <c r="G175" s="52"/>
    </row>
    <row r="176" spans="1:7" s="10" customFormat="1" ht="15.75" customHeight="1" x14ac:dyDescent="0.25">
      <c r="A176" s="1"/>
      <c r="B176" s="3"/>
      <c r="C176" s="40" t="s">
        <v>1143</v>
      </c>
      <c r="D176" s="45">
        <v>1623</v>
      </c>
      <c r="E176" s="51"/>
      <c r="F176" s="52"/>
      <c r="G176" s="52"/>
    </row>
    <row r="177" spans="1:7" s="10" customFormat="1" ht="15.75" customHeight="1" x14ac:dyDescent="0.25">
      <c r="A177" s="1"/>
      <c r="B177" s="3"/>
      <c r="C177" s="40" t="s">
        <v>1144</v>
      </c>
      <c r="D177" s="45">
        <v>4986</v>
      </c>
      <c r="E177" s="51"/>
      <c r="F177" s="52"/>
      <c r="G177" s="52"/>
    </row>
    <row r="178" spans="1:7" s="10" customFormat="1" ht="15.75" customHeight="1" x14ac:dyDescent="0.25">
      <c r="A178" s="1"/>
      <c r="B178" s="3"/>
      <c r="C178" s="40" t="s">
        <v>1145</v>
      </c>
      <c r="D178" s="45">
        <v>1186</v>
      </c>
      <c r="E178" s="51"/>
      <c r="F178" s="52"/>
      <c r="G178" s="52"/>
    </row>
    <row r="179" spans="1:7" s="11" customFormat="1" ht="15.75" customHeight="1" x14ac:dyDescent="0.25">
      <c r="A179" s="1"/>
      <c r="B179" s="3"/>
      <c r="C179" s="40" t="s">
        <v>1146</v>
      </c>
      <c r="D179" s="45">
        <v>3240</v>
      </c>
      <c r="E179" s="51"/>
      <c r="F179" s="52"/>
      <c r="G179" s="52"/>
    </row>
    <row r="180" spans="1:7" s="9" customFormat="1" ht="15.75" customHeight="1" x14ac:dyDescent="0.25">
      <c r="A180" s="1"/>
      <c r="B180" s="3"/>
      <c r="C180" s="40" t="s">
        <v>1147</v>
      </c>
      <c r="D180" s="45">
        <v>1467</v>
      </c>
      <c r="E180" s="51"/>
      <c r="F180" s="52"/>
      <c r="G180" s="52"/>
    </row>
    <row r="181" spans="1:7" s="10" customFormat="1" ht="15.75" customHeight="1" x14ac:dyDescent="0.25">
      <c r="A181" s="1"/>
      <c r="B181" s="3"/>
      <c r="C181" s="40" t="s">
        <v>1148</v>
      </c>
      <c r="D181" s="45">
        <v>1393</v>
      </c>
      <c r="E181" s="51"/>
      <c r="F181" s="52"/>
      <c r="G181" s="52"/>
    </row>
    <row r="182" spans="1:7" s="10" customFormat="1" ht="15.75" customHeight="1" x14ac:dyDescent="0.25">
      <c r="A182" s="1"/>
      <c r="B182" s="3"/>
      <c r="C182" s="40" t="s">
        <v>1149</v>
      </c>
      <c r="D182" s="45">
        <v>2009</v>
      </c>
      <c r="E182" s="51"/>
      <c r="F182" s="52"/>
      <c r="G182" s="52"/>
    </row>
    <row r="183" spans="1:7" s="10" customFormat="1" ht="15.75" customHeight="1" x14ac:dyDescent="0.25">
      <c r="A183" s="1"/>
      <c r="B183" s="3"/>
      <c r="C183" s="40" t="s">
        <v>1150</v>
      </c>
      <c r="D183" s="45">
        <v>1246</v>
      </c>
      <c r="E183" s="51"/>
      <c r="F183" s="52"/>
      <c r="G183" s="52"/>
    </row>
    <row r="184" spans="1:7" s="10" customFormat="1" ht="15.75" customHeight="1" x14ac:dyDescent="0.25">
      <c r="A184" s="1"/>
      <c r="B184" s="3"/>
      <c r="C184" s="40" t="s">
        <v>172</v>
      </c>
      <c r="D184" s="45">
        <v>1181</v>
      </c>
      <c r="E184" s="51"/>
      <c r="F184" s="52"/>
      <c r="G184" s="52"/>
    </row>
    <row r="185" spans="1:7" s="10" customFormat="1" ht="15.75" customHeight="1" x14ac:dyDescent="0.25">
      <c r="A185" s="1"/>
      <c r="B185" s="3"/>
      <c r="C185" s="40" t="s">
        <v>1151</v>
      </c>
      <c r="D185" s="45">
        <v>915</v>
      </c>
      <c r="E185" s="51"/>
      <c r="F185" s="52"/>
      <c r="G185" s="52"/>
    </row>
    <row r="186" spans="1:7" s="10" customFormat="1" ht="15.75" customHeight="1" x14ac:dyDescent="0.25">
      <c r="A186" s="1"/>
      <c r="B186" s="3"/>
      <c r="C186" s="40" t="s">
        <v>185</v>
      </c>
      <c r="D186" s="45">
        <v>7237</v>
      </c>
      <c r="E186" s="51"/>
      <c r="F186" s="52"/>
      <c r="G186" s="52"/>
    </row>
    <row r="187" spans="1:7" s="10" customFormat="1" ht="15.75" customHeight="1" x14ac:dyDescent="0.25">
      <c r="A187" s="1"/>
      <c r="B187" s="3"/>
      <c r="C187" s="40" t="s">
        <v>164</v>
      </c>
      <c r="D187" s="45">
        <v>10250</v>
      </c>
      <c r="E187" s="51"/>
      <c r="F187" s="52"/>
      <c r="G187" s="52"/>
    </row>
    <row r="188" spans="1:7" s="10" customFormat="1" ht="15.75" customHeight="1" x14ac:dyDescent="0.25">
      <c r="A188" s="1"/>
      <c r="B188" s="3"/>
      <c r="C188" s="40" t="s">
        <v>1152</v>
      </c>
      <c r="D188" s="45">
        <v>3542</v>
      </c>
      <c r="E188" s="51"/>
      <c r="F188" s="52"/>
      <c r="G188" s="52"/>
    </row>
    <row r="189" spans="1:7" s="10" customFormat="1" ht="15.75" customHeight="1" x14ac:dyDescent="0.25">
      <c r="A189" s="1"/>
      <c r="B189" s="3"/>
      <c r="C189" s="40" t="s">
        <v>1153</v>
      </c>
      <c r="D189" s="45">
        <v>1942</v>
      </c>
      <c r="E189" s="51"/>
      <c r="F189" s="52"/>
      <c r="G189" s="52"/>
    </row>
    <row r="190" spans="1:7" s="10" customFormat="1" ht="15.75" customHeight="1" x14ac:dyDescent="0.25">
      <c r="A190" s="1"/>
      <c r="B190" s="3"/>
      <c r="C190" s="40" t="s">
        <v>1154</v>
      </c>
      <c r="D190" s="45">
        <v>1347</v>
      </c>
      <c r="E190" s="51"/>
      <c r="F190" s="52"/>
      <c r="G190" s="52"/>
    </row>
    <row r="191" spans="1:7" s="12" customFormat="1" ht="15.75" customHeight="1" x14ac:dyDescent="0.25">
      <c r="A191" s="1"/>
      <c r="B191" s="3"/>
      <c r="C191" s="40" t="s">
        <v>84</v>
      </c>
      <c r="D191" s="45">
        <v>1869</v>
      </c>
      <c r="E191" s="51"/>
      <c r="F191" s="52"/>
      <c r="G191" s="52"/>
    </row>
    <row r="192" spans="1:7" s="10" customFormat="1" ht="15.75" customHeight="1" x14ac:dyDescent="0.25">
      <c r="A192" s="1"/>
      <c r="B192" s="3"/>
      <c r="C192" s="40" t="s">
        <v>1155</v>
      </c>
      <c r="D192" s="45">
        <v>6141</v>
      </c>
      <c r="E192" s="51"/>
      <c r="F192" s="52"/>
      <c r="G192" s="52"/>
    </row>
    <row r="193" spans="1:7" s="11" customFormat="1" ht="15.75" customHeight="1" x14ac:dyDescent="0.25">
      <c r="A193" s="1"/>
      <c r="B193" s="3"/>
      <c r="C193" s="40" t="s">
        <v>1156</v>
      </c>
      <c r="D193" s="45">
        <v>2035</v>
      </c>
      <c r="E193" s="51"/>
      <c r="F193" s="52"/>
      <c r="G193" s="52"/>
    </row>
    <row r="194" spans="1:7" s="11" customFormat="1" ht="15.75" customHeight="1" x14ac:dyDescent="0.25">
      <c r="A194" s="1"/>
      <c r="B194" s="3"/>
      <c r="C194" s="40"/>
      <c r="D194" s="45"/>
      <c r="E194" s="51"/>
      <c r="F194" s="52"/>
      <c r="G194" s="52"/>
    </row>
    <row r="195" spans="1:7" s="9" customFormat="1" ht="15.75" customHeight="1" x14ac:dyDescent="0.25">
      <c r="A195" s="1"/>
      <c r="B195" s="3"/>
      <c r="C195" s="39" t="s">
        <v>1157</v>
      </c>
      <c r="D195" s="44">
        <f>SUM(D196:D220)</f>
        <v>86247</v>
      </c>
      <c r="E195" s="51"/>
      <c r="F195" s="52"/>
      <c r="G195" s="52"/>
    </row>
    <row r="196" spans="1:7" s="10" customFormat="1" ht="15.75" customHeight="1" x14ac:dyDescent="0.25">
      <c r="A196" s="1"/>
      <c r="B196" s="3"/>
      <c r="C196" s="40" t="s">
        <v>1158</v>
      </c>
      <c r="D196" s="45">
        <v>3671</v>
      </c>
      <c r="E196" s="51"/>
      <c r="F196" s="52"/>
      <c r="G196" s="52"/>
    </row>
    <row r="197" spans="1:7" s="10" customFormat="1" ht="15.75" customHeight="1" x14ac:dyDescent="0.25">
      <c r="A197" s="1"/>
      <c r="B197" s="3"/>
      <c r="C197" s="40" t="s">
        <v>1159</v>
      </c>
      <c r="D197" s="45">
        <v>1612</v>
      </c>
      <c r="E197" s="51"/>
      <c r="F197" s="52"/>
      <c r="G197" s="52"/>
    </row>
    <row r="198" spans="1:7" s="10" customFormat="1" ht="15.75" customHeight="1" x14ac:dyDescent="0.25">
      <c r="A198" s="1"/>
      <c r="B198" s="3"/>
      <c r="C198" s="40" t="s">
        <v>1160</v>
      </c>
      <c r="D198" s="45">
        <v>3290</v>
      </c>
      <c r="E198" s="51"/>
      <c r="F198" s="52"/>
      <c r="G198" s="52"/>
    </row>
    <row r="199" spans="1:7" s="10" customFormat="1" ht="15.75" customHeight="1" x14ac:dyDescent="0.25">
      <c r="A199" s="1"/>
      <c r="B199" s="3"/>
      <c r="C199" s="40" t="s">
        <v>1161</v>
      </c>
      <c r="D199" s="45">
        <v>2689</v>
      </c>
      <c r="E199" s="51"/>
      <c r="F199" s="52"/>
      <c r="G199" s="52"/>
    </row>
    <row r="200" spans="1:7" s="10" customFormat="1" ht="15.75" customHeight="1" x14ac:dyDescent="0.25">
      <c r="A200" s="1"/>
      <c r="B200" s="3"/>
      <c r="C200" s="40" t="s">
        <v>1162</v>
      </c>
      <c r="D200" s="45">
        <v>2959</v>
      </c>
      <c r="E200" s="51"/>
      <c r="F200" s="52"/>
      <c r="G200" s="52"/>
    </row>
    <row r="201" spans="1:7" s="10" customFormat="1" ht="15.75" customHeight="1" x14ac:dyDescent="0.25">
      <c r="A201" s="1"/>
      <c r="B201" s="3"/>
      <c r="C201" s="40" t="s">
        <v>1163</v>
      </c>
      <c r="D201" s="45">
        <v>5487</v>
      </c>
      <c r="E201" s="51"/>
      <c r="F201" s="52"/>
      <c r="G201" s="52"/>
    </row>
    <row r="202" spans="1:7" s="10" customFormat="1" ht="15.75" customHeight="1" x14ac:dyDescent="0.25">
      <c r="A202" s="1"/>
      <c r="B202" s="3"/>
      <c r="C202" s="40" t="s">
        <v>1164</v>
      </c>
      <c r="D202" s="45">
        <v>2922</v>
      </c>
      <c r="E202" s="51"/>
      <c r="F202" s="52"/>
      <c r="G202" s="52"/>
    </row>
    <row r="203" spans="1:7" s="10" customFormat="1" ht="15.75" customHeight="1" x14ac:dyDescent="0.25">
      <c r="A203" s="1"/>
      <c r="B203" s="3"/>
      <c r="C203" s="40" t="s">
        <v>1165</v>
      </c>
      <c r="D203" s="45">
        <v>2535</v>
      </c>
      <c r="E203" s="51"/>
      <c r="F203" s="52"/>
      <c r="G203" s="52"/>
    </row>
    <row r="204" spans="1:7" s="10" customFormat="1" ht="15.75" customHeight="1" x14ac:dyDescent="0.25">
      <c r="A204" s="1"/>
      <c r="B204" s="3"/>
      <c r="C204" s="40" t="s">
        <v>171</v>
      </c>
      <c r="D204" s="45">
        <v>3003</v>
      </c>
      <c r="E204" s="51"/>
      <c r="F204" s="52"/>
      <c r="G204" s="52"/>
    </row>
    <row r="205" spans="1:7" s="10" customFormat="1" ht="15.75" customHeight="1" x14ac:dyDescent="0.25">
      <c r="A205" s="1"/>
      <c r="B205" s="3"/>
      <c r="C205" s="40" t="s">
        <v>1166</v>
      </c>
      <c r="D205" s="45">
        <v>2321</v>
      </c>
      <c r="E205" s="51"/>
      <c r="F205" s="52"/>
      <c r="G205" s="52"/>
    </row>
    <row r="206" spans="1:7" s="10" customFormat="1" ht="15.75" customHeight="1" x14ac:dyDescent="0.25">
      <c r="A206" s="1"/>
      <c r="B206" s="3"/>
      <c r="C206" s="40" t="s">
        <v>1167</v>
      </c>
      <c r="D206" s="45">
        <v>1108</v>
      </c>
      <c r="E206" s="51"/>
      <c r="F206" s="52"/>
      <c r="G206" s="52"/>
    </row>
    <row r="207" spans="1:7" s="10" customFormat="1" ht="15.75" customHeight="1" x14ac:dyDescent="0.25">
      <c r="A207" s="1"/>
      <c r="B207" s="3"/>
      <c r="C207" s="40" t="s">
        <v>1168</v>
      </c>
      <c r="D207" s="45">
        <v>2631</v>
      </c>
      <c r="E207" s="51"/>
      <c r="F207" s="52"/>
      <c r="G207" s="52"/>
    </row>
    <row r="208" spans="1:7" s="12" customFormat="1" ht="15.75" customHeight="1" x14ac:dyDescent="0.25">
      <c r="A208" s="1"/>
      <c r="B208" s="3"/>
      <c r="C208" s="40" t="s">
        <v>1169</v>
      </c>
      <c r="D208" s="45">
        <v>3835</v>
      </c>
      <c r="E208" s="51"/>
      <c r="F208" s="52"/>
      <c r="G208" s="52"/>
    </row>
    <row r="209" spans="1:7" s="10" customFormat="1" ht="15.75" customHeight="1" x14ac:dyDescent="0.25">
      <c r="A209" s="1"/>
      <c r="B209" s="3"/>
      <c r="C209" s="40" t="s">
        <v>1170</v>
      </c>
      <c r="D209" s="45">
        <v>1607</v>
      </c>
      <c r="E209" s="51"/>
      <c r="F209" s="52"/>
      <c r="G209" s="52"/>
    </row>
    <row r="210" spans="1:7" s="10" customFormat="1" ht="15.75" customHeight="1" x14ac:dyDescent="0.25">
      <c r="A210" s="1"/>
      <c r="B210" s="3"/>
      <c r="C210" s="40" t="s">
        <v>136</v>
      </c>
      <c r="D210" s="45">
        <v>3218</v>
      </c>
      <c r="E210" s="51"/>
      <c r="F210" s="52"/>
      <c r="G210" s="52"/>
    </row>
    <row r="211" spans="1:7" s="10" customFormat="1" ht="15.75" customHeight="1" x14ac:dyDescent="0.25">
      <c r="A211" s="1"/>
      <c r="B211" s="3"/>
      <c r="C211" s="40" t="s">
        <v>1171</v>
      </c>
      <c r="D211" s="45">
        <v>2353</v>
      </c>
      <c r="E211" s="51"/>
      <c r="F211" s="52"/>
      <c r="G211" s="52"/>
    </row>
    <row r="212" spans="1:7" s="10" customFormat="1" ht="15.75" customHeight="1" x14ac:dyDescent="0.25">
      <c r="A212" s="1"/>
      <c r="B212" s="3"/>
      <c r="C212" s="40" t="s">
        <v>1172</v>
      </c>
      <c r="D212" s="45">
        <v>5963</v>
      </c>
      <c r="E212" s="51"/>
      <c r="F212" s="52"/>
      <c r="G212" s="52"/>
    </row>
    <row r="213" spans="1:7" s="10" customFormat="1" ht="15.75" customHeight="1" x14ac:dyDescent="0.25">
      <c r="A213" s="1"/>
      <c r="B213" s="3"/>
      <c r="C213" s="40" t="s">
        <v>1173</v>
      </c>
      <c r="D213" s="45">
        <v>1504</v>
      </c>
      <c r="E213" s="51"/>
      <c r="F213" s="52"/>
      <c r="G213" s="52"/>
    </row>
    <row r="214" spans="1:7" s="10" customFormat="1" ht="15.75" customHeight="1" x14ac:dyDescent="0.25">
      <c r="A214" s="1"/>
      <c r="B214" s="3"/>
      <c r="C214" s="40" t="s">
        <v>1174</v>
      </c>
      <c r="D214" s="45">
        <v>4679</v>
      </c>
      <c r="E214" s="51"/>
      <c r="F214" s="52"/>
      <c r="G214" s="52"/>
    </row>
    <row r="215" spans="1:7" s="10" customFormat="1" ht="15.75" customHeight="1" x14ac:dyDescent="0.25">
      <c r="A215" s="1"/>
      <c r="B215" s="3"/>
      <c r="C215" s="40" t="s">
        <v>1175</v>
      </c>
      <c r="D215" s="45">
        <v>3780</v>
      </c>
      <c r="E215" s="51"/>
      <c r="F215" s="52"/>
      <c r="G215" s="52"/>
    </row>
    <row r="216" spans="1:7" s="10" customFormat="1" ht="15.75" customHeight="1" x14ac:dyDescent="0.25">
      <c r="A216" s="1"/>
      <c r="B216" s="3"/>
      <c r="C216" s="40" t="s">
        <v>228</v>
      </c>
      <c r="D216" s="45">
        <v>3225</v>
      </c>
      <c r="E216" s="51"/>
      <c r="F216" s="52"/>
      <c r="G216" s="52"/>
    </row>
    <row r="217" spans="1:7" s="10" customFormat="1" ht="15.75" customHeight="1" x14ac:dyDescent="0.25">
      <c r="A217" s="1"/>
      <c r="B217" s="3"/>
      <c r="C217" s="40" t="s">
        <v>112</v>
      </c>
      <c r="D217" s="45">
        <v>6022</v>
      </c>
      <c r="E217" s="51"/>
      <c r="F217" s="52"/>
      <c r="G217" s="52"/>
    </row>
    <row r="218" spans="1:7" s="10" customFormat="1" ht="15.75" customHeight="1" x14ac:dyDescent="0.25">
      <c r="A218" s="1"/>
      <c r="B218" s="3"/>
      <c r="C218" s="40" t="s">
        <v>1176</v>
      </c>
      <c r="D218" s="45">
        <v>2311</v>
      </c>
      <c r="E218" s="51"/>
      <c r="F218" s="52"/>
      <c r="G218" s="52"/>
    </row>
    <row r="219" spans="1:7" s="10" customFormat="1" ht="15.75" customHeight="1" x14ac:dyDescent="0.25">
      <c r="A219" s="1"/>
      <c r="B219" s="3"/>
      <c r="C219" s="40" t="s">
        <v>1177</v>
      </c>
      <c r="D219" s="45">
        <v>5777</v>
      </c>
      <c r="E219" s="51"/>
      <c r="F219" s="52"/>
      <c r="G219" s="52"/>
    </row>
    <row r="220" spans="1:7" s="10" customFormat="1" ht="15.75" customHeight="1" x14ac:dyDescent="0.25">
      <c r="A220" s="1"/>
      <c r="B220" s="3"/>
      <c r="C220" s="40" t="s">
        <v>1178</v>
      </c>
      <c r="D220" s="45">
        <v>7745</v>
      </c>
      <c r="E220" s="51"/>
      <c r="F220" s="52"/>
      <c r="G220" s="52"/>
    </row>
    <row r="221" spans="1:7" s="10" customFormat="1" ht="15.75" customHeight="1" x14ac:dyDescent="0.25">
      <c r="A221" s="1"/>
      <c r="B221" s="3"/>
      <c r="C221" s="40"/>
      <c r="D221" s="46"/>
      <c r="E221" s="51"/>
      <c r="F221" s="52"/>
      <c r="G221" s="52"/>
    </row>
    <row r="222" spans="1:7" s="10" customFormat="1" ht="15.75" customHeight="1" x14ac:dyDescent="0.25">
      <c r="A222" s="1"/>
      <c r="B222" s="3"/>
      <c r="C222" s="40"/>
      <c r="D222" s="46"/>
      <c r="E222" s="51"/>
      <c r="F222" s="52"/>
      <c r="G222" s="52"/>
    </row>
    <row r="223" spans="1:7" s="11" customFormat="1" ht="15.75" customHeight="1" x14ac:dyDescent="0.25">
      <c r="A223" s="1"/>
      <c r="B223" s="3"/>
      <c r="C223" s="39" t="s">
        <v>1179</v>
      </c>
      <c r="D223" s="44">
        <f>SUM(D224:D265)</f>
        <v>80715</v>
      </c>
      <c r="E223" s="51"/>
      <c r="F223" s="52"/>
      <c r="G223" s="52"/>
    </row>
    <row r="224" spans="1:7" s="9" customFormat="1" ht="15.75" customHeight="1" x14ac:dyDescent="0.25">
      <c r="A224" s="1"/>
      <c r="B224" s="3"/>
      <c r="C224" s="40" t="s">
        <v>1180</v>
      </c>
      <c r="D224" s="45">
        <v>2216</v>
      </c>
      <c r="E224" s="51"/>
      <c r="F224" s="52"/>
      <c r="G224" s="52"/>
    </row>
    <row r="225" spans="1:7" s="10" customFormat="1" ht="15.75" customHeight="1" x14ac:dyDescent="0.25">
      <c r="A225" s="1"/>
      <c r="B225" s="3"/>
      <c r="C225" s="40" t="s">
        <v>1181</v>
      </c>
      <c r="D225" s="45">
        <v>1011</v>
      </c>
      <c r="E225" s="51"/>
      <c r="F225" s="52"/>
      <c r="G225" s="52"/>
    </row>
    <row r="226" spans="1:7" s="10" customFormat="1" ht="15.75" customHeight="1" x14ac:dyDescent="0.25">
      <c r="A226" s="1"/>
      <c r="B226" s="3"/>
      <c r="C226" s="40" t="s">
        <v>1182</v>
      </c>
      <c r="D226" s="45">
        <v>2871</v>
      </c>
      <c r="E226" s="51"/>
      <c r="F226" s="52"/>
      <c r="G226" s="52"/>
    </row>
    <row r="227" spans="1:7" s="10" customFormat="1" ht="15.75" customHeight="1" x14ac:dyDescent="0.25">
      <c r="A227" s="1"/>
      <c r="B227" s="3"/>
      <c r="C227" s="40" t="s">
        <v>1183</v>
      </c>
      <c r="D227" s="45">
        <v>2287</v>
      </c>
      <c r="E227" s="51"/>
      <c r="F227" s="52"/>
      <c r="G227" s="52"/>
    </row>
    <row r="228" spans="1:7" s="10" customFormat="1" ht="15.75" customHeight="1" x14ac:dyDescent="0.25">
      <c r="A228" s="1"/>
      <c r="B228" s="3"/>
      <c r="C228" s="40" t="s">
        <v>1184</v>
      </c>
      <c r="D228" s="45">
        <v>1846</v>
      </c>
      <c r="E228" s="51"/>
      <c r="F228" s="52"/>
      <c r="G228" s="52"/>
    </row>
    <row r="229" spans="1:7" s="10" customFormat="1" ht="15.75" customHeight="1" x14ac:dyDescent="0.25">
      <c r="A229" s="1"/>
      <c r="B229" s="3"/>
      <c r="C229" s="40" t="s">
        <v>1185</v>
      </c>
      <c r="D229" s="45">
        <v>735</v>
      </c>
      <c r="E229" s="51"/>
      <c r="F229" s="52"/>
      <c r="G229" s="52"/>
    </row>
    <row r="230" spans="1:7" s="10" customFormat="1" ht="15.75" customHeight="1" x14ac:dyDescent="0.25">
      <c r="A230" s="1"/>
      <c r="B230" s="3"/>
      <c r="C230" s="40" t="s">
        <v>1186</v>
      </c>
      <c r="D230" s="45">
        <v>2014</v>
      </c>
      <c r="E230" s="51"/>
      <c r="F230" s="52"/>
      <c r="G230" s="52"/>
    </row>
    <row r="231" spans="1:7" s="10" customFormat="1" ht="15.75" customHeight="1" x14ac:dyDescent="0.25">
      <c r="A231" s="1"/>
      <c r="B231" s="3"/>
      <c r="C231" s="40" t="s">
        <v>1187</v>
      </c>
      <c r="D231" s="45">
        <v>1609</v>
      </c>
      <c r="E231" s="51"/>
      <c r="F231" s="52"/>
      <c r="G231" s="52"/>
    </row>
    <row r="232" spans="1:7" s="10" customFormat="1" ht="15.75" customHeight="1" x14ac:dyDescent="0.25">
      <c r="A232" s="1"/>
      <c r="B232" s="3"/>
      <c r="C232" s="40" t="s">
        <v>1188</v>
      </c>
      <c r="D232" s="45">
        <v>2131</v>
      </c>
      <c r="E232" s="51"/>
      <c r="F232" s="52"/>
      <c r="G232" s="52"/>
    </row>
    <row r="233" spans="1:7" s="10" customFormat="1" ht="15.75" customHeight="1" x14ac:dyDescent="0.25">
      <c r="A233" s="1"/>
      <c r="B233" s="3"/>
      <c r="C233" s="40" t="s">
        <v>1189</v>
      </c>
      <c r="D233" s="45">
        <v>1643</v>
      </c>
      <c r="E233" s="51"/>
      <c r="F233" s="52"/>
      <c r="G233" s="52"/>
    </row>
    <row r="234" spans="1:7" s="10" customFormat="1" ht="15.75" customHeight="1" x14ac:dyDescent="0.25">
      <c r="A234" s="1"/>
      <c r="B234" s="3"/>
      <c r="C234" s="40" t="s">
        <v>205</v>
      </c>
      <c r="D234" s="45">
        <v>2594</v>
      </c>
      <c r="E234" s="51"/>
      <c r="F234" s="52"/>
      <c r="G234" s="52"/>
    </row>
    <row r="235" spans="1:7" s="10" customFormat="1" ht="15.75" customHeight="1" x14ac:dyDescent="0.25">
      <c r="A235" s="1"/>
      <c r="B235" s="3"/>
      <c r="C235" s="40" t="s">
        <v>1190</v>
      </c>
      <c r="D235" s="45">
        <v>2055</v>
      </c>
      <c r="E235" s="51"/>
      <c r="F235" s="52"/>
      <c r="G235" s="52"/>
    </row>
    <row r="236" spans="1:7" s="10" customFormat="1" ht="15.75" customHeight="1" x14ac:dyDescent="0.25">
      <c r="A236" s="1"/>
      <c r="B236" s="3"/>
      <c r="C236" s="40" t="s">
        <v>1191</v>
      </c>
      <c r="D236" s="45">
        <v>3216</v>
      </c>
      <c r="E236" s="51"/>
      <c r="F236" s="52"/>
      <c r="G236" s="52"/>
    </row>
    <row r="237" spans="1:7" s="10" customFormat="1" ht="15.75" customHeight="1" x14ac:dyDescent="0.25">
      <c r="A237" s="1"/>
      <c r="B237" s="3"/>
      <c r="C237" s="40" t="s">
        <v>1192</v>
      </c>
      <c r="D237" s="45">
        <v>850</v>
      </c>
      <c r="E237" s="51"/>
      <c r="F237" s="52"/>
      <c r="G237" s="52"/>
    </row>
    <row r="238" spans="1:7" s="10" customFormat="1" ht="15.75" customHeight="1" x14ac:dyDescent="0.25">
      <c r="A238" s="1"/>
      <c r="B238" s="3"/>
      <c r="C238" s="40" t="s">
        <v>234</v>
      </c>
      <c r="D238" s="45">
        <v>4258</v>
      </c>
      <c r="E238" s="51"/>
      <c r="F238" s="52"/>
      <c r="G238" s="52"/>
    </row>
    <row r="239" spans="1:7" s="10" customFormat="1" ht="15.75" customHeight="1" x14ac:dyDescent="0.25">
      <c r="A239" s="1"/>
      <c r="B239" s="3"/>
      <c r="C239" s="40" t="s">
        <v>100</v>
      </c>
      <c r="D239" s="45">
        <v>1893</v>
      </c>
      <c r="E239" s="51"/>
      <c r="F239" s="52"/>
      <c r="G239" s="52"/>
    </row>
    <row r="240" spans="1:7" s="10" customFormat="1" ht="15.75" customHeight="1" x14ac:dyDescent="0.25">
      <c r="A240" s="1"/>
      <c r="B240" s="3"/>
      <c r="C240" s="40" t="s">
        <v>1193</v>
      </c>
      <c r="D240" s="45">
        <v>1526</v>
      </c>
      <c r="E240" s="51"/>
      <c r="F240" s="52"/>
      <c r="G240" s="52"/>
    </row>
    <row r="241" spans="1:7" s="10" customFormat="1" ht="15.75" customHeight="1" x14ac:dyDescent="0.25">
      <c r="A241" s="1"/>
      <c r="B241" s="3"/>
      <c r="C241" s="40" t="s">
        <v>1194</v>
      </c>
      <c r="D241" s="45">
        <v>1437</v>
      </c>
      <c r="E241" s="51"/>
      <c r="F241" s="52"/>
      <c r="G241" s="52"/>
    </row>
    <row r="242" spans="1:7" s="10" customFormat="1" ht="15.75" customHeight="1" x14ac:dyDescent="0.25">
      <c r="A242" s="1"/>
      <c r="B242" s="3"/>
      <c r="C242" s="40" t="s">
        <v>1195</v>
      </c>
      <c r="D242" s="45">
        <v>1918</v>
      </c>
      <c r="E242" s="51"/>
      <c r="F242" s="52"/>
      <c r="G242" s="52"/>
    </row>
    <row r="243" spans="1:7" s="10" customFormat="1" ht="15.75" customHeight="1" x14ac:dyDescent="0.25">
      <c r="A243" s="1"/>
      <c r="B243" s="3"/>
      <c r="C243" s="40" t="s">
        <v>1196</v>
      </c>
      <c r="D243" s="45">
        <v>1050</v>
      </c>
      <c r="E243" s="51"/>
      <c r="F243" s="52"/>
      <c r="G243" s="52"/>
    </row>
    <row r="244" spans="1:7" s="10" customFormat="1" ht="15.75" customHeight="1" x14ac:dyDescent="0.25">
      <c r="A244" s="1"/>
      <c r="B244" s="3"/>
      <c r="C244" s="40" t="s">
        <v>117</v>
      </c>
      <c r="D244" s="45">
        <v>662</v>
      </c>
      <c r="E244" s="51"/>
      <c r="F244" s="52"/>
      <c r="G244" s="52"/>
    </row>
    <row r="245" spans="1:7" s="10" customFormat="1" ht="15.75" customHeight="1" x14ac:dyDescent="0.25">
      <c r="A245" s="1"/>
      <c r="B245" s="3"/>
      <c r="C245" s="40" t="s">
        <v>559</v>
      </c>
      <c r="D245" s="45">
        <v>1086</v>
      </c>
      <c r="E245" s="51"/>
      <c r="F245" s="52"/>
      <c r="G245" s="52"/>
    </row>
    <row r="246" spans="1:7" s="10" customFormat="1" ht="15.75" customHeight="1" x14ac:dyDescent="0.25">
      <c r="A246" s="1"/>
      <c r="B246" s="3"/>
      <c r="C246" s="40" t="s">
        <v>1197</v>
      </c>
      <c r="D246" s="45">
        <v>1424</v>
      </c>
      <c r="E246" s="51"/>
      <c r="F246" s="52"/>
      <c r="G246" s="52"/>
    </row>
    <row r="247" spans="1:7" s="10" customFormat="1" ht="15.75" customHeight="1" x14ac:dyDescent="0.25">
      <c r="A247" s="1"/>
      <c r="B247" s="3"/>
      <c r="C247" s="40" t="s">
        <v>1198</v>
      </c>
      <c r="D247" s="45">
        <v>2282</v>
      </c>
      <c r="E247" s="51"/>
      <c r="F247" s="52"/>
      <c r="G247" s="52"/>
    </row>
    <row r="248" spans="1:7" s="10" customFormat="1" ht="15.75" customHeight="1" x14ac:dyDescent="0.25">
      <c r="A248" s="1"/>
      <c r="B248" s="3"/>
      <c r="C248" s="40" t="s">
        <v>1199</v>
      </c>
      <c r="D248" s="45">
        <v>1966</v>
      </c>
      <c r="E248" s="51"/>
      <c r="F248" s="52"/>
      <c r="G248" s="52"/>
    </row>
    <row r="249" spans="1:7" s="10" customFormat="1" ht="15.75" customHeight="1" x14ac:dyDescent="0.25">
      <c r="A249" s="1"/>
      <c r="B249" s="3"/>
      <c r="C249" s="40" t="s">
        <v>867</v>
      </c>
      <c r="D249" s="45">
        <v>3013</v>
      </c>
      <c r="E249" s="51"/>
      <c r="F249" s="52"/>
      <c r="G249" s="52"/>
    </row>
    <row r="250" spans="1:7" s="11" customFormat="1" ht="15.75" customHeight="1" x14ac:dyDescent="0.25">
      <c r="A250" s="1"/>
      <c r="B250" s="3"/>
      <c r="C250" s="40" t="s">
        <v>1200</v>
      </c>
      <c r="D250" s="45">
        <v>2614</v>
      </c>
      <c r="E250" s="51"/>
      <c r="F250" s="52"/>
      <c r="G250" s="52"/>
    </row>
    <row r="251" spans="1:7" s="9" customFormat="1" ht="15.75" customHeight="1" x14ac:dyDescent="0.25">
      <c r="A251" s="1"/>
      <c r="B251" s="3"/>
      <c r="C251" s="40" t="s">
        <v>664</v>
      </c>
      <c r="D251" s="45">
        <v>1182</v>
      </c>
      <c r="E251" s="51"/>
      <c r="F251" s="52"/>
      <c r="G251" s="52"/>
    </row>
    <row r="252" spans="1:7" s="9" customFormat="1" ht="15.75" customHeight="1" x14ac:dyDescent="0.25">
      <c r="A252" s="1"/>
      <c r="B252" s="3"/>
      <c r="C252" s="40" t="s">
        <v>1201</v>
      </c>
      <c r="D252" s="45">
        <v>3163</v>
      </c>
      <c r="E252" s="51"/>
      <c r="F252" s="52"/>
      <c r="G252" s="52"/>
    </row>
    <row r="253" spans="1:7" s="10" customFormat="1" ht="15.75" customHeight="1" x14ac:dyDescent="0.25">
      <c r="A253" s="1"/>
      <c r="B253" s="3"/>
      <c r="C253" s="40" t="s">
        <v>1202</v>
      </c>
      <c r="D253" s="45">
        <v>877</v>
      </c>
      <c r="E253" s="51"/>
      <c r="F253" s="52"/>
      <c r="G253" s="52"/>
    </row>
    <row r="254" spans="1:7" s="10" customFormat="1" ht="15.75" customHeight="1" x14ac:dyDescent="0.25">
      <c r="A254" s="1"/>
      <c r="B254" s="3"/>
      <c r="C254" s="40" t="s">
        <v>1203</v>
      </c>
      <c r="D254" s="45">
        <v>1455</v>
      </c>
      <c r="E254" s="51"/>
      <c r="F254" s="52"/>
      <c r="G254" s="52"/>
    </row>
    <row r="255" spans="1:7" s="10" customFormat="1" ht="15.75" customHeight="1" x14ac:dyDescent="0.25">
      <c r="A255" s="1"/>
      <c r="B255" s="3"/>
      <c r="C255" s="40" t="s">
        <v>1204</v>
      </c>
      <c r="D255" s="45">
        <v>1292</v>
      </c>
      <c r="E255" s="51"/>
      <c r="F255" s="52"/>
      <c r="G255" s="52"/>
    </row>
    <row r="256" spans="1:7" s="10" customFormat="1" ht="15.75" customHeight="1" x14ac:dyDescent="0.25">
      <c r="A256" s="1"/>
      <c r="B256" s="3"/>
      <c r="C256" s="40" t="s">
        <v>69</v>
      </c>
      <c r="D256" s="45">
        <v>1165</v>
      </c>
      <c r="E256" s="51"/>
      <c r="F256" s="52"/>
      <c r="G256" s="52"/>
    </row>
    <row r="257" spans="1:7" s="10" customFormat="1" ht="15.75" customHeight="1" x14ac:dyDescent="0.25">
      <c r="A257" s="1"/>
      <c r="B257" s="3"/>
      <c r="C257" s="40" t="s">
        <v>1205</v>
      </c>
      <c r="D257" s="45">
        <v>1205</v>
      </c>
      <c r="E257" s="51"/>
      <c r="F257" s="52"/>
      <c r="G257" s="52"/>
    </row>
    <row r="258" spans="1:7" s="10" customFormat="1" ht="15.75" customHeight="1" x14ac:dyDescent="0.25">
      <c r="A258" s="1"/>
      <c r="B258" s="3"/>
      <c r="C258" s="40" t="s">
        <v>1206</v>
      </c>
      <c r="D258" s="45">
        <v>1871</v>
      </c>
      <c r="E258" s="51"/>
      <c r="F258" s="52"/>
      <c r="G258" s="52"/>
    </row>
    <row r="259" spans="1:7" s="10" customFormat="1" ht="15.75" customHeight="1" x14ac:dyDescent="0.25">
      <c r="A259" s="1"/>
      <c r="B259" s="3"/>
      <c r="C259" s="40" t="s">
        <v>2</v>
      </c>
      <c r="D259" s="45">
        <v>5081</v>
      </c>
      <c r="E259" s="51"/>
      <c r="F259" s="52"/>
      <c r="G259" s="52"/>
    </row>
    <row r="260" spans="1:7" s="10" customFormat="1" ht="15.75" customHeight="1" x14ac:dyDescent="0.25">
      <c r="A260" s="1"/>
      <c r="B260" s="3"/>
      <c r="C260" s="40" t="s">
        <v>19</v>
      </c>
      <c r="D260" s="45">
        <v>1950</v>
      </c>
      <c r="E260" s="51"/>
      <c r="F260" s="52"/>
      <c r="G260" s="52"/>
    </row>
    <row r="261" spans="1:7" s="10" customFormat="1" ht="15.75" customHeight="1" x14ac:dyDescent="0.25">
      <c r="A261" s="1"/>
      <c r="B261" s="3"/>
      <c r="C261" s="40" t="s">
        <v>111</v>
      </c>
      <c r="D261" s="45">
        <v>2405</v>
      </c>
      <c r="E261" s="51"/>
      <c r="F261" s="52"/>
      <c r="G261" s="52"/>
    </row>
    <row r="262" spans="1:7" s="10" customFormat="1" ht="15.75" customHeight="1" x14ac:dyDescent="0.25">
      <c r="A262" s="1"/>
      <c r="B262" s="3"/>
      <c r="C262" s="40" t="s">
        <v>1207</v>
      </c>
      <c r="D262" s="45">
        <v>1071</v>
      </c>
      <c r="E262" s="51"/>
      <c r="F262" s="52"/>
      <c r="G262" s="52"/>
    </row>
    <row r="263" spans="1:7" s="10" customFormat="1" ht="15.75" customHeight="1" x14ac:dyDescent="0.25">
      <c r="A263" s="1"/>
      <c r="B263" s="3"/>
      <c r="C263" s="40" t="s">
        <v>1208</v>
      </c>
      <c r="D263" s="45">
        <v>2012</v>
      </c>
      <c r="E263" s="51"/>
      <c r="F263" s="52"/>
      <c r="G263" s="52"/>
    </row>
    <row r="264" spans="1:7" s="10" customFormat="1" ht="15.75" customHeight="1" x14ac:dyDescent="0.25">
      <c r="A264" s="1"/>
      <c r="B264" s="3"/>
      <c r="C264" s="40" t="s">
        <v>104</v>
      </c>
      <c r="D264" s="45">
        <v>2487</v>
      </c>
      <c r="E264" s="51"/>
      <c r="F264" s="52"/>
      <c r="G264" s="52"/>
    </row>
    <row r="265" spans="1:7" s="10" customFormat="1" ht="15.75" customHeight="1" x14ac:dyDescent="0.25">
      <c r="A265" s="1"/>
      <c r="B265" s="3"/>
      <c r="C265" s="40" t="s">
        <v>84</v>
      </c>
      <c r="D265" s="45">
        <v>1292</v>
      </c>
      <c r="E265" s="51"/>
      <c r="F265" s="52"/>
      <c r="G265" s="52"/>
    </row>
    <row r="266" spans="1:7" s="10" customFormat="1" ht="15.75" customHeight="1" x14ac:dyDescent="0.25">
      <c r="A266" s="1"/>
      <c r="B266" s="3"/>
      <c r="C266" s="40"/>
      <c r="D266" s="46"/>
      <c r="E266" s="51"/>
      <c r="F266" s="52"/>
      <c r="G266" s="52"/>
    </row>
    <row r="267" spans="1:7" s="10" customFormat="1" ht="15.75" customHeight="1" x14ac:dyDescent="0.25">
      <c r="A267" s="1"/>
      <c r="B267" s="3"/>
      <c r="C267" s="39" t="s">
        <v>1944</v>
      </c>
      <c r="D267" s="57">
        <f>SUM(D268:D296)</f>
        <v>88867</v>
      </c>
      <c r="E267" s="51"/>
      <c r="F267" s="52"/>
      <c r="G267" s="52"/>
    </row>
    <row r="268" spans="1:7" s="10" customFormat="1" ht="15.75" customHeight="1" x14ac:dyDescent="0.25">
      <c r="A268" s="1"/>
      <c r="B268" s="3"/>
      <c r="C268" s="40" t="s">
        <v>1209</v>
      </c>
      <c r="D268" s="45">
        <v>2794</v>
      </c>
      <c r="E268" s="51"/>
      <c r="F268" s="52"/>
      <c r="G268" s="52"/>
    </row>
    <row r="269" spans="1:7" s="10" customFormat="1" ht="15.75" customHeight="1" x14ac:dyDescent="0.25">
      <c r="A269" s="1"/>
      <c r="B269" s="3"/>
      <c r="C269" s="40" t="s">
        <v>1210</v>
      </c>
      <c r="D269" s="45">
        <v>1711</v>
      </c>
      <c r="E269" s="51"/>
      <c r="F269" s="52"/>
      <c r="G269" s="52"/>
    </row>
    <row r="270" spans="1:7" s="10" customFormat="1" ht="15.75" customHeight="1" x14ac:dyDescent="0.25">
      <c r="A270" s="1"/>
      <c r="B270" s="3"/>
      <c r="C270" s="40" t="s">
        <v>1211</v>
      </c>
      <c r="D270" s="45">
        <v>2208</v>
      </c>
      <c r="E270" s="51"/>
      <c r="F270" s="52"/>
      <c r="G270" s="52"/>
    </row>
    <row r="271" spans="1:7" s="10" customFormat="1" ht="15.75" customHeight="1" x14ac:dyDescent="0.25">
      <c r="A271" s="1"/>
      <c r="B271" s="3"/>
      <c r="C271" s="40" t="s">
        <v>109</v>
      </c>
      <c r="D271" s="45">
        <v>2795</v>
      </c>
      <c r="E271" s="51"/>
      <c r="F271" s="52"/>
      <c r="G271" s="52"/>
    </row>
    <row r="272" spans="1:7" s="11" customFormat="1" ht="15.75" customHeight="1" x14ac:dyDescent="0.25">
      <c r="A272" s="1"/>
      <c r="B272" s="3"/>
      <c r="C272" s="40" t="s">
        <v>1212</v>
      </c>
      <c r="D272" s="45">
        <v>2506</v>
      </c>
      <c r="E272" s="51"/>
      <c r="F272" s="52"/>
      <c r="G272" s="52"/>
    </row>
    <row r="273" spans="1:7" s="9" customFormat="1" ht="15.75" customHeight="1" x14ac:dyDescent="0.25">
      <c r="A273" s="1"/>
      <c r="B273" s="3"/>
      <c r="C273" s="40" t="s">
        <v>1213</v>
      </c>
      <c r="D273" s="45">
        <v>2736</v>
      </c>
      <c r="E273" s="51"/>
      <c r="F273" s="52"/>
      <c r="G273" s="52"/>
    </row>
    <row r="274" spans="1:7" s="10" customFormat="1" ht="15.75" customHeight="1" x14ac:dyDescent="0.25">
      <c r="A274" s="1"/>
      <c r="B274" s="3"/>
      <c r="C274" s="40" t="s">
        <v>1214</v>
      </c>
      <c r="D274" s="45">
        <v>277</v>
      </c>
      <c r="E274" s="51"/>
      <c r="F274" s="52"/>
      <c r="G274" s="52"/>
    </row>
    <row r="275" spans="1:7" s="10" customFormat="1" ht="15.75" customHeight="1" x14ac:dyDescent="0.25">
      <c r="A275" s="1"/>
      <c r="B275" s="3"/>
      <c r="C275" s="40" t="s">
        <v>1215</v>
      </c>
      <c r="D275" s="45">
        <v>5127</v>
      </c>
      <c r="E275" s="51"/>
      <c r="F275" s="52"/>
      <c r="G275" s="52"/>
    </row>
    <row r="276" spans="1:7" s="10" customFormat="1" ht="15.75" customHeight="1" x14ac:dyDescent="0.25">
      <c r="A276" s="1"/>
      <c r="B276" s="3"/>
      <c r="C276" s="40" t="s">
        <v>1188</v>
      </c>
      <c r="D276" s="45">
        <v>6403</v>
      </c>
      <c r="E276" s="51"/>
      <c r="F276" s="52"/>
      <c r="G276" s="52"/>
    </row>
    <row r="277" spans="1:7" s="10" customFormat="1" ht="15.75" customHeight="1" x14ac:dyDescent="0.25">
      <c r="A277" s="1"/>
      <c r="B277" s="3"/>
      <c r="C277" s="40" t="s">
        <v>1216</v>
      </c>
      <c r="D277" s="45">
        <v>4120</v>
      </c>
      <c r="E277" s="51"/>
      <c r="F277" s="52"/>
      <c r="G277" s="52"/>
    </row>
    <row r="278" spans="1:7" s="10" customFormat="1" ht="15.75" customHeight="1" x14ac:dyDescent="0.25">
      <c r="A278" s="1"/>
      <c r="B278" s="3"/>
      <c r="C278" s="40" t="s">
        <v>1217</v>
      </c>
      <c r="D278" s="45">
        <v>10548</v>
      </c>
      <c r="E278" s="51"/>
      <c r="F278" s="52"/>
      <c r="G278" s="52"/>
    </row>
    <row r="279" spans="1:7" s="10" customFormat="1" ht="15.75" customHeight="1" x14ac:dyDescent="0.25">
      <c r="A279" s="1"/>
      <c r="B279" s="3"/>
      <c r="C279" s="40" t="s">
        <v>53</v>
      </c>
      <c r="D279" s="45">
        <v>4201</v>
      </c>
      <c r="E279" s="51"/>
      <c r="F279" s="52"/>
      <c r="G279" s="52"/>
    </row>
    <row r="280" spans="1:7" s="10" customFormat="1" ht="15.75" customHeight="1" x14ac:dyDescent="0.25">
      <c r="A280" s="1"/>
      <c r="B280" s="3"/>
      <c r="C280" s="40" t="s">
        <v>142</v>
      </c>
      <c r="D280" s="45">
        <v>4111</v>
      </c>
      <c r="E280" s="51"/>
      <c r="F280" s="52"/>
      <c r="G280" s="52"/>
    </row>
    <row r="281" spans="1:7" s="12" customFormat="1" ht="15.75" customHeight="1" x14ac:dyDescent="0.25">
      <c r="A281" s="1"/>
      <c r="B281" s="3"/>
      <c r="C281" s="40" t="s">
        <v>1218</v>
      </c>
      <c r="D281" s="45">
        <v>821</v>
      </c>
      <c r="E281" s="51"/>
      <c r="F281" s="52"/>
      <c r="G281" s="52"/>
    </row>
    <row r="282" spans="1:7" s="10" customFormat="1" ht="15.75" customHeight="1" x14ac:dyDescent="0.25">
      <c r="A282" s="1"/>
      <c r="B282" s="3"/>
      <c r="C282" s="40" t="s">
        <v>50</v>
      </c>
      <c r="D282" s="45">
        <v>4775</v>
      </c>
      <c r="E282" s="51"/>
      <c r="F282" s="52"/>
      <c r="G282" s="52"/>
    </row>
    <row r="283" spans="1:7" s="10" customFormat="1" ht="15.75" customHeight="1" x14ac:dyDescent="0.25">
      <c r="A283" s="1"/>
      <c r="B283" s="3"/>
      <c r="C283" s="40" t="s">
        <v>1219</v>
      </c>
      <c r="D283" s="45">
        <v>354</v>
      </c>
      <c r="E283" s="51"/>
      <c r="F283" s="52"/>
      <c r="G283" s="52"/>
    </row>
    <row r="284" spans="1:7" s="10" customFormat="1" ht="15.75" customHeight="1" x14ac:dyDescent="0.25">
      <c r="A284" s="1"/>
      <c r="B284" s="3"/>
      <c r="C284" s="40" t="s">
        <v>223</v>
      </c>
      <c r="D284" s="45">
        <v>3280</v>
      </c>
      <c r="E284" s="51"/>
      <c r="F284" s="52"/>
      <c r="G284" s="52"/>
    </row>
    <row r="285" spans="1:7" s="10" customFormat="1" ht="15.75" customHeight="1" x14ac:dyDescent="0.25">
      <c r="A285" s="1"/>
      <c r="B285" s="3"/>
      <c r="C285" s="40" t="s">
        <v>1220</v>
      </c>
      <c r="D285" s="45">
        <v>2582</v>
      </c>
      <c r="E285" s="51"/>
      <c r="F285" s="52"/>
      <c r="G285" s="52"/>
    </row>
    <row r="286" spans="1:7" s="10" customFormat="1" ht="15.75" customHeight="1" x14ac:dyDescent="0.25">
      <c r="A286" s="1"/>
      <c r="B286" s="3"/>
      <c r="C286" s="40" t="s">
        <v>1221</v>
      </c>
      <c r="D286" s="45">
        <v>6758</v>
      </c>
      <c r="E286" s="51"/>
      <c r="F286" s="52"/>
      <c r="G286" s="52"/>
    </row>
    <row r="287" spans="1:7" s="10" customFormat="1" ht="15.75" customHeight="1" x14ac:dyDescent="0.25">
      <c r="A287" s="1"/>
      <c r="B287" s="3"/>
      <c r="C287" s="40" t="s">
        <v>1222</v>
      </c>
      <c r="D287" s="45">
        <v>2814</v>
      </c>
      <c r="E287" s="51"/>
      <c r="F287" s="52"/>
      <c r="G287" s="52"/>
    </row>
    <row r="288" spans="1:7" s="10" customFormat="1" ht="15.75" customHeight="1" x14ac:dyDescent="0.25">
      <c r="A288" s="1"/>
      <c r="B288" s="3"/>
      <c r="C288" s="40" t="s">
        <v>1223</v>
      </c>
      <c r="D288" s="45">
        <v>1877</v>
      </c>
      <c r="E288" s="51"/>
      <c r="F288" s="52"/>
      <c r="G288" s="52"/>
    </row>
    <row r="289" spans="1:7" s="10" customFormat="1" ht="15.75" customHeight="1" x14ac:dyDescent="0.25">
      <c r="A289" s="1"/>
      <c r="B289" s="3"/>
      <c r="C289" s="40" t="s">
        <v>1224</v>
      </c>
      <c r="D289" s="45">
        <v>4332</v>
      </c>
      <c r="E289" s="51"/>
      <c r="F289" s="52"/>
      <c r="G289" s="52"/>
    </row>
    <row r="290" spans="1:7" s="10" customFormat="1" ht="15.75" customHeight="1" x14ac:dyDescent="0.25">
      <c r="A290" s="1"/>
      <c r="B290" s="3"/>
      <c r="C290" s="40" t="s">
        <v>1225</v>
      </c>
      <c r="D290" s="45">
        <v>1676</v>
      </c>
      <c r="E290" s="51"/>
      <c r="F290" s="52"/>
      <c r="G290" s="52"/>
    </row>
    <row r="291" spans="1:7" s="10" customFormat="1" ht="15.75" customHeight="1" x14ac:dyDescent="0.25">
      <c r="A291" s="1"/>
      <c r="B291" s="3"/>
      <c r="C291" s="40" t="s">
        <v>74</v>
      </c>
      <c r="D291" s="45">
        <v>357</v>
      </c>
      <c r="E291" s="51"/>
      <c r="F291" s="52"/>
      <c r="G291" s="52"/>
    </row>
    <row r="292" spans="1:7" s="11" customFormat="1" ht="15.75" customHeight="1" x14ac:dyDescent="0.25">
      <c r="A292" s="1"/>
      <c r="B292" s="3"/>
      <c r="C292" s="40" t="s">
        <v>15</v>
      </c>
      <c r="D292" s="45">
        <v>894</v>
      </c>
      <c r="E292" s="51"/>
      <c r="F292" s="52"/>
      <c r="G292" s="52"/>
    </row>
    <row r="293" spans="1:7" s="9" customFormat="1" ht="15.75" customHeight="1" x14ac:dyDescent="0.25">
      <c r="A293" s="1"/>
      <c r="B293" s="3"/>
      <c r="C293" s="40" t="s">
        <v>226</v>
      </c>
      <c r="D293" s="45">
        <v>1210</v>
      </c>
      <c r="E293" s="51"/>
      <c r="F293" s="52"/>
      <c r="G293" s="52"/>
    </row>
    <row r="294" spans="1:7" s="10" customFormat="1" ht="15.75" customHeight="1" x14ac:dyDescent="0.25">
      <c r="A294" s="1"/>
      <c r="B294" s="3"/>
      <c r="C294" s="40" t="s">
        <v>1226</v>
      </c>
      <c r="D294" s="45">
        <v>1893</v>
      </c>
      <c r="E294" s="51"/>
      <c r="F294" s="52"/>
      <c r="G294" s="52"/>
    </row>
    <row r="295" spans="1:7" s="10" customFormat="1" ht="15.75" customHeight="1" x14ac:dyDescent="0.25">
      <c r="A295" s="1"/>
      <c r="B295" s="3"/>
      <c r="C295" s="40" t="s">
        <v>1227</v>
      </c>
      <c r="D295" s="45">
        <v>4784</v>
      </c>
      <c r="E295" s="51"/>
      <c r="F295" s="52"/>
      <c r="G295" s="52"/>
    </row>
    <row r="296" spans="1:7" s="10" customFormat="1" ht="15.75" customHeight="1" x14ac:dyDescent="0.25">
      <c r="A296" s="1"/>
      <c r="B296" s="3"/>
      <c r="C296" s="40" t="s">
        <v>1228</v>
      </c>
      <c r="D296" s="45">
        <v>923</v>
      </c>
      <c r="E296" s="51"/>
      <c r="F296" s="52"/>
      <c r="G296" s="52"/>
    </row>
    <row r="297" spans="1:7" s="10" customFormat="1" ht="15.75" customHeight="1" x14ac:dyDescent="0.25">
      <c r="A297" s="1"/>
      <c r="B297" s="3"/>
      <c r="C297" s="40"/>
      <c r="D297" s="46"/>
      <c r="E297" s="51"/>
      <c r="F297" s="52"/>
      <c r="G297" s="52"/>
    </row>
    <row r="298" spans="1:7" s="10" customFormat="1" ht="15.75" customHeight="1" x14ac:dyDescent="0.25">
      <c r="A298" s="1"/>
      <c r="B298" s="3"/>
      <c r="C298" s="39" t="s">
        <v>1229</v>
      </c>
      <c r="D298" s="57">
        <f>SUM(D299:D309)</f>
        <v>17525</v>
      </c>
      <c r="E298" s="51"/>
      <c r="F298" s="52"/>
      <c r="G298" s="52"/>
    </row>
    <row r="299" spans="1:7" s="10" customFormat="1" ht="15.75" customHeight="1" x14ac:dyDescent="0.25">
      <c r="A299" s="1"/>
      <c r="B299" s="3"/>
      <c r="C299" s="40" t="s">
        <v>206</v>
      </c>
      <c r="D299" s="45">
        <v>503</v>
      </c>
      <c r="E299" s="51"/>
      <c r="F299" s="52"/>
      <c r="G299" s="52"/>
    </row>
    <row r="300" spans="1:7" s="10" customFormat="1" ht="15.75" customHeight="1" x14ac:dyDescent="0.25">
      <c r="A300" s="1"/>
      <c r="B300" s="3"/>
      <c r="C300" s="40" t="s">
        <v>1230</v>
      </c>
      <c r="D300" s="45">
        <v>3483</v>
      </c>
      <c r="E300" s="51"/>
      <c r="F300" s="52"/>
      <c r="G300" s="52"/>
    </row>
    <row r="301" spans="1:7" s="10" customFormat="1" ht="15.75" customHeight="1" x14ac:dyDescent="0.25">
      <c r="A301" s="1"/>
      <c r="B301" s="3"/>
      <c r="C301" s="40" t="s">
        <v>191</v>
      </c>
      <c r="D301" s="45">
        <v>1484</v>
      </c>
      <c r="E301" s="51"/>
      <c r="F301" s="52"/>
      <c r="G301" s="52"/>
    </row>
    <row r="302" spans="1:7" s="10" customFormat="1" ht="15.75" customHeight="1" x14ac:dyDescent="0.25">
      <c r="A302" s="1"/>
      <c r="B302" s="3"/>
      <c r="C302" s="40" t="s">
        <v>1231</v>
      </c>
      <c r="D302" s="45">
        <v>1563</v>
      </c>
      <c r="E302" s="51"/>
      <c r="F302" s="52"/>
      <c r="G302" s="52"/>
    </row>
    <row r="303" spans="1:7" s="10" customFormat="1" ht="15.75" customHeight="1" x14ac:dyDescent="0.25">
      <c r="A303" s="1"/>
      <c r="B303" s="3"/>
      <c r="C303" s="40" t="s">
        <v>2</v>
      </c>
      <c r="D303" s="45">
        <v>4169</v>
      </c>
      <c r="E303" s="51"/>
      <c r="F303" s="52"/>
      <c r="G303" s="52"/>
    </row>
    <row r="304" spans="1:7" s="10" customFormat="1" ht="15.75" customHeight="1" x14ac:dyDescent="0.25">
      <c r="A304" s="1"/>
      <c r="B304" s="3"/>
      <c r="C304" s="40" t="s">
        <v>3</v>
      </c>
      <c r="D304" s="45">
        <v>1039</v>
      </c>
      <c r="E304" s="51"/>
      <c r="F304" s="52"/>
      <c r="G304" s="52"/>
    </row>
    <row r="305" spans="1:7" s="10" customFormat="1" ht="15.75" customHeight="1" x14ac:dyDescent="0.25">
      <c r="A305" s="1"/>
      <c r="B305" s="3"/>
      <c r="C305" s="40" t="s">
        <v>1232</v>
      </c>
      <c r="D305" s="45">
        <v>1435</v>
      </c>
      <c r="E305" s="51"/>
      <c r="F305" s="52"/>
      <c r="G305" s="52"/>
    </row>
    <row r="306" spans="1:7" s="10" customFormat="1" ht="15.75" customHeight="1" x14ac:dyDescent="0.25">
      <c r="A306" s="1"/>
      <c r="B306" s="3"/>
      <c r="C306" s="40" t="s">
        <v>1233</v>
      </c>
      <c r="D306" s="45">
        <v>1235</v>
      </c>
      <c r="E306" s="51"/>
      <c r="F306" s="52"/>
      <c r="G306" s="52"/>
    </row>
    <row r="307" spans="1:7" s="10" customFormat="1" ht="15.75" customHeight="1" x14ac:dyDescent="0.25">
      <c r="A307" s="1"/>
      <c r="B307" s="3"/>
      <c r="C307" s="40" t="s">
        <v>1234</v>
      </c>
      <c r="D307" s="45">
        <v>984</v>
      </c>
      <c r="E307" s="51"/>
      <c r="F307" s="52"/>
      <c r="G307" s="52"/>
    </row>
    <row r="308" spans="1:7" s="10" customFormat="1" ht="15.75" customHeight="1" x14ac:dyDescent="0.25">
      <c r="A308" s="1"/>
      <c r="B308" s="3"/>
      <c r="C308" s="40" t="s">
        <v>185</v>
      </c>
      <c r="D308" s="45">
        <v>689</v>
      </c>
      <c r="E308" s="51"/>
      <c r="F308" s="52"/>
      <c r="G308" s="52"/>
    </row>
    <row r="309" spans="1:7" s="10" customFormat="1" ht="15.75" customHeight="1" x14ac:dyDescent="0.25">
      <c r="A309" s="1"/>
      <c r="B309" s="3"/>
      <c r="C309" s="40" t="s">
        <v>1235</v>
      </c>
      <c r="D309" s="45">
        <v>941</v>
      </c>
      <c r="E309" s="51"/>
      <c r="F309" s="52"/>
      <c r="G309" s="52"/>
    </row>
    <row r="310" spans="1:7" s="10" customFormat="1" ht="15.75" customHeight="1" x14ac:dyDescent="0.25">
      <c r="A310" s="1"/>
      <c r="B310" s="3"/>
      <c r="C310" s="40"/>
      <c r="D310" s="46"/>
      <c r="E310" s="51"/>
      <c r="F310" s="52"/>
      <c r="G310" s="52"/>
    </row>
    <row r="311" spans="1:7" s="10" customFormat="1" ht="15.75" customHeight="1" x14ac:dyDescent="0.25">
      <c r="A311" s="1"/>
      <c r="B311" s="3"/>
      <c r="C311" s="39" t="s">
        <v>1236</v>
      </c>
      <c r="D311" s="57">
        <f>SUM(D312:D330)</f>
        <v>38187</v>
      </c>
      <c r="E311" s="51"/>
      <c r="F311" s="52"/>
      <c r="G311" s="52"/>
    </row>
    <row r="312" spans="1:7" s="10" customFormat="1" ht="15.75" customHeight="1" x14ac:dyDescent="0.25">
      <c r="A312" s="1"/>
      <c r="B312" s="3"/>
      <c r="C312" s="40" t="s">
        <v>42</v>
      </c>
      <c r="D312" s="45">
        <v>656</v>
      </c>
      <c r="E312" s="51"/>
      <c r="F312" s="52"/>
      <c r="G312" s="52"/>
    </row>
    <row r="313" spans="1:7" s="10" customFormat="1" ht="15.75" customHeight="1" x14ac:dyDescent="0.25">
      <c r="A313" s="1"/>
      <c r="B313" s="3"/>
      <c r="C313" s="40" t="s">
        <v>1237</v>
      </c>
      <c r="D313" s="45">
        <v>815</v>
      </c>
      <c r="E313" s="51"/>
      <c r="F313" s="52"/>
      <c r="G313" s="52"/>
    </row>
    <row r="314" spans="1:7" s="10" customFormat="1" ht="15.75" customHeight="1" x14ac:dyDescent="0.25">
      <c r="A314" s="1"/>
      <c r="B314" s="3"/>
      <c r="C314" s="40" t="s">
        <v>1238</v>
      </c>
      <c r="D314" s="45">
        <v>1251</v>
      </c>
      <c r="E314" s="51"/>
      <c r="F314" s="52"/>
      <c r="G314" s="52"/>
    </row>
    <row r="315" spans="1:7" s="10" customFormat="1" ht="15.75" customHeight="1" x14ac:dyDescent="0.25">
      <c r="A315" s="1"/>
      <c r="B315" s="3"/>
      <c r="C315" s="40" t="s">
        <v>1239</v>
      </c>
      <c r="D315" s="45">
        <v>1640</v>
      </c>
      <c r="E315" s="51"/>
      <c r="F315" s="52"/>
      <c r="G315" s="52"/>
    </row>
    <row r="316" spans="1:7" s="10" customFormat="1" ht="15.75" customHeight="1" x14ac:dyDescent="0.25">
      <c r="A316" s="1"/>
      <c r="B316" s="3"/>
      <c r="C316" s="40" t="s">
        <v>1240</v>
      </c>
      <c r="D316" s="45">
        <v>1112</v>
      </c>
      <c r="E316" s="51"/>
      <c r="F316" s="52"/>
      <c r="G316" s="52"/>
    </row>
    <row r="317" spans="1:7" s="10" customFormat="1" ht="15.75" customHeight="1" x14ac:dyDescent="0.25">
      <c r="A317" s="1"/>
      <c r="B317" s="3"/>
      <c r="C317" s="40" t="s">
        <v>1241</v>
      </c>
      <c r="D317" s="45">
        <v>1675</v>
      </c>
      <c r="E317" s="51"/>
      <c r="F317" s="52"/>
      <c r="G317" s="52"/>
    </row>
    <row r="318" spans="1:7" s="10" customFormat="1" ht="15.75" customHeight="1" x14ac:dyDescent="0.25">
      <c r="A318" s="1"/>
      <c r="B318" s="3"/>
      <c r="C318" s="40" t="s">
        <v>1242</v>
      </c>
      <c r="D318" s="45">
        <v>4780</v>
      </c>
      <c r="E318" s="51"/>
      <c r="F318" s="52"/>
      <c r="G318" s="52"/>
    </row>
    <row r="319" spans="1:7" s="10" customFormat="1" ht="15.75" customHeight="1" x14ac:dyDescent="0.25">
      <c r="A319" s="1"/>
      <c r="B319" s="3"/>
      <c r="C319" s="40" t="s">
        <v>1243</v>
      </c>
      <c r="D319" s="45">
        <v>1543</v>
      </c>
      <c r="E319" s="51"/>
      <c r="F319" s="52"/>
      <c r="G319" s="52"/>
    </row>
    <row r="320" spans="1:7" s="11" customFormat="1" ht="15.75" customHeight="1" x14ac:dyDescent="0.25">
      <c r="A320" s="1"/>
      <c r="B320" s="3"/>
      <c r="C320" s="40" t="s">
        <v>1244</v>
      </c>
      <c r="D320" s="45">
        <v>2360</v>
      </c>
      <c r="E320" s="51"/>
      <c r="F320" s="52"/>
      <c r="G320" s="52"/>
    </row>
    <row r="321" spans="1:7" s="9" customFormat="1" ht="15.75" customHeight="1" x14ac:dyDescent="0.25">
      <c r="A321" s="1"/>
      <c r="B321" s="3"/>
      <c r="C321" s="40" t="s">
        <v>1245</v>
      </c>
      <c r="D321" s="45">
        <v>1889</v>
      </c>
      <c r="E321" s="51"/>
      <c r="F321" s="52"/>
      <c r="G321" s="52"/>
    </row>
    <row r="322" spans="1:7" s="10" customFormat="1" ht="15.75" customHeight="1" x14ac:dyDescent="0.25">
      <c r="A322" s="1"/>
      <c r="B322" s="3"/>
      <c r="C322" s="40" t="s">
        <v>1246</v>
      </c>
      <c r="D322" s="45">
        <v>3981</v>
      </c>
      <c r="E322" s="51"/>
      <c r="F322" s="52"/>
      <c r="G322" s="52"/>
    </row>
    <row r="323" spans="1:7" s="10" customFormat="1" ht="15.75" customHeight="1" x14ac:dyDescent="0.25">
      <c r="A323" s="1"/>
      <c r="B323" s="3"/>
      <c r="C323" s="40" t="s">
        <v>1247</v>
      </c>
      <c r="D323" s="45">
        <v>1536</v>
      </c>
      <c r="E323" s="51"/>
      <c r="F323" s="52"/>
      <c r="G323" s="52"/>
    </row>
    <row r="324" spans="1:7" s="10" customFormat="1" ht="15.75" customHeight="1" x14ac:dyDescent="0.25">
      <c r="A324" s="1"/>
      <c r="B324" s="3"/>
      <c r="C324" s="40" t="s">
        <v>1248</v>
      </c>
      <c r="D324" s="45">
        <v>3048</v>
      </c>
      <c r="E324" s="51"/>
      <c r="F324" s="52"/>
      <c r="G324" s="52"/>
    </row>
    <row r="325" spans="1:7" s="10" customFormat="1" ht="15.75" customHeight="1" x14ac:dyDescent="0.25">
      <c r="A325" s="1"/>
      <c r="B325" s="3"/>
      <c r="C325" s="40" t="s">
        <v>1249</v>
      </c>
      <c r="D325" s="45">
        <v>1509</v>
      </c>
      <c r="E325" s="51"/>
      <c r="F325" s="52"/>
      <c r="G325" s="52"/>
    </row>
    <row r="326" spans="1:7" s="12" customFormat="1" ht="15.75" customHeight="1" x14ac:dyDescent="0.25">
      <c r="A326" s="1"/>
      <c r="B326" s="3"/>
      <c r="C326" s="40" t="s">
        <v>2</v>
      </c>
      <c r="D326" s="45">
        <v>5286</v>
      </c>
      <c r="E326" s="51"/>
      <c r="F326" s="52"/>
      <c r="G326" s="52"/>
    </row>
    <row r="327" spans="1:7" s="10" customFormat="1" ht="15.75" customHeight="1" x14ac:dyDescent="0.25">
      <c r="A327" s="1"/>
      <c r="B327" s="3"/>
      <c r="C327" s="40" t="s">
        <v>1250</v>
      </c>
      <c r="D327" s="45">
        <v>1466</v>
      </c>
      <c r="E327" s="51"/>
      <c r="F327" s="52"/>
      <c r="G327" s="52"/>
    </row>
    <row r="328" spans="1:7" s="10" customFormat="1" ht="15.75" customHeight="1" x14ac:dyDescent="0.25">
      <c r="A328" s="1"/>
      <c r="B328" s="3"/>
      <c r="C328" s="40" t="s">
        <v>6</v>
      </c>
      <c r="D328" s="45">
        <v>739</v>
      </c>
      <c r="E328" s="51"/>
      <c r="F328" s="52"/>
      <c r="G328" s="52"/>
    </row>
    <row r="329" spans="1:7" s="12" customFormat="1" ht="15.75" customHeight="1" x14ac:dyDescent="0.25">
      <c r="A329" s="1"/>
      <c r="B329" s="3"/>
      <c r="C329" s="40" t="s">
        <v>199</v>
      </c>
      <c r="D329" s="45">
        <v>1846</v>
      </c>
      <c r="E329" s="51"/>
      <c r="F329" s="52"/>
      <c r="G329" s="52"/>
    </row>
    <row r="330" spans="1:7" s="10" customFormat="1" ht="15.75" customHeight="1" x14ac:dyDescent="0.25">
      <c r="A330" s="1"/>
      <c r="B330" s="3"/>
      <c r="C330" s="40" t="s">
        <v>1251</v>
      </c>
      <c r="D330" s="45">
        <v>1055</v>
      </c>
      <c r="E330" s="51"/>
      <c r="F330" s="52"/>
      <c r="G330" s="52"/>
    </row>
    <row r="331" spans="1:7" s="10" customFormat="1" ht="15.75" customHeight="1" x14ac:dyDescent="0.25">
      <c r="A331" s="1"/>
      <c r="B331" s="3"/>
      <c r="C331" s="39" t="s">
        <v>1943</v>
      </c>
      <c r="D331" s="57">
        <f>SUM(D332:D346)</f>
        <v>136453</v>
      </c>
      <c r="E331" s="51"/>
      <c r="F331" s="52"/>
      <c r="G331" s="52"/>
    </row>
    <row r="332" spans="1:7" s="12" customFormat="1" ht="15.75" customHeight="1" x14ac:dyDescent="0.25">
      <c r="A332" s="1"/>
      <c r="B332" s="3"/>
      <c r="C332" s="40" t="s">
        <v>1252</v>
      </c>
      <c r="D332" s="45">
        <v>13499</v>
      </c>
      <c r="E332" s="51"/>
      <c r="F332" s="52"/>
      <c r="G332" s="52"/>
    </row>
    <row r="333" spans="1:7" s="12" customFormat="1" ht="15.75" customHeight="1" x14ac:dyDescent="0.25">
      <c r="A333" s="1"/>
      <c r="B333" s="3"/>
      <c r="C333" s="40" t="s">
        <v>26</v>
      </c>
      <c r="D333" s="45">
        <v>3664</v>
      </c>
      <c r="E333" s="51"/>
      <c r="F333" s="52"/>
      <c r="G333" s="52"/>
    </row>
    <row r="334" spans="1:7" s="10" customFormat="1" ht="15.75" customHeight="1" x14ac:dyDescent="0.25">
      <c r="A334" s="1"/>
      <c r="B334" s="3"/>
      <c r="C334" s="40" t="s">
        <v>1253</v>
      </c>
      <c r="D334" s="45">
        <v>3882</v>
      </c>
      <c r="E334" s="51"/>
      <c r="F334" s="52"/>
      <c r="G334" s="52"/>
    </row>
    <row r="335" spans="1:7" s="10" customFormat="1" ht="15.75" customHeight="1" x14ac:dyDescent="0.25">
      <c r="A335" s="1"/>
      <c r="B335" s="3"/>
      <c r="C335" s="40" t="s">
        <v>1254</v>
      </c>
      <c r="D335" s="45">
        <v>10870</v>
      </c>
      <c r="E335" s="51"/>
      <c r="F335" s="52"/>
      <c r="G335" s="52"/>
    </row>
    <row r="336" spans="1:7" s="10" customFormat="1" ht="15.75" customHeight="1" x14ac:dyDescent="0.25">
      <c r="A336" s="1"/>
      <c r="B336" s="3"/>
      <c r="C336" s="40" t="s">
        <v>53</v>
      </c>
      <c r="D336" s="45">
        <v>15064</v>
      </c>
      <c r="E336" s="51"/>
      <c r="F336" s="52"/>
      <c r="G336" s="52"/>
    </row>
    <row r="337" spans="1:7" s="10" customFormat="1" ht="15.75" customHeight="1" x14ac:dyDescent="0.25">
      <c r="A337" s="1"/>
      <c r="B337" s="3"/>
      <c r="C337" s="40" t="s">
        <v>1255</v>
      </c>
      <c r="D337" s="45">
        <v>9245</v>
      </c>
      <c r="E337" s="51"/>
      <c r="F337" s="52"/>
      <c r="G337" s="52"/>
    </row>
    <row r="338" spans="1:7" s="10" customFormat="1" ht="15.75" customHeight="1" x14ac:dyDescent="0.25">
      <c r="A338" s="1"/>
      <c r="B338" s="3"/>
      <c r="C338" s="40" t="s">
        <v>268</v>
      </c>
      <c r="D338" s="45">
        <v>7224</v>
      </c>
      <c r="E338" s="51"/>
      <c r="F338" s="52"/>
      <c r="G338" s="52"/>
    </row>
    <row r="339" spans="1:7" s="10" customFormat="1" ht="15.75" customHeight="1" x14ac:dyDescent="0.25">
      <c r="A339" s="1"/>
      <c r="B339" s="3"/>
      <c r="C339" s="40" t="s">
        <v>1256</v>
      </c>
      <c r="D339" s="45">
        <v>10469</v>
      </c>
      <c r="E339" s="51"/>
      <c r="F339" s="52"/>
      <c r="G339" s="52"/>
    </row>
    <row r="340" spans="1:7" s="10" customFormat="1" ht="15.75" customHeight="1" x14ac:dyDescent="0.25">
      <c r="A340" s="1"/>
      <c r="B340" s="3"/>
      <c r="C340" s="40" t="s">
        <v>1257</v>
      </c>
      <c r="D340" s="45">
        <v>16818</v>
      </c>
      <c r="E340" s="51"/>
      <c r="F340" s="52"/>
      <c r="G340" s="52"/>
    </row>
    <row r="341" spans="1:7" s="10" customFormat="1" ht="15.75" customHeight="1" x14ac:dyDescent="0.25">
      <c r="A341" s="1"/>
      <c r="B341" s="3"/>
      <c r="C341" s="40" t="s">
        <v>91</v>
      </c>
      <c r="D341" s="45">
        <v>6037</v>
      </c>
      <c r="E341" s="51"/>
      <c r="F341" s="52"/>
      <c r="G341" s="52"/>
    </row>
    <row r="342" spans="1:7" s="12" customFormat="1" ht="15.75" customHeight="1" x14ac:dyDescent="0.25">
      <c r="A342" s="1"/>
      <c r="B342" s="3"/>
      <c r="C342" s="40" t="s">
        <v>743</v>
      </c>
      <c r="D342" s="45">
        <v>12722</v>
      </c>
      <c r="E342" s="51"/>
      <c r="F342" s="52"/>
      <c r="G342" s="52"/>
    </row>
    <row r="343" spans="1:7" s="9" customFormat="1" ht="15.75" customHeight="1" x14ac:dyDescent="0.25">
      <c r="A343" s="1"/>
      <c r="B343" s="3"/>
      <c r="C343" s="40" t="s">
        <v>807</v>
      </c>
      <c r="D343" s="45">
        <v>10525</v>
      </c>
      <c r="E343" s="51"/>
      <c r="F343" s="52"/>
      <c r="G343" s="52"/>
    </row>
    <row r="344" spans="1:7" s="9" customFormat="1" ht="15.75" customHeight="1" x14ac:dyDescent="0.25">
      <c r="A344" s="1"/>
      <c r="B344" s="3"/>
      <c r="C344" s="40" t="s">
        <v>808</v>
      </c>
      <c r="D344" s="45">
        <v>2318</v>
      </c>
      <c r="E344" s="51"/>
      <c r="F344" s="52"/>
      <c r="G344" s="52"/>
    </row>
    <row r="345" spans="1:7" s="10" customFormat="1" ht="15.75" customHeight="1" x14ac:dyDescent="0.25">
      <c r="A345" s="1"/>
      <c r="B345" s="3"/>
      <c r="C345" s="40" t="s">
        <v>926</v>
      </c>
      <c r="D345" s="45">
        <v>7329</v>
      </c>
      <c r="E345" s="51"/>
      <c r="F345" s="52"/>
      <c r="G345" s="52"/>
    </row>
    <row r="346" spans="1:7" s="10" customFormat="1" ht="15.75" customHeight="1" x14ac:dyDescent="0.25">
      <c r="A346" s="1"/>
      <c r="B346" s="3"/>
      <c r="C346" s="40" t="s">
        <v>232</v>
      </c>
      <c r="D346" s="45">
        <v>6787</v>
      </c>
      <c r="E346" s="51"/>
      <c r="F346" s="52"/>
      <c r="G346" s="52"/>
    </row>
    <row r="347" spans="1:7" s="10" customFormat="1" ht="15.75" customHeight="1" x14ac:dyDescent="0.25">
      <c r="A347" s="1"/>
      <c r="B347" s="3"/>
      <c r="C347" s="40"/>
      <c r="D347" s="46"/>
      <c r="E347" s="51"/>
      <c r="F347" s="52"/>
      <c r="G347" s="52"/>
    </row>
    <row r="348" spans="1:7" s="10" customFormat="1" ht="15.75" customHeight="1" x14ac:dyDescent="0.25">
      <c r="A348" s="1"/>
      <c r="B348" s="3"/>
      <c r="C348" s="39" t="s">
        <v>436</v>
      </c>
      <c r="D348" s="57">
        <f>SUM(D349:D369)</f>
        <v>57897</v>
      </c>
      <c r="E348" s="51"/>
      <c r="F348" s="52"/>
      <c r="G348" s="52"/>
    </row>
    <row r="349" spans="1:7" s="10" customFormat="1" ht="15.75" customHeight="1" x14ac:dyDescent="0.25">
      <c r="A349" s="1"/>
      <c r="B349" s="3"/>
      <c r="C349" s="40" t="s">
        <v>1258</v>
      </c>
      <c r="D349" s="45">
        <v>5605</v>
      </c>
      <c r="E349" s="51"/>
      <c r="F349" s="52"/>
      <c r="G349" s="52"/>
    </row>
    <row r="350" spans="1:7" s="10" customFormat="1" ht="15.75" customHeight="1" x14ac:dyDescent="0.25">
      <c r="A350" s="1"/>
      <c r="B350" s="3"/>
      <c r="C350" s="40" t="s">
        <v>1259</v>
      </c>
      <c r="D350" s="45">
        <v>2140</v>
      </c>
      <c r="E350" s="51"/>
      <c r="F350" s="52"/>
      <c r="G350" s="52"/>
    </row>
    <row r="351" spans="1:7" s="10" customFormat="1" ht="15.75" customHeight="1" x14ac:dyDescent="0.25">
      <c r="A351" s="1"/>
      <c r="B351" s="3"/>
      <c r="C351" s="40" t="s">
        <v>1260</v>
      </c>
      <c r="D351" s="45">
        <v>1666</v>
      </c>
      <c r="E351" s="51"/>
      <c r="F351" s="52"/>
      <c r="G351" s="52"/>
    </row>
    <row r="352" spans="1:7" s="10" customFormat="1" ht="15.75" customHeight="1" x14ac:dyDescent="0.25">
      <c r="A352" s="1"/>
      <c r="B352" s="3"/>
      <c r="C352" s="40" t="s">
        <v>1261</v>
      </c>
      <c r="D352" s="45">
        <v>1665</v>
      </c>
      <c r="E352" s="51"/>
      <c r="F352" s="52"/>
      <c r="G352" s="52"/>
    </row>
    <row r="353" spans="1:7" s="10" customFormat="1" ht="15.75" customHeight="1" x14ac:dyDescent="0.25">
      <c r="A353" s="1"/>
      <c r="B353" s="3"/>
      <c r="C353" s="40" t="s">
        <v>1262</v>
      </c>
      <c r="D353" s="45">
        <v>1294</v>
      </c>
      <c r="E353" s="51"/>
      <c r="F353" s="52"/>
      <c r="G353" s="52"/>
    </row>
    <row r="354" spans="1:7" s="10" customFormat="1" ht="15.75" customHeight="1" x14ac:dyDescent="0.25">
      <c r="A354" s="1"/>
      <c r="B354" s="3"/>
      <c r="C354" s="40" t="s">
        <v>1263</v>
      </c>
      <c r="D354" s="45">
        <v>3038</v>
      </c>
      <c r="E354" s="51"/>
      <c r="F354" s="52"/>
      <c r="G354" s="52"/>
    </row>
    <row r="355" spans="1:7" s="10" customFormat="1" ht="15.75" customHeight="1" x14ac:dyDescent="0.25">
      <c r="A355" s="1"/>
      <c r="B355" s="3"/>
      <c r="C355" s="40" t="s">
        <v>217</v>
      </c>
      <c r="D355" s="45">
        <v>4701</v>
      </c>
      <c r="E355" s="51"/>
      <c r="F355" s="52"/>
      <c r="G355" s="52"/>
    </row>
    <row r="356" spans="1:7" s="10" customFormat="1" ht="15.75" customHeight="1" x14ac:dyDescent="0.25">
      <c r="A356" s="1"/>
      <c r="B356" s="3"/>
      <c r="C356" s="40" t="s">
        <v>218</v>
      </c>
      <c r="D356" s="45">
        <v>2646</v>
      </c>
      <c r="E356" s="51"/>
      <c r="F356" s="52"/>
      <c r="G356" s="52"/>
    </row>
    <row r="357" spans="1:7" s="10" customFormat="1" ht="15.75" customHeight="1" x14ac:dyDescent="0.25">
      <c r="A357" s="1"/>
      <c r="B357" s="3"/>
      <c r="C357" s="40" t="s">
        <v>1264</v>
      </c>
      <c r="D357" s="45">
        <v>3316</v>
      </c>
      <c r="E357" s="51"/>
      <c r="F357" s="52"/>
      <c r="G357" s="52"/>
    </row>
    <row r="358" spans="1:7" s="10" customFormat="1" ht="15.75" customHeight="1" x14ac:dyDescent="0.25">
      <c r="A358" s="1"/>
      <c r="B358" s="3"/>
      <c r="C358" s="40" t="s">
        <v>1265</v>
      </c>
      <c r="D358" s="45">
        <v>2145</v>
      </c>
      <c r="E358" s="51"/>
      <c r="F358" s="52"/>
      <c r="G358" s="52"/>
    </row>
    <row r="359" spans="1:7" s="10" customFormat="1" ht="15.75" customHeight="1" x14ac:dyDescent="0.25">
      <c r="A359" s="1"/>
      <c r="B359" s="3"/>
      <c r="C359" s="40" t="s">
        <v>27</v>
      </c>
      <c r="D359" s="45">
        <v>2525</v>
      </c>
      <c r="E359" s="51"/>
      <c r="F359" s="52"/>
      <c r="G359" s="52"/>
    </row>
    <row r="360" spans="1:7" s="10" customFormat="1" ht="15.75" customHeight="1" x14ac:dyDescent="0.25">
      <c r="A360" s="1"/>
      <c r="B360" s="3"/>
      <c r="C360" s="40" t="s">
        <v>73</v>
      </c>
      <c r="D360" s="45">
        <v>1194</v>
      </c>
      <c r="E360" s="51"/>
      <c r="F360" s="52"/>
      <c r="G360" s="52"/>
    </row>
    <row r="361" spans="1:7" s="10" customFormat="1" ht="15.75" customHeight="1" x14ac:dyDescent="0.25">
      <c r="A361" s="1"/>
      <c r="B361" s="3"/>
      <c r="C361" s="40" t="s">
        <v>407</v>
      </c>
      <c r="D361" s="45">
        <v>703</v>
      </c>
      <c r="E361" s="51"/>
      <c r="F361" s="52"/>
      <c r="G361" s="52"/>
    </row>
    <row r="362" spans="1:7" s="10" customFormat="1" ht="15.75" customHeight="1" x14ac:dyDescent="0.25">
      <c r="A362" s="1"/>
      <c r="B362" s="3"/>
      <c r="C362" s="40" t="s">
        <v>1266</v>
      </c>
      <c r="D362" s="45">
        <v>1524</v>
      </c>
      <c r="E362" s="51"/>
      <c r="F362" s="52"/>
      <c r="G362" s="52"/>
    </row>
    <row r="363" spans="1:7" s="11" customFormat="1" ht="15.75" customHeight="1" x14ac:dyDescent="0.25">
      <c r="A363" s="1"/>
      <c r="B363" s="3"/>
      <c r="C363" s="40" t="s">
        <v>150</v>
      </c>
      <c r="D363" s="45">
        <v>6590</v>
      </c>
      <c r="E363" s="51"/>
      <c r="F363" s="52"/>
      <c r="G363" s="52"/>
    </row>
    <row r="364" spans="1:7" s="9" customFormat="1" ht="15.75" customHeight="1" x14ac:dyDescent="0.25">
      <c r="A364" s="1"/>
      <c r="B364" s="3"/>
      <c r="C364" s="40" t="s">
        <v>2</v>
      </c>
      <c r="D364" s="45">
        <v>5446</v>
      </c>
      <c r="E364" s="51"/>
      <c r="F364" s="52"/>
      <c r="G364" s="52"/>
    </row>
    <row r="365" spans="1:7" s="10" customFormat="1" ht="15.75" customHeight="1" x14ac:dyDescent="0.25">
      <c r="A365" s="1"/>
      <c r="B365" s="3"/>
      <c r="C365" s="40" t="s">
        <v>1267</v>
      </c>
      <c r="D365" s="45">
        <v>2818</v>
      </c>
      <c r="E365" s="51"/>
      <c r="F365" s="52"/>
      <c r="G365" s="52"/>
    </row>
    <row r="366" spans="1:7" s="10" customFormat="1" ht="15.75" customHeight="1" x14ac:dyDescent="0.25">
      <c r="A366" s="1"/>
      <c r="B366" s="3"/>
      <c r="C366" s="40" t="s">
        <v>1268</v>
      </c>
      <c r="D366" s="45">
        <v>949</v>
      </c>
      <c r="E366" s="51"/>
      <c r="F366" s="52"/>
      <c r="G366" s="52"/>
    </row>
    <row r="367" spans="1:7" s="10" customFormat="1" ht="15.75" customHeight="1" x14ac:dyDescent="0.25">
      <c r="A367" s="1"/>
      <c r="B367" s="3"/>
      <c r="C367" s="40" t="s">
        <v>1269</v>
      </c>
      <c r="D367" s="45">
        <v>2448</v>
      </c>
      <c r="E367" s="51"/>
      <c r="F367" s="52"/>
      <c r="G367" s="52"/>
    </row>
    <row r="368" spans="1:7" s="10" customFormat="1" ht="15.75" customHeight="1" x14ac:dyDescent="0.25">
      <c r="A368" s="1"/>
      <c r="B368" s="3"/>
      <c r="C368" s="40" t="s">
        <v>1270</v>
      </c>
      <c r="D368" s="45">
        <v>2790</v>
      </c>
      <c r="E368" s="51"/>
      <c r="F368" s="52"/>
      <c r="G368" s="52"/>
    </row>
    <row r="369" spans="1:7" s="10" customFormat="1" ht="15.75" customHeight="1" x14ac:dyDescent="0.25">
      <c r="A369" s="1"/>
      <c r="B369" s="3"/>
      <c r="C369" s="40" t="s">
        <v>1271</v>
      </c>
      <c r="D369" s="45">
        <v>2694</v>
      </c>
      <c r="E369" s="51"/>
      <c r="F369" s="52"/>
      <c r="G369" s="52"/>
    </row>
    <row r="370" spans="1:7" s="10" customFormat="1" ht="15.75" customHeight="1" x14ac:dyDescent="0.25">
      <c r="A370" s="1"/>
      <c r="B370" s="3"/>
      <c r="C370" s="40"/>
      <c r="D370" s="46"/>
      <c r="E370" s="51"/>
      <c r="F370" s="52"/>
      <c r="G370" s="52"/>
    </row>
    <row r="371" spans="1:7" s="10" customFormat="1" ht="15.75" customHeight="1" x14ac:dyDescent="0.25">
      <c r="A371" s="1"/>
      <c r="B371" s="3"/>
      <c r="C371" s="39" t="s">
        <v>1272</v>
      </c>
      <c r="D371" s="57">
        <f>SUM(D372:D391)</f>
        <v>33745</v>
      </c>
      <c r="E371" s="51"/>
      <c r="F371" s="52"/>
      <c r="G371" s="52"/>
    </row>
    <row r="372" spans="1:7" s="10" customFormat="1" ht="15.75" customHeight="1" x14ac:dyDescent="0.25">
      <c r="A372" s="1"/>
      <c r="B372" s="3"/>
      <c r="C372" s="40" t="s">
        <v>1273</v>
      </c>
      <c r="D372" s="45">
        <v>1127</v>
      </c>
      <c r="E372" s="51"/>
      <c r="F372" s="52"/>
      <c r="G372" s="52"/>
    </row>
    <row r="373" spans="1:7" s="10" customFormat="1" ht="15.75" customHeight="1" x14ac:dyDescent="0.25">
      <c r="A373" s="1"/>
      <c r="B373" s="3"/>
      <c r="C373" s="40" t="s">
        <v>1274</v>
      </c>
      <c r="D373" s="45">
        <v>191</v>
      </c>
      <c r="E373" s="51"/>
      <c r="F373" s="52"/>
      <c r="G373" s="52"/>
    </row>
    <row r="374" spans="1:7" s="10" customFormat="1" ht="15.75" customHeight="1" x14ac:dyDescent="0.25">
      <c r="A374" s="1"/>
      <c r="B374" s="3"/>
      <c r="C374" s="40" t="s">
        <v>1275</v>
      </c>
      <c r="D374" s="45">
        <v>281</v>
      </c>
      <c r="E374" s="51"/>
      <c r="F374" s="52"/>
      <c r="G374" s="52"/>
    </row>
    <row r="375" spans="1:7" s="10" customFormat="1" ht="15.75" customHeight="1" x14ac:dyDescent="0.25">
      <c r="A375" s="1"/>
      <c r="B375" s="3"/>
      <c r="C375" s="40" t="s">
        <v>1276</v>
      </c>
      <c r="D375" s="45">
        <v>967</v>
      </c>
      <c r="E375" s="51"/>
      <c r="F375" s="52"/>
      <c r="G375" s="52"/>
    </row>
    <row r="376" spans="1:7" s="10" customFormat="1" ht="15.75" customHeight="1" x14ac:dyDescent="0.25">
      <c r="A376" s="1"/>
      <c r="B376" s="3"/>
      <c r="C376" s="40" t="s">
        <v>1277</v>
      </c>
      <c r="D376" s="45">
        <v>384</v>
      </c>
      <c r="E376" s="51"/>
      <c r="F376" s="52"/>
      <c r="G376" s="52"/>
    </row>
    <row r="377" spans="1:7" s="10" customFormat="1" ht="15.75" customHeight="1" x14ac:dyDescent="0.25">
      <c r="A377" s="1"/>
      <c r="B377" s="3"/>
      <c r="C377" s="40" t="s">
        <v>229</v>
      </c>
      <c r="D377" s="45">
        <v>1430</v>
      </c>
      <c r="E377" s="51"/>
      <c r="F377" s="52"/>
      <c r="G377" s="52"/>
    </row>
    <row r="378" spans="1:7" s="10" customFormat="1" ht="15.75" customHeight="1" x14ac:dyDescent="0.25">
      <c r="A378" s="1"/>
      <c r="B378" s="3"/>
      <c r="C378" s="40" t="s">
        <v>1278</v>
      </c>
      <c r="D378" s="45">
        <v>1814</v>
      </c>
      <c r="E378" s="51"/>
      <c r="F378" s="52"/>
      <c r="G378" s="52"/>
    </row>
    <row r="379" spans="1:7" s="10" customFormat="1" ht="15.75" customHeight="1" x14ac:dyDescent="0.25">
      <c r="A379" s="1"/>
      <c r="B379" s="3"/>
      <c r="C379" s="40" t="s">
        <v>1279</v>
      </c>
      <c r="D379" s="45">
        <v>1574</v>
      </c>
      <c r="E379" s="51"/>
      <c r="F379" s="52"/>
      <c r="G379" s="52"/>
    </row>
    <row r="380" spans="1:7" s="10" customFormat="1" ht="15.75" customHeight="1" x14ac:dyDescent="0.25">
      <c r="A380" s="1"/>
      <c r="B380" s="3"/>
      <c r="C380" s="40" t="s">
        <v>1280</v>
      </c>
      <c r="D380" s="45">
        <v>888</v>
      </c>
      <c r="E380" s="51"/>
      <c r="F380" s="52"/>
      <c r="G380" s="52"/>
    </row>
    <row r="381" spans="1:7" s="10" customFormat="1" ht="15.75" customHeight="1" x14ac:dyDescent="0.25">
      <c r="A381" s="1"/>
      <c r="B381" s="3"/>
      <c r="C381" s="40" t="s">
        <v>1281</v>
      </c>
      <c r="D381" s="45">
        <v>489</v>
      </c>
      <c r="E381" s="51"/>
      <c r="F381" s="52"/>
      <c r="G381" s="52"/>
    </row>
    <row r="382" spans="1:7" s="10" customFormat="1" ht="15.75" customHeight="1" x14ac:dyDescent="0.25">
      <c r="A382" s="1"/>
      <c r="B382" s="3"/>
      <c r="C382" s="40" t="s">
        <v>1282</v>
      </c>
      <c r="D382" s="45">
        <v>3347</v>
      </c>
      <c r="E382" s="51"/>
      <c r="F382" s="52"/>
      <c r="G382" s="52"/>
    </row>
    <row r="383" spans="1:7" s="10" customFormat="1" ht="15.75" customHeight="1" x14ac:dyDescent="0.25">
      <c r="A383" s="1"/>
      <c r="B383" s="3"/>
      <c r="C383" s="40" t="s">
        <v>1283</v>
      </c>
      <c r="D383" s="45">
        <v>700</v>
      </c>
      <c r="E383" s="51"/>
      <c r="F383" s="52"/>
      <c r="G383" s="52"/>
    </row>
    <row r="384" spans="1:7" s="11" customFormat="1" ht="15.75" customHeight="1" x14ac:dyDescent="0.25">
      <c r="A384" s="1"/>
      <c r="B384" s="3"/>
      <c r="C384" s="40" t="s">
        <v>1284</v>
      </c>
      <c r="D384" s="45">
        <v>941</v>
      </c>
      <c r="E384" s="51"/>
      <c r="F384" s="52"/>
      <c r="G384" s="52"/>
    </row>
    <row r="385" spans="1:7" s="9" customFormat="1" ht="15.75" customHeight="1" x14ac:dyDescent="0.25">
      <c r="A385" s="1"/>
      <c r="B385" s="3"/>
      <c r="C385" s="40" t="s">
        <v>959</v>
      </c>
      <c r="D385" s="45">
        <v>3532</v>
      </c>
      <c r="E385" s="51"/>
      <c r="F385" s="52"/>
      <c r="G385" s="52"/>
    </row>
    <row r="386" spans="1:7" s="10" customFormat="1" ht="15.75" customHeight="1" x14ac:dyDescent="0.25">
      <c r="A386" s="1"/>
      <c r="B386" s="3"/>
      <c r="C386" s="40" t="s">
        <v>1285</v>
      </c>
      <c r="D386" s="45">
        <v>4077</v>
      </c>
      <c r="E386" s="51"/>
      <c r="F386" s="52"/>
      <c r="G386" s="52"/>
    </row>
    <row r="387" spans="1:7" s="10" customFormat="1" ht="15.75" customHeight="1" x14ac:dyDescent="0.25">
      <c r="A387" s="1"/>
      <c r="B387" s="3"/>
      <c r="C387" s="40" t="s">
        <v>1286</v>
      </c>
      <c r="D387" s="45">
        <v>840</v>
      </c>
      <c r="E387" s="51"/>
      <c r="F387" s="52"/>
      <c r="G387" s="52"/>
    </row>
    <row r="388" spans="1:7" s="10" customFormat="1" ht="15.75" customHeight="1" x14ac:dyDescent="0.25">
      <c r="A388" s="1"/>
      <c r="B388" s="3"/>
      <c r="C388" s="40" t="s">
        <v>1287</v>
      </c>
      <c r="D388" s="45">
        <v>805</v>
      </c>
      <c r="E388" s="51"/>
      <c r="F388" s="52"/>
      <c r="G388" s="52"/>
    </row>
    <row r="389" spans="1:7" s="10" customFormat="1" ht="15.75" customHeight="1" x14ac:dyDescent="0.25">
      <c r="A389" s="1"/>
      <c r="B389" s="3"/>
      <c r="C389" s="40" t="s">
        <v>1288</v>
      </c>
      <c r="D389" s="45">
        <v>3761</v>
      </c>
      <c r="E389" s="51"/>
      <c r="F389" s="52"/>
      <c r="G389" s="52"/>
    </row>
    <row r="390" spans="1:7" s="10" customFormat="1" ht="15.75" customHeight="1" x14ac:dyDescent="0.25">
      <c r="A390" s="1"/>
      <c r="B390" s="3"/>
      <c r="C390" s="40" t="s">
        <v>1289</v>
      </c>
      <c r="D390" s="45">
        <v>3215</v>
      </c>
      <c r="E390" s="51"/>
      <c r="F390" s="52"/>
      <c r="G390" s="52"/>
    </row>
    <row r="391" spans="1:7" s="10" customFormat="1" ht="15.75" customHeight="1" x14ac:dyDescent="0.25">
      <c r="A391" s="1"/>
      <c r="B391" s="3"/>
      <c r="C391" s="40" t="s">
        <v>1290</v>
      </c>
      <c r="D391" s="45">
        <v>3382</v>
      </c>
      <c r="E391" s="51"/>
      <c r="F391" s="52"/>
      <c r="G391" s="52"/>
    </row>
    <row r="392" spans="1:7" s="10" customFormat="1" ht="15.75" customHeight="1" x14ac:dyDescent="0.25">
      <c r="A392" s="1"/>
      <c r="B392" s="3"/>
      <c r="C392" s="40"/>
      <c r="D392" s="46"/>
      <c r="E392" s="51"/>
      <c r="F392" s="52"/>
      <c r="G392" s="52"/>
    </row>
    <row r="393" spans="1:7" s="10" customFormat="1" ht="15.75" customHeight="1" x14ac:dyDescent="0.25">
      <c r="A393" s="1"/>
      <c r="B393" s="3"/>
      <c r="C393" s="39" t="s">
        <v>1291</v>
      </c>
      <c r="D393" s="57">
        <f>SUM(D394:D410)</f>
        <v>55874</v>
      </c>
      <c r="E393" s="51"/>
      <c r="F393" s="2"/>
      <c r="G393" s="71"/>
    </row>
    <row r="394" spans="1:7" s="10" customFormat="1" ht="15.75" customHeight="1" x14ac:dyDescent="0.25">
      <c r="A394" s="1"/>
      <c r="B394" s="3"/>
      <c r="C394" s="40" t="s">
        <v>1292</v>
      </c>
      <c r="D394" s="45">
        <v>3127</v>
      </c>
      <c r="E394" s="51"/>
      <c r="F394" s="2"/>
      <c r="G394" s="71"/>
    </row>
    <row r="395" spans="1:7" s="10" customFormat="1" ht="15.75" customHeight="1" x14ac:dyDescent="0.25">
      <c r="A395" s="1"/>
      <c r="B395" s="3"/>
      <c r="C395" s="40" t="s">
        <v>229</v>
      </c>
      <c r="D395" s="45">
        <v>2059</v>
      </c>
      <c r="E395" s="51"/>
      <c r="F395" s="2"/>
      <c r="G395" s="71"/>
    </row>
    <row r="396" spans="1:7" s="10" customFormat="1" ht="15.75" customHeight="1" x14ac:dyDescent="0.25">
      <c r="A396" s="1"/>
      <c r="B396" s="3"/>
      <c r="C396" s="40" t="s">
        <v>1293</v>
      </c>
      <c r="D396" s="45">
        <v>1609</v>
      </c>
      <c r="E396" s="51"/>
      <c r="F396" s="2"/>
      <c r="G396" s="71"/>
    </row>
    <row r="397" spans="1:7" s="10" customFormat="1" ht="15.75" customHeight="1" x14ac:dyDescent="0.25">
      <c r="A397" s="1"/>
      <c r="B397" s="3"/>
      <c r="C397" s="40" t="s">
        <v>236</v>
      </c>
      <c r="D397" s="45">
        <v>2158</v>
      </c>
      <c r="E397" s="51"/>
      <c r="F397" s="2"/>
      <c r="G397" s="71"/>
    </row>
    <row r="398" spans="1:7" s="10" customFormat="1" ht="15.75" customHeight="1" x14ac:dyDescent="0.25">
      <c r="A398" s="1"/>
      <c r="B398" s="3"/>
      <c r="C398" s="40" t="s">
        <v>1294</v>
      </c>
      <c r="D398" s="45">
        <v>1361</v>
      </c>
      <c r="E398" s="51"/>
      <c r="F398" s="2"/>
      <c r="G398" s="71"/>
    </row>
    <row r="399" spans="1:7" s="10" customFormat="1" ht="15.75" customHeight="1" x14ac:dyDescent="0.25">
      <c r="A399" s="1"/>
      <c r="B399" s="3"/>
      <c r="C399" s="40" t="s">
        <v>1295</v>
      </c>
      <c r="D399" s="45">
        <v>4976</v>
      </c>
      <c r="E399" s="51"/>
      <c r="F399" s="2"/>
      <c r="G399" s="71"/>
    </row>
    <row r="400" spans="1:7" s="10" customFormat="1" ht="15.75" customHeight="1" x14ac:dyDescent="0.25">
      <c r="A400" s="1"/>
      <c r="B400" s="3"/>
      <c r="C400" s="40" t="s">
        <v>107</v>
      </c>
      <c r="D400" s="45">
        <v>7975</v>
      </c>
      <c r="E400" s="51"/>
      <c r="F400" s="2"/>
      <c r="G400" s="71"/>
    </row>
    <row r="401" spans="1:7" s="10" customFormat="1" ht="15.75" customHeight="1" x14ac:dyDescent="0.25">
      <c r="A401" s="1"/>
      <c r="B401" s="3"/>
      <c r="C401" s="40" t="s">
        <v>106</v>
      </c>
      <c r="D401" s="45">
        <v>1498</v>
      </c>
      <c r="E401" s="51"/>
      <c r="F401" s="2"/>
      <c r="G401" s="71"/>
    </row>
    <row r="402" spans="1:7" s="10" customFormat="1" ht="15.75" customHeight="1" x14ac:dyDescent="0.25">
      <c r="A402" s="1"/>
      <c r="B402" s="3"/>
      <c r="C402" s="40" t="s">
        <v>511</v>
      </c>
      <c r="D402" s="45">
        <v>7231</v>
      </c>
      <c r="E402" s="51"/>
      <c r="F402" s="2"/>
      <c r="G402" s="71"/>
    </row>
    <row r="403" spans="1:7" s="10" customFormat="1" ht="15.75" customHeight="1" x14ac:dyDescent="0.25">
      <c r="A403" s="1"/>
      <c r="B403" s="3"/>
      <c r="C403" s="40" t="s">
        <v>215</v>
      </c>
      <c r="D403" s="45">
        <v>1053</v>
      </c>
      <c r="E403" s="51"/>
      <c r="F403" s="2"/>
      <c r="G403" s="71"/>
    </row>
    <row r="404" spans="1:7" s="10" customFormat="1" ht="15.75" customHeight="1" x14ac:dyDescent="0.25">
      <c r="A404" s="1"/>
      <c r="B404" s="3"/>
      <c r="C404" s="40" t="s">
        <v>1296</v>
      </c>
      <c r="D404" s="45">
        <v>3792</v>
      </c>
      <c r="E404" s="51"/>
      <c r="F404" s="2"/>
      <c r="G404" s="71"/>
    </row>
    <row r="405" spans="1:7" s="10" customFormat="1" ht="15.75" customHeight="1" x14ac:dyDescent="0.25">
      <c r="A405" s="1"/>
      <c r="B405" s="3"/>
      <c r="C405" s="40" t="s">
        <v>1297</v>
      </c>
      <c r="D405" s="45">
        <v>1692</v>
      </c>
      <c r="E405" s="51"/>
      <c r="F405" s="2"/>
      <c r="G405" s="71"/>
    </row>
    <row r="406" spans="1:7" s="10" customFormat="1" ht="15.75" customHeight="1" x14ac:dyDescent="0.25">
      <c r="A406" s="1"/>
      <c r="B406" s="3"/>
      <c r="C406" s="40" t="s">
        <v>1298</v>
      </c>
      <c r="D406" s="45">
        <v>1073</v>
      </c>
      <c r="E406" s="51"/>
      <c r="F406" s="2"/>
      <c r="G406" s="71"/>
    </row>
    <row r="407" spans="1:7" s="10" customFormat="1" ht="15.75" customHeight="1" x14ac:dyDescent="0.25">
      <c r="A407" s="1"/>
      <c r="B407" s="3"/>
      <c r="C407" s="40" t="s">
        <v>2</v>
      </c>
      <c r="D407" s="45">
        <v>12573</v>
      </c>
      <c r="E407" s="51"/>
      <c r="F407" s="2"/>
      <c r="G407" s="71"/>
    </row>
    <row r="408" spans="1:7" s="10" customFormat="1" ht="15.75" customHeight="1" x14ac:dyDescent="0.25">
      <c r="A408" s="1"/>
      <c r="B408" s="3"/>
      <c r="C408" s="40" t="s">
        <v>1299</v>
      </c>
      <c r="D408" s="45">
        <v>1523</v>
      </c>
      <c r="E408" s="51"/>
      <c r="F408" s="2"/>
      <c r="G408" s="71"/>
    </row>
    <row r="409" spans="1:7" s="10" customFormat="1" ht="15.75" customHeight="1" x14ac:dyDescent="0.25">
      <c r="A409" s="1"/>
      <c r="B409" s="3"/>
      <c r="C409" s="40" t="s">
        <v>1176</v>
      </c>
      <c r="D409" s="45">
        <v>1476</v>
      </c>
      <c r="E409" s="51"/>
      <c r="F409" s="2"/>
      <c r="G409" s="71"/>
    </row>
    <row r="410" spans="1:7" s="10" customFormat="1" ht="15.75" customHeight="1" x14ac:dyDescent="0.25">
      <c r="A410" s="1"/>
      <c r="B410" s="3"/>
      <c r="C410" s="40" t="s">
        <v>102</v>
      </c>
      <c r="D410" s="45">
        <v>698</v>
      </c>
      <c r="E410" s="51"/>
      <c r="F410" s="2"/>
      <c r="G410" s="71"/>
    </row>
    <row r="411" spans="1:7" s="10" customFormat="1" ht="15.75" customHeight="1" x14ac:dyDescent="0.25">
      <c r="A411" s="1"/>
      <c r="B411" s="3"/>
      <c r="C411" s="40"/>
      <c r="D411" s="46"/>
      <c r="E411" s="51"/>
      <c r="F411" s="2"/>
      <c r="G411" s="71"/>
    </row>
    <row r="412" spans="1:7" s="10" customFormat="1" ht="15.75" customHeight="1" x14ac:dyDescent="0.25">
      <c r="A412" s="1"/>
      <c r="B412" s="3"/>
      <c r="C412" s="39" t="s">
        <v>1300</v>
      </c>
      <c r="D412" s="57">
        <f>SUM(D413:D433)</f>
        <v>148012</v>
      </c>
      <c r="E412" s="51"/>
      <c r="F412" s="2"/>
      <c r="G412" s="71"/>
    </row>
    <row r="413" spans="1:7" s="10" customFormat="1" ht="15.75" customHeight="1" x14ac:dyDescent="0.25">
      <c r="A413" s="1"/>
      <c r="B413" s="3"/>
      <c r="C413" s="40" t="s">
        <v>126</v>
      </c>
      <c r="D413" s="45">
        <v>3053</v>
      </c>
      <c r="E413" s="51"/>
      <c r="F413" s="2"/>
      <c r="G413" s="71"/>
    </row>
    <row r="414" spans="1:7" s="10" customFormat="1" ht="15.75" customHeight="1" x14ac:dyDescent="0.25">
      <c r="A414" s="1"/>
      <c r="B414" s="3"/>
      <c r="C414" s="40" t="s">
        <v>1301</v>
      </c>
      <c r="D414" s="45">
        <v>6504</v>
      </c>
      <c r="E414" s="51"/>
      <c r="F414" s="2"/>
      <c r="G414" s="71"/>
    </row>
    <row r="415" spans="1:7" s="10" customFormat="1" ht="15.75" customHeight="1" x14ac:dyDescent="0.25">
      <c r="A415" s="1"/>
      <c r="B415" s="3"/>
      <c r="C415" s="40" t="s">
        <v>1302</v>
      </c>
      <c r="D415" s="45">
        <v>18601</v>
      </c>
      <c r="E415" s="51"/>
      <c r="F415" s="2"/>
      <c r="G415" s="71"/>
    </row>
    <row r="416" spans="1:7" s="10" customFormat="1" ht="15.75" customHeight="1" x14ac:dyDescent="0.25">
      <c r="A416" s="1"/>
      <c r="B416" s="3"/>
      <c r="C416" s="40" t="s">
        <v>1303</v>
      </c>
      <c r="D416" s="45">
        <v>4513</v>
      </c>
      <c r="E416" s="51"/>
      <c r="F416" s="2"/>
      <c r="G416" s="71"/>
    </row>
    <row r="417" spans="1:7" s="10" customFormat="1" ht="15.75" customHeight="1" x14ac:dyDescent="0.25">
      <c r="A417" s="1"/>
      <c r="B417" s="3"/>
      <c r="C417" s="40" t="s">
        <v>1304</v>
      </c>
      <c r="D417" s="45">
        <v>3431</v>
      </c>
      <c r="E417" s="51"/>
      <c r="F417" s="2"/>
      <c r="G417" s="71"/>
    </row>
    <row r="418" spans="1:7" s="10" customFormat="1" ht="15.75" customHeight="1" x14ac:dyDescent="0.25">
      <c r="A418" s="1"/>
      <c r="B418" s="3"/>
      <c r="C418" s="40" t="s">
        <v>1305</v>
      </c>
      <c r="D418" s="45">
        <v>12774</v>
      </c>
      <c r="E418" s="51"/>
      <c r="F418" s="2"/>
      <c r="G418" s="71"/>
    </row>
    <row r="419" spans="1:7" s="10" customFormat="1" ht="15.75" customHeight="1" x14ac:dyDescent="0.25">
      <c r="A419" s="1"/>
      <c r="B419" s="3"/>
      <c r="C419" s="40" t="s">
        <v>1306</v>
      </c>
      <c r="D419" s="45">
        <v>11221</v>
      </c>
      <c r="E419" s="51"/>
      <c r="F419" s="2"/>
      <c r="G419" s="71"/>
    </row>
    <row r="420" spans="1:7" s="10" customFormat="1" ht="15.75" customHeight="1" x14ac:dyDescent="0.25">
      <c r="A420" s="1"/>
      <c r="B420" s="3"/>
      <c r="C420" s="40" t="s">
        <v>73</v>
      </c>
      <c r="D420" s="45">
        <v>902</v>
      </c>
      <c r="E420" s="51"/>
      <c r="F420" s="2"/>
      <c r="G420" s="71"/>
    </row>
    <row r="421" spans="1:7" s="10" customFormat="1" ht="15.75" customHeight="1" x14ac:dyDescent="0.25">
      <c r="A421" s="1"/>
      <c r="B421" s="3"/>
      <c r="C421" s="40" t="s">
        <v>185</v>
      </c>
      <c r="D421" s="45">
        <v>13013</v>
      </c>
      <c r="E421" s="51"/>
      <c r="F421" s="2"/>
      <c r="G421" s="71"/>
    </row>
    <row r="422" spans="1:7" s="10" customFormat="1" ht="15.75" customHeight="1" x14ac:dyDescent="0.25">
      <c r="A422" s="1"/>
      <c r="B422" s="3"/>
      <c r="C422" s="40" t="s">
        <v>433</v>
      </c>
      <c r="D422" s="45">
        <v>1341</v>
      </c>
      <c r="E422" s="51"/>
      <c r="F422" s="2"/>
      <c r="G422" s="71"/>
    </row>
    <row r="423" spans="1:7" s="10" customFormat="1" ht="15.75" customHeight="1" x14ac:dyDescent="0.25">
      <c r="A423" s="1"/>
      <c r="B423" s="3"/>
      <c r="C423" s="40" t="s">
        <v>1307</v>
      </c>
      <c r="D423" s="45">
        <v>1339</v>
      </c>
      <c r="E423" s="51"/>
      <c r="F423" s="2"/>
      <c r="G423" s="71"/>
    </row>
    <row r="424" spans="1:7" s="10" customFormat="1" ht="15.75" customHeight="1" x14ac:dyDescent="0.25">
      <c r="A424" s="1"/>
      <c r="B424" s="3"/>
      <c r="C424" s="40" t="s">
        <v>49</v>
      </c>
      <c r="D424" s="45">
        <v>4295</v>
      </c>
      <c r="E424" s="51"/>
      <c r="F424" s="2"/>
      <c r="G424" s="71"/>
    </row>
    <row r="425" spans="1:7" s="10" customFormat="1" ht="15.75" customHeight="1" x14ac:dyDescent="0.25">
      <c r="A425" s="1"/>
      <c r="B425" s="3"/>
      <c r="C425" s="40" t="s">
        <v>1019</v>
      </c>
      <c r="D425" s="45">
        <v>5988</v>
      </c>
      <c r="E425" s="51"/>
      <c r="F425" s="2"/>
      <c r="G425" s="71"/>
    </row>
    <row r="426" spans="1:7" s="10" customFormat="1" ht="15.75" customHeight="1" x14ac:dyDescent="0.25">
      <c r="A426" s="1"/>
      <c r="B426" s="3"/>
      <c r="C426" s="40" t="s">
        <v>1020</v>
      </c>
      <c r="D426" s="45">
        <v>3147</v>
      </c>
      <c r="E426" s="51"/>
      <c r="F426" s="2"/>
      <c r="G426" s="71"/>
    </row>
    <row r="427" spans="1:7" s="10" customFormat="1" ht="15.75" customHeight="1" x14ac:dyDescent="0.25">
      <c r="A427" s="1"/>
      <c r="B427" s="3"/>
      <c r="C427" s="40" t="s">
        <v>1308</v>
      </c>
      <c r="D427" s="45">
        <v>2601</v>
      </c>
      <c r="E427" s="51"/>
      <c r="F427" s="2"/>
      <c r="G427" s="71"/>
    </row>
    <row r="428" spans="1:7" s="10" customFormat="1" ht="15.75" customHeight="1" x14ac:dyDescent="0.25">
      <c r="A428" s="1"/>
      <c r="B428" s="3"/>
      <c r="C428" s="40" t="s">
        <v>1309</v>
      </c>
      <c r="D428" s="45">
        <v>14700</v>
      </c>
      <c r="E428" s="51"/>
      <c r="F428" s="2"/>
      <c r="G428" s="71"/>
    </row>
    <row r="429" spans="1:7" s="10" customFormat="1" ht="15.75" customHeight="1" x14ac:dyDescent="0.25">
      <c r="A429" s="1"/>
      <c r="B429" s="3"/>
      <c r="C429" s="40" t="s">
        <v>1310</v>
      </c>
      <c r="D429" s="45">
        <v>2468</v>
      </c>
      <c r="E429" s="51"/>
      <c r="F429" s="2"/>
      <c r="G429" s="71"/>
    </row>
    <row r="430" spans="1:7" s="10" customFormat="1" ht="15.75" customHeight="1" x14ac:dyDescent="0.25">
      <c r="A430" s="1"/>
      <c r="B430" s="3"/>
      <c r="C430" s="40" t="s">
        <v>1311</v>
      </c>
      <c r="D430" s="45">
        <v>23208</v>
      </c>
      <c r="E430" s="51"/>
      <c r="F430" s="2"/>
      <c r="G430" s="71"/>
    </row>
    <row r="431" spans="1:7" s="10" customFormat="1" ht="15.75" customHeight="1" x14ac:dyDescent="0.25">
      <c r="A431" s="1"/>
      <c r="B431" s="3"/>
      <c r="C431" s="40" t="s">
        <v>1312</v>
      </c>
      <c r="D431" s="45">
        <v>2171</v>
      </c>
      <c r="E431" s="51"/>
      <c r="F431" s="2"/>
      <c r="G431" s="71"/>
    </row>
    <row r="432" spans="1:7" s="10" customFormat="1" ht="15.75" customHeight="1" x14ac:dyDescent="0.25">
      <c r="A432" s="1"/>
      <c r="B432" s="3"/>
      <c r="C432" s="40" t="s">
        <v>1313</v>
      </c>
      <c r="D432" s="45">
        <v>4072</v>
      </c>
      <c r="E432" s="51"/>
      <c r="F432" s="2"/>
      <c r="G432" s="71"/>
    </row>
    <row r="433" spans="1:7" s="10" customFormat="1" ht="15.75" customHeight="1" x14ac:dyDescent="0.25">
      <c r="A433" s="1"/>
      <c r="B433" s="3"/>
      <c r="C433" s="40" t="s">
        <v>1314</v>
      </c>
      <c r="D433" s="45">
        <v>8670</v>
      </c>
      <c r="E433" s="51"/>
      <c r="F433" s="2"/>
      <c r="G433" s="71"/>
    </row>
    <row r="434" spans="1:7" s="10" customFormat="1" ht="15.75" customHeight="1" x14ac:dyDescent="0.25">
      <c r="A434" s="1"/>
      <c r="B434" s="3"/>
      <c r="C434" s="40"/>
      <c r="D434" s="46"/>
      <c r="E434" s="51"/>
      <c r="F434" s="2"/>
      <c r="G434" s="71"/>
    </row>
    <row r="435" spans="1:7" s="10" customFormat="1" ht="15.75" customHeight="1" x14ac:dyDescent="0.25">
      <c r="A435" s="1"/>
      <c r="B435" s="3"/>
      <c r="C435" s="39" t="s">
        <v>1948</v>
      </c>
      <c r="D435" s="57">
        <f>SUM(D436:D448)</f>
        <v>70595</v>
      </c>
      <c r="E435" s="51"/>
      <c r="F435" s="2"/>
      <c r="G435" s="71"/>
    </row>
    <row r="436" spans="1:7" s="10" customFormat="1" ht="15.75" customHeight="1" x14ac:dyDescent="0.25">
      <c r="A436" s="1"/>
      <c r="B436" s="3"/>
      <c r="C436" s="40" t="s">
        <v>56</v>
      </c>
      <c r="D436" s="45">
        <v>4461</v>
      </c>
      <c r="E436" s="51"/>
      <c r="F436" s="2"/>
      <c r="G436" s="71"/>
    </row>
    <row r="437" spans="1:7" s="10" customFormat="1" ht="15.75" customHeight="1" x14ac:dyDescent="0.25">
      <c r="A437" s="1"/>
      <c r="B437" s="3"/>
      <c r="C437" s="40" t="s">
        <v>1315</v>
      </c>
      <c r="D437" s="45">
        <v>6554</v>
      </c>
      <c r="E437" s="51"/>
      <c r="F437" s="2"/>
      <c r="G437" s="71"/>
    </row>
    <row r="438" spans="1:7" s="10" customFormat="1" ht="15.75" customHeight="1" x14ac:dyDescent="0.25">
      <c r="A438" s="1"/>
      <c r="B438" s="3"/>
      <c r="C438" s="40" t="s">
        <v>1316</v>
      </c>
      <c r="D438" s="45">
        <v>5733</v>
      </c>
      <c r="E438" s="51"/>
      <c r="F438" s="2"/>
      <c r="G438" s="71"/>
    </row>
    <row r="439" spans="1:7" s="10" customFormat="1" ht="15.75" customHeight="1" x14ac:dyDescent="0.25">
      <c r="A439" s="1"/>
      <c r="B439" s="3"/>
      <c r="C439" s="40" t="s">
        <v>530</v>
      </c>
      <c r="D439" s="45">
        <v>5844</v>
      </c>
      <c r="E439" s="51"/>
      <c r="F439" s="2"/>
      <c r="G439" s="71"/>
    </row>
    <row r="440" spans="1:7" s="10" customFormat="1" ht="15.75" customHeight="1" x14ac:dyDescent="0.25">
      <c r="A440" s="1"/>
      <c r="B440" s="3"/>
      <c r="C440" s="40" t="s">
        <v>107</v>
      </c>
      <c r="D440" s="45">
        <v>2914</v>
      </c>
      <c r="E440" s="51"/>
      <c r="F440" s="2"/>
      <c r="G440" s="71"/>
    </row>
    <row r="441" spans="1:7" s="10" customFormat="1" ht="15.75" customHeight="1" x14ac:dyDescent="0.25">
      <c r="A441" s="1"/>
      <c r="B441" s="3"/>
      <c r="C441" s="40" t="s">
        <v>211</v>
      </c>
      <c r="D441" s="45">
        <v>3386</v>
      </c>
      <c r="E441" s="51"/>
      <c r="F441" s="2"/>
      <c r="G441" s="71"/>
    </row>
    <row r="442" spans="1:7" s="10" customFormat="1" ht="15.75" customHeight="1" x14ac:dyDescent="0.25">
      <c r="A442" s="1"/>
      <c r="B442" s="3"/>
      <c r="C442" s="40" t="s">
        <v>1317</v>
      </c>
      <c r="D442" s="45">
        <v>4892</v>
      </c>
      <c r="E442" s="51"/>
      <c r="F442" s="2"/>
      <c r="G442" s="71"/>
    </row>
    <row r="443" spans="1:7" s="10" customFormat="1" ht="15.75" customHeight="1" x14ac:dyDescent="0.25">
      <c r="A443" s="1"/>
      <c r="B443" s="3"/>
      <c r="C443" s="40" t="s">
        <v>83</v>
      </c>
      <c r="D443" s="45">
        <v>6140</v>
      </c>
      <c r="E443" s="51"/>
      <c r="F443" s="2"/>
      <c r="G443" s="71"/>
    </row>
    <row r="444" spans="1:7" s="10" customFormat="1" ht="15.75" customHeight="1" x14ac:dyDescent="0.25">
      <c r="A444" s="1"/>
      <c r="B444" s="3"/>
      <c r="C444" s="40" t="s">
        <v>1318</v>
      </c>
      <c r="D444" s="45">
        <v>1606</v>
      </c>
      <c r="E444" s="51"/>
      <c r="F444" s="2"/>
      <c r="G444" s="71"/>
    </row>
    <row r="445" spans="1:7" s="10" customFormat="1" ht="15.75" customHeight="1" x14ac:dyDescent="0.25">
      <c r="A445" s="1"/>
      <c r="B445" s="3"/>
      <c r="C445" s="40" t="s">
        <v>1319</v>
      </c>
      <c r="D445" s="45">
        <v>10227</v>
      </c>
      <c r="E445" s="51"/>
      <c r="F445" s="2"/>
      <c r="G445" s="71"/>
    </row>
    <row r="446" spans="1:7" s="10" customFormat="1" ht="15.75" customHeight="1" x14ac:dyDescent="0.25">
      <c r="A446" s="1"/>
      <c r="B446" s="3"/>
      <c r="C446" s="40" t="s">
        <v>1320</v>
      </c>
      <c r="D446" s="45">
        <v>4660</v>
      </c>
      <c r="E446" s="51"/>
      <c r="F446" s="2"/>
      <c r="G446" s="71"/>
    </row>
    <row r="447" spans="1:7" s="10" customFormat="1" ht="15.75" customHeight="1" x14ac:dyDescent="0.25">
      <c r="A447" s="1"/>
      <c r="B447" s="3"/>
      <c r="C447" s="40" t="s">
        <v>2</v>
      </c>
      <c r="D447" s="45">
        <v>10163</v>
      </c>
      <c r="E447" s="51"/>
      <c r="F447" s="2"/>
      <c r="G447" s="71"/>
    </row>
    <row r="448" spans="1:7" s="10" customFormat="1" ht="15.75" customHeight="1" x14ac:dyDescent="0.25">
      <c r="A448" s="1"/>
      <c r="B448" s="3"/>
      <c r="C448" s="40" t="s">
        <v>4</v>
      </c>
      <c r="D448" s="45">
        <v>4015</v>
      </c>
      <c r="E448" s="51"/>
      <c r="F448" s="2"/>
      <c r="G448" s="71"/>
    </row>
    <row r="449" spans="1:7" s="10" customFormat="1" ht="15.75" customHeight="1" x14ac:dyDescent="0.25">
      <c r="A449" s="1"/>
      <c r="B449" s="3"/>
      <c r="C449" s="40"/>
      <c r="D449" s="46"/>
      <c r="E449" s="51"/>
      <c r="F449" s="2"/>
      <c r="G449" s="71"/>
    </row>
    <row r="450" spans="1:7" s="10" customFormat="1" ht="15.75" customHeight="1" x14ac:dyDescent="0.25">
      <c r="A450" s="1"/>
      <c r="B450" s="3"/>
      <c r="C450" s="39" t="s">
        <v>1321</v>
      </c>
      <c r="D450" s="57">
        <f>SUM(D451:D470)</f>
        <v>93502</v>
      </c>
      <c r="E450" s="51"/>
      <c r="F450" s="2"/>
      <c r="G450" s="71"/>
    </row>
    <row r="451" spans="1:7" s="10" customFormat="1" ht="15.75" customHeight="1" x14ac:dyDescent="0.25">
      <c r="A451" s="1"/>
      <c r="B451" s="3"/>
      <c r="C451" s="40" t="s">
        <v>1322</v>
      </c>
      <c r="D451" s="45">
        <v>5992</v>
      </c>
      <c r="E451" s="51"/>
      <c r="F451" s="2"/>
      <c r="G451" s="71"/>
    </row>
    <row r="452" spans="1:7" s="10" customFormat="1" ht="15.75" customHeight="1" x14ac:dyDescent="0.25">
      <c r="A452" s="1"/>
      <c r="B452" s="3"/>
      <c r="C452" s="40" t="s">
        <v>196</v>
      </c>
      <c r="D452" s="45">
        <v>5151</v>
      </c>
      <c r="E452" s="51"/>
      <c r="F452" s="2"/>
      <c r="G452" s="71"/>
    </row>
    <row r="453" spans="1:7" s="10" customFormat="1" ht="15.75" customHeight="1" x14ac:dyDescent="0.25">
      <c r="A453" s="1"/>
      <c r="B453" s="3"/>
      <c r="C453" s="40" t="s">
        <v>1323</v>
      </c>
      <c r="D453" s="45">
        <v>3074</v>
      </c>
      <c r="E453" s="51"/>
      <c r="F453" s="2"/>
      <c r="G453" s="71"/>
    </row>
    <row r="454" spans="1:7" s="10" customFormat="1" ht="15.75" customHeight="1" x14ac:dyDescent="0.25">
      <c r="A454" s="1"/>
      <c r="B454" s="3"/>
      <c r="C454" s="40" t="s">
        <v>1324</v>
      </c>
      <c r="D454" s="45">
        <v>3865</v>
      </c>
      <c r="E454" s="51"/>
      <c r="F454" s="2"/>
      <c r="G454" s="71"/>
    </row>
    <row r="455" spans="1:7" s="10" customFormat="1" ht="15.75" customHeight="1" x14ac:dyDescent="0.25">
      <c r="A455" s="1"/>
      <c r="B455" s="3"/>
      <c r="C455" s="40" t="s">
        <v>1325</v>
      </c>
      <c r="D455" s="45">
        <v>5267</v>
      </c>
      <c r="E455" s="51"/>
      <c r="F455" s="2"/>
      <c r="G455" s="71"/>
    </row>
    <row r="456" spans="1:7" s="10" customFormat="1" ht="15.75" customHeight="1" x14ac:dyDescent="0.25">
      <c r="A456" s="1"/>
      <c r="B456" s="3"/>
      <c r="C456" s="40" t="s">
        <v>1326</v>
      </c>
      <c r="D456" s="45">
        <v>3218</v>
      </c>
      <c r="E456" s="51"/>
      <c r="F456" s="2"/>
      <c r="G456" s="71"/>
    </row>
    <row r="457" spans="1:7" s="10" customFormat="1" ht="15.75" customHeight="1" x14ac:dyDescent="0.25">
      <c r="A457" s="1"/>
      <c r="B457" s="3"/>
      <c r="C457" s="40" t="s">
        <v>1327</v>
      </c>
      <c r="D457" s="45">
        <v>2471</v>
      </c>
      <c r="E457" s="51"/>
      <c r="F457" s="2"/>
      <c r="G457" s="71"/>
    </row>
    <row r="458" spans="1:7" s="10" customFormat="1" ht="15.75" customHeight="1" x14ac:dyDescent="0.25">
      <c r="A458" s="1"/>
      <c r="B458" s="3"/>
      <c r="C458" s="40" t="s">
        <v>1328</v>
      </c>
      <c r="D458" s="45">
        <v>2027</v>
      </c>
      <c r="E458" s="51"/>
      <c r="F458" s="2"/>
      <c r="G458" s="71"/>
    </row>
    <row r="459" spans="1:7" s="10" customFormat="1" ht="15.75" customHeight="1" x14ac:dyDescent="0.25">
      <c r="A459" s="1"/>
      <c r="B459" s="3"/>
      <c r="C459" s="40" t="s">
        <v>1104</v>
      </c>
      <c r="D459" s="45">
        <v>4259</v>
      </c>
      <c r="E459" s="51"/>
      <c r="F459" s="2"/>
      <c r="G459" s="71"/>
    </row>
    <row r="460" spans="1:7" s="10" customFormat="1" ht="15.75" customHeight="1" x14ac:dyDescent="0.25">
      <c r="A460" s="1"/>
      <c r="B460" s="3"/>
      <c r="C460" s="40" t="s">
        <v>1329</v>
      </c>
      <c r="D460" s="45">
        <v>6257</v>
      </c>
      <c r="E460" s="51"/>
      <c r="F460" s="2"/>
      <c r="G460" s="71"/>
    </row>
    <row r="461" spans="1:7" s="10" customFormat="1" ht="15.75" customHeight="1" x14ac:dyDescent="0.25">
      <c r="A461" s="1"/>
      <c r="B461" s="3"/>
      <c r="C461" s="40" t="s">
        <v>1330</v>
      </c>
      <c r="D461" s="45">
        <v>4661</v>
      </c>
      <c r="E461" s="51"/>
      <c r="F461" s="2"/>
      <c r="G461" s="71"/>
    </row>
    <row r="462" spans="1:7" s="10" customFormat="1" ht="15.75" customHeight="1" x14ac:dyDescent="0.25">
      <c r="A462" s="1"/>
      <c r="B462" s="3"/>
      <c r="C462" s="40" t="s">
        <v>223</v>
      </c>
      <c r="D462" s="45">
        <v>1804</v>
      </c>
      <c r="E462" s="51"/>
      <c r="F462" s="2"/>
      <c r="G462" s="71"/>
    </row>
    <row r="463" spans="1:7" s="10" customFormat="1" ht="15.75" customHeight="1" x14ac:dyDescent="0.25">
      <c r="A463" s="1"/>
      <c r="B463" s="3"/>
      <c r="C463" s="40" t="s">
        <v>176</v>
      </c>
      <c r="D463" s="45">
        <v>9804</v>
      </c>
      <c r="E463" s="51"/>
      <c r="F463" s="2"/>
      <c r="G463" s="71"/>
    </row>
    <row r="464" spans="1:7" s="10" customFormat="1" ht="15.75" customHeight="1" x14ac:dyDescent="0.25">
      <c r="A464" s="1"/>
      <c r="B464" s="3"/>
      <c r="C464" s="40" t="s">
        <v>95</v>
      </c>
      <c r="D464" s="45">
        <v>4453</v>
      </c>
      <c r="E464" s="51"/>
      <c r="F464" s="2"/>
      <c r="G464" s="71"/>
    </row>
    <row r="465" spans="1:7" s="10" customFormat="1" ht="15.75" customHeight="1" x14ac:dyDescent="0.25">
      <c r="A465" s="1"/>
      <c r="B465" s="3"/>
      <c r="C465" s="40" t="s">
        <v>1331</v>
      </c>
      <c r="D465" s="45">
        <v>3305</v>
      </c>
      <c r="E465" s="51"/>
      <c r="F465" s="2"/>
      <c r="G465" s="71"/>
    </row>
    <row r="466" spans="1:7" s="10" customFormat="1" ht="15.75" customHeight="1" x14ac:dyDescent="0.25">
      <c r="A466" s="1"/>
      <c r="B466" s="3"/>
      <c r="C466" s="40" t="s">
        <v>2</v>
      </c>
      <c r="D466" s="45">
        <v>8402</v>
      </c>
      <c r="E466" s="51"/>
      <c r="F466" s="2"/>
      <c r="G466" s="71"/>
    </row>
    <row r="467" spans="1:7" s="10" customFormat="1" ht="15.75" customHeight="1" x14ac:dyDescent="0.25">
      <c r="A467" s="1"/>
      <c r="B467" s="3"/>
      <c r="C467" s="40" t="s">
        <v>33</v>
      </c>
      <c r="D467" s="45">
        <v>4377</v>
      </c>
      <c r="E467" s="51"/>
      <c r="F467" s="2"/>
      <c r="G467" s="71"/>
    </row>
    <row r="468" spans="1:7" s="10" customFormat="1" ht="15.75" customHeight="1" x14ac:dyDescent="0.25">
      <c r="A468" s="1"/>
      <c r="B468" s="3"/>
      <c r="C468" s="40" t="s">
        <v>1332</v>
      </c>
      <c r="D468" s="45">
        <v>8843</v>
      </c>
      <c r="E468" s="51"/>
      <c r="F468" s="2"/>
      <c r="G468" s="71"/>
    </row>
    <row r="469" spans="1:7" s="10" customFormat="1" ht="15.75" customHeight="1" x14ac:dyDescent="0.25">
      <c r="A469" s="1"/>
      <c r="B469" s="3"/>
      <c r="C469" s="40" t="s">
        <v>1333</v>
      </c>
      <c r="D469" s="45">
        <v>1920</v>
      </c>
      <c r="E469" s="51"/>
      <c r="F469" s="2"/>
      <c r="G469" s="71"/>
    </row>
    <row r="470" spans="1:7" s="10" customFormat="1" ht="15.75" customHeight="1" x14ac:dyDescent="0.25">
      <c r="A470" s="1"/>
      <c r="B470" s="3"/>
      <c r="C470" s="40" t="s">
        <v>1334</v>
      </c>
      <c r="D470" s="45">
        <v>4352</v>
      </c>
      <c r="E470" s="51"/>
      <c r="F470" s="2"/>
      <c r="G470" s="71"/>
    </row>
    <row r="471" spans="1:7" s="10" customFormat="1" ht="15.75" customHeight="1" x14ac:dyDescent="0.25">
      <c r="A471" s="1"/>
      <c r="B471" s="3"/>
      <c r="C471" s="40"/>
      <c r="D471" s="46"/>
      <c r="E471" s="51"/>
      <c r="F471" s="2"/>
      <c r="G471" s="71"/>
    </row>
    <row r="472" spans="1:7" s="10" customFormat="1" ht="15.75" customHeight="1" x14ac:dyDescent="0.25">
      <c r="A472" s="1"/>
      <c r="B472" s="3"/>
      <c r="C472" s="39" t="s">
        <v>1335</v>
      </c>
      <c r="D472" s="57">
        <f>SUM(D473:D505)</f>
        <v>74596</v>
      </c>
      <c r="E472" s="51"/>
      <c r="F472" s="2"/>
      <c r="G472" s="71"/>
    </row>
    <row r="473" spans="1:7" s="10" customFormat="1" ht="15.75" customHeight="1" x14ac:dyDescent="0.25">
      <c r="A473" s="1"/>
      <c r="B473" s="3"/>
      <c r="C473" s="40" t="s">
        <v>1336</v>
      </c>
      <c r="D473" s="45">
        <v>1318</v>
      </c>
      <c r="E473" s="51"/>
      <c r="F473" s="2"/>
      <c r="G473" s="71"/>
    </row>
    <row r="474" spans="1:7" s="10" customFormat="1" ht="15.75" customHeight="1" x14ac:dyDescent="0.25">
      <c r="A474" s="1"/>
      <c r="B474" s="3"/>
      <c r="C474" s="40" t="s">
        <v>1337</v>
      </c>
      <c r="D474" s="45">
        <v>493</v>
      </c>
      <c r="E474" s="51"/>
      <c r="F474" s="2"/>
      <c r="G474" s="71"/>
    </row>
    <row r="475" spans="1:7" s="10" customFormat="1" ht="15.75" customHeight="1" x14ac:dyDescent="0.25">
      <c r="A475" s="1"/>
      <c r="B475" s="3"/>
      <c r="C475" s="40" t="s">
        <v>139</v>
      </c>
      <c r="D475" s="45">
        <v>3673</v>
      </c>
      <c r="E475" s="51"/>
      <c r="F475" s="2"/>
      <c r="G475" s="71"/>
    </row>
    <row r="476" spans="1:7" s="10" customFormat="1" ht="15.75" customHeight="1" x14ac:dyDescent="0.25">
      <c r="A476" s="1"/>
      <c r="B476" s="3"/>
      <c r="C476" s="40" t="s">
        <v>1118</v>
      </c>
      <c r="D476" s="45">
        <v>1269</v>
      </c>
      <c r="E476" s="51"/>
      <c r="F476" s="2"/>
      <c r="G476" s="71"/>
    </row>
    <row r="477" spans="1:7" s="10" customFormat="1" ht="15.75" customHeight="1" x14ac:dyDescent="0.25">
      <c r="A477" s="1"/>
      <c r="B477" s="3"/>
      <c r="C477" s="40" t="s">
        <v>1338</v>
      </c>
      <c r="D477" s="45">
        <v>988</v>
      </c>
      <c r="E477" s="51"/>
      <c r="F477" s="2"/>
      <c r="G477" s="71"/>
    </row>
    <row r="478" spans="1:7" s="10" customFormat="1" ht="15.75" customHeight="1" x14ac:dyDescent="0.25">
      <c r="A478" s="1"/>
      <c r="B478" s="3"/>
      <c r="C478" s="40" t="s">
        <v>1339</v>
      </c>
      <c r="D478" s="45">
        <v>2649</v>
      </c>
      <c r="E478" s="51"/>
      <c r="F478" s="2"/>
      <c r="G478" s="71"/>
    </row>
    <row r="479" spans="1:7" s="10" customFormat="1" ht="15.75" customHeight="1" x14ac:dyDescent="0.25">
      <c r="A479" s="1"/>
      <c r="B479" s="3"/>
      <c r="C479" s="40" t="s">
        <v>1340</v>
      </c>
      <c r="D479" s="45">
        <v>2557</v>
      </c>
      <c r="E479" s="51"/>
      <c r="F479" s="2"/>
      <c r="G479" s="71"/>
    </row>
    <row r="480" spans="1:7" s="10" customFormat="1" ht="15.75" customHeight="1" x14ac:dyDescent="0.25">
      <c r="A480" s="1"/>
      <c r="B480" s="3"/>
      <c r="C480" s="40" t="s">
        <v>79</v>
      </c>
      <c r="D480" s="45">
        <v>4681</v>
      </c>
      <c r="E480" s="51"/>
      <c r="F480" s="2"/>
      <c r="G480" s="71"/>
    </row>
    <row r="481" spans="1:7" s="10" customFormat="1" ht="15.75" customHeight="1" x14ac:dyDescent="0.25">
      <c r="A481" s="1"/>
      <c r="B481" s="3"/>
      <c r="C481" s="40" t="s">
        <v>1341</v>
      </c>
      <c r="D481" s="45">
        <v>2464</v>
      </c>
      <c r="E481" s="51"/>
      <c r="F481" s="2"/>
      <c r="G481" s="71"/>
    </row>
    <row r="482" spans="1:7" s="10" customFormat="1" ht="15.75" customHeight="1" x14ac:dyDescent="0.25">
      <c r="A482" s="1"/>
      <c r="B482" s="3"/>
      <c r="C482" s="40" t="s">
        <v>36</v>
      </c>
      <c r="D482" s="45">
        <v>2957</v>
      </c>
      <c r="E482" s="51"/>
      <c r="F482" s="2"/>
      <c r="G482" s="71"/>
    </row>
    <row r="483" spans="1:7" s="10" customFormat="1" ht="15.75" customHeight="1" x14ac:dyDescent="0.25">
      <c r="A483" s="1"/>
      <c r="B483" s="3"/>
      <c r="C483" s="40" t="s">
        <v>152</v>
      </c>
      <c r="D483" s="45">
        <v>2120</v>
      </c>
      <c r="E483" s="51"/>
      <c r="F483" s="2"/>
      <c r="G483" s="71"/>
    </row>
    <row r="484" spans="1:7" s="10" customFormat="1" ht="15.75" customHeight="1" x14ac:dyDescent="0.25">
      <c r="A484" s="1"/>
      <c r="B484" s="3"/>
      <c r="C484" s="40" t="s">
        <v>1342</v>
      </c>
      <c r="D484" s="45">
        <v>1320</v>
      </c>
      <c r="E484" s="51"/>
      <c r="F484" s="2"/>
      <c r="G484" s="71"/>
    </row>
    <row r="485" spans="1:7" s="10" customFormat="1" ht="15.75" customHeight="1" x14ac:dyDescent="0.25">
      <c r="A485" s="1"/>
      <c r="B485" s="3"/>
      <c r="C485" s="40" t="s">
        <v>1343</v>
      </c>
      <c r="D485" s="45">
        <v>1055</v>
      </c>
      <c r="E485" s="51"/>
      <c r="F485" s="2"/>
      <c r="G485" s="71"/>
    </row>
    <row r="486" spans="1:7" s="10" customFormat="1" ht="15.75" customHeight="1" x14ac:dyDescent="0.25">
      <c r="A486" s="1"/>
      <c r="B486" s="3"/>
      <c r="C486" s="40" t="s">
        <v>1344</v>
      </c>
      <c r="D486" s="45">
        <v>2002</v>
      </c>
      <c r="E486" s="51"/>
      <c r="F486" s="2"/>
      <c r="G486" s="71"/>
    </row>
    <row r="487" spans="1:7" s="10" customFormat="1" ht="15.75" customHeight="1" x14ac:dyDescent="0.25">
      <c r="A487" s="1"/>
      <c r="B487" s="3"/>
      <c r="C487" s="40" t="s">
        <v>1345</v>
      </c>
      <c r="D487" s="45">
        <v>1629</v>
      </c>
      <c r="E487" s="51"/>
      <c r="F487" s="2"/>
      <c r="G487" s="71"/>
    </row>
    <row r="488" spans="1:7" s="10" customFormat="1" ht="15.75" customHeight="1" x14ac:dyDescent="0.25">
      <c r="A488" s="1"/>
      <c r="B488" s="3"/>
      <c r="C488" s="40" t="s">
        <v>1104</v>
      </c>
      <c r="D488" s="45">
        <v>1219</v>
      </c>
      <c r="E488" s="51"/>
      <c r="F488" s="2"/>
      <c r="G488" s="71"/>
    </row>
    <row r="489" spans="1:7" s="10" customFormat="1" ht="15.75" customHeight="1" x14ac:dyDescent="0.25">
      <c r="A489" s="1"/>
      <c r="B489" s="3"/>
      <c r="C489" s="40" t="s">
        <v>1346</v>
      </c>
      <c r="D489" s="45">
        <v>1480</v>
      </c>
      <c r="E489" s="51"/>
      <c r="F489" s="2"/>
      <c r="G489" s="71"/>
    </row>
    <row r="490" spans="1:7" s="10" customFormat="1" ht="15.75" customHeight="1" x14ac:dyDescent="0.25">
      <c r="A490" s="1"/>
      <c r="B490" s="3"/>
      <c r="C490" s="40" t="s">
        <v>1347</v>
      </c>
      <c r="D490" s="45">
        <v>863</v>
      </c>
      <c r="E490" s="51"/>
      <c r="F490" s="2"/>
      <c r="G490" s="71"/>
    </row>
    <row r="491" spans="1:7" s="10" customFormat="1" ht="15.75" customHeight="1" x14ac:dyDescent="0.25">
      <c r="A491" s="1"/>
      <c r="B491" s="3"/>
      <c r="C491" s="40" t="s">
        <v>1348</v>
      </c>
      <c r="D491" s="45">
        <v>1253</v>
      </c>
      <c r="E491" s="51"/>
      <c r="F491" s="2"/>
      <c r="G491" s="71"/>
    </row>
    <row r="492" spans="1:7" s="10" customFormat="1" ht="15.75" customHeight="1" x14ac:dyDescent="0.25">
      <c r="A492" s="1"/>
      <c r="B492" s="3"/>
      <c r="C492" s="40" t="s">
        <v>1349</v>
      </c>
      <c r="D492" s="45">
        <v>1007</v>
      </c>
      <c r="E492" s="51"/>
      <c r="F492" s="2"/>
      <c r="G492" s="71"/>
    </row>
    <row r="493" spans="1:7" s="10" customFormat="1" ht="15.75" customHeight="1" x14ac:dyDescent="0.25">
      <c r="A493" s="1"/>
      <c r="B493" s="3"/>
      <c r="C493" s="40" t="s">
        <v>1350</v>
      </c>
      <c r="D493" s="45">
        <v>983</v>
      </c>
      <c r="E493" s="51"/>
      <c r="F493" s="2"/>
      <c r="G493" s="71"/>
    </row>
    <row r="494" spans="1:7" s="10" customFormat="1" ht="15.75" customHeight="1" x14ac:dyDescent="0.25">
      <c r="A494" s="1"/>
      <c r="B494" s="3"/>
      <c r="C494" s="40" t="s">
        <v>1351</v>
      </c>
      <c r="D494" s="45">
        <v>1956</v>
      </c>
      <c r="E494" s="51"/>
      <c r="F494" s="2"/>
      <c r="G494" s="71"/>
    </row>
    <row r="495" spans="1:7" s="10" customFormat="1" ht="15.75" customHeight="1" x14ac:dyDescent="0.25">
      <c r="A495" s="1"/>
      <c r="B495" s="3"/>
      <c r="C495" s="40" t="s">
        <v>867</v>
      </c>
      <c r="D495" s="45">
        <v>7237</v>
      </c>
      <c r="E495" s="51"/>
      <c r="F495" s="2"/>
      <c r="G495" s="71"/>
    </row>
    <row r="496" spans="1:7" s="10" customFormat="1" ht="15.75" customHeight="1" x14ac:dyDescent="0.25">
      <c r="A496" s="1"/>
      <c r="B496" s="3"/>
      <c r="C496" s="40" t="s">
        <v>1352</v>
      </c>
      <c r="D496" s="45">
        <v>1980</v>
      </c>
      <c r="E496" s="51"/>
      <c r="F496" s="2"/>
      <c r="G496" s="71"/>
    </row>
    <row r="497" spans="1:7" s="10" customFormat="1" ht="15.75" customHeight="1" x14ac:dyDescent="0.25">
      <c r="A497" s="1"/>
      <c r="B497" s="3"/>
      <c r="C497" s="40" t="s">
        <v>1353</v>
      </c>
      <c r="D497" s="45">
        <v>1609</v>
      </c>
      <c r="E497" s="51"/>
      <c r="F497" s="2"/>
      <c r="G497" s="71"/>
    </row>
    <row r="498" spans="1:7" s="10" customFormat="1" ht="15.75" customHeight="1" x14ac:dyDescent="0.25">
      <c r="A498" s="1"/>
      <c r="B498" s="3"/>
      <c r="C498" s="40" t="s">
        <v>1354</v>
      </c>
      <c r="D498" s="45">
        <v>3212</v>
      </c>
      <c r="E498" s="51"/>
      <c r="F498" s="2"/>
      <c r="G498" s="71"/>
    </row>
    <row r="499" spans="1:7" s="10" customFormat="1" ht="15.75" customHeight="1" x14ac:dyDescent="0.25">
      <c r="A499" s="1"/>
      <c r="B499" s="3"/>
      <c r="C499" s="40" t="s">
        <v>433</v>
      </c>
      <c r="D499" s="45">
        <v>938</v>
      </c>
      <c r="E499" s="51"/>
      <c r="F499" s="2"/>
      <c r="G499" s="71"/>
    </row>
    <row r="500" spans="1:7" s="10" customFormat="1" ht="15.75" customHeight="1" x14ac:dyDescent="0.25">
      <c r="A500" s="1"/>
      <c r="B500" s="3"/>
      <c r="C500" s="40" t="s">
        <v>2</v>
      </c>
      <c r="D500" s="45">
        <v>6695</v>
      </c>
      <c r="E500" s="51"/>
      <c r="F500" s="2"/>
      <c r="G500" s="71"/>
    </row>
    <row r="501" spans="1:7" s="10" customFormat="1" ht="15.75" customHeight="1" x14ac:dyDescent="0.25">
      <c r="A501" s="1"/>
      <c r="B501" s="3"/>
      <c r="C501" s="40" t="s">
        <v>1310</v>
      </c>
      <c r="D501" s="45">
        <v>1995</v>
      </c>
      <c r="E501" s="51"/>
      <c r="F501" s="2"/>
      <c r="G501" s="71"/>
    </row>
    <row r="502" spans="1:7" s="10" customFormat="1" ht="15.75" customHeight="1" x14ac:dyDescent="0.25">
      <c r="A502" s="1"/>
      <c r="B502" s="3"/>
      <c r="C502" s="40" t="s">
        <v>1355</v>
      </c>
      <c r="D502" s="45">
        <v>4738</v>
      </c>
      <c r="E502" s="51"/>
      <c r="F502" s="2"/>
      <c r="G502" s="71"/>
    </row>
    <row r="503" spans="1:7" s="10" customFormat="1" ht="15.75" customHeight="1" x14ac:dyDescent="0.25">
      <c r="A503" s="1"/>
      <c r="B503" s="3"/>
      <c r="C503" s="40" t="s">
        <v>1356</v>
      </c>
      <c r="D503" s="45">
        <v>1497</v>
      </c>
      <c r="E503" s="51"/>
      <c r="F503" s="2"/>
      <c r="G503" s="71"/>
    </row>
    <row r="504" spans="1:7" s="10" customFormat="1" ht="15.75" customHeight="1" x14ac:dyDescent="0.25">
      <c r="A504" s="1"/>
      <c r="B504" s="3"/>
      <c r="C504" s="40" t="s">
        <v>1357</v>
      </c>
      <c r="D504" s="45">
        <v>1323</v>
      </c>
      <c r="E504" s="51"/>
      <c r="F504" s="2"/>
      <c r="G504" s="71"/>
    </row>
    <row r="505" spans="1:7" s="10" customFormat="1" ht="15.75" customHeight="1" x14ac:dyDescent="0.25">
      <c r="A505" s="1"/>
      <c r="B505" s="3"/>
      <c r="C505" s="40" t="s">
        <v>122</v>
      </c>
      <c r="D505" s="45">
        <v>3436</v>
      </c>
      <c r="E505" s="51"/>
      <c r="F505" s="2"/>
      <c r="G505" s="71"/>
    </row>
    <row r="506" spans="1:7" s="10" customFormat="1" ht="15.75" customHeight="1" x14ac:dyDescent="0.25">
      <c r="A506" s="1"/>
      <c r="B506" s="3"/>
      <c r="C506" s="40"/>
      <c r="D506" s="46"/>
      <c r="E506" s="51"/>
      <c r="F506" s="2"/>
      <c r="G506" s="71"/>
    </row>
    <row r="507" spans="1:7" s="10" customFormat="1" ht="15.75" customHeight="1" x14ac:dyDescent="0.25">
      <c r="A507" s="1"/>
      <c r="B507" s="3"/>
      <c r="C507" s="39" t="s">
        <v>1358</v>
      </c>
      <c r="D507" s="57">
        <f>SUM(D508:D549)</f>
        <v>156321</v>
      </c>
      <c r="E507" s="51"/>
      <c r="F507" s="2"/>
      <c r="G507" s="71"/>
    </row>
    <row r="508" spans="1:7" s="10" customFormat="1" ht="15.75" customHeight="1" x14ac:dyDescent="0.25">
      <c r="A508" s="1"/>
      <c r="B508" s="3"/>
      <c r="C508" s="40" t="s">
        <v>1359</v>
      </c>
      <c r="D508" s="45">
        <v>2251</v>
      </c>
      <c r="E508" s="51"/>
      <c r="F508" s="2"/>
      <c r="G508" s="71"/>
    </row>
    <row r="509" spans="1:7" s="10" customFormat="1" ht="15.75" customHeight="1" x14ac:dyDescent="0.25">
      <c r="A509" s="1"/>
      <c r="B509" s="3"/>
      <c r="C509" s="40" t="s">
        <v>68</v>
      </c>
      <c r="D509" s="45">
        <v>672</v>
      </c>
      <c r="E509" s="51"/>
      <c r="F509" s="2"/>
      <c r="G509" s="71"/>
    </row>
    <row r="510" spans="1:7" s="10" customFormat="1" ht="15.75" customHeight="1" x14ac:dyDescent="0.25">
      <c r="A510" s="1"/>
      <c r="B510" s="3"/>
      <c r="C510" s="40" t="s">
        <v>1360</v>
      </c>
      <c r="D510" s="45">
        <v>3140</v>
      </c>
      <c r="E510" s="51"/>
      <c r="F510" s="2"/>
      <c r="G510" s="71"/>
    </row>
    <row r="511" spans="1:7" s="10" customFormat="1" ht="15.75" customHeight="1" x14ac:dyDescent="0.25">
      <c r="A511" s="1"/>
      <c r="B511" s="3"/>
      <c r="C511" s="40" t="s">
        <v>86</v>
      </c>
      <c r="D511" s="45">
        <v>2557</v>
      </c>
      <c r="E511" s="51"/>
      <c r="F511" s="2"/>
      <c r="G511" s="71"/>
    </row>
    <row r="512" spans="1:7" s="10" customFormat="1" ht="15.75" customHeight="1" x14ac:dyDescent="0.25">
      <c r="A512" s="1"/>
      <c r="B512" s="3"/>
      <c r="C512" s="40" t="s">
        <v>1361</v>
      </c>
      <c r="D512" s="45">
        <v>1392</v>
      </c>
      <c r="E512" s="51"/>
      <c r="F512" s="2"/>
      <c r="G512" s="71"/>
    </row>
    <row r="513" spans="1:7" s="10" customFormat="1" ht="15.75" customHeight="1" x14ac:dyDescent="0.25">
      <c r="A513" s="1"/>
      <c r="B513" s="3"/>
      <c r="C513" s="40" t="s">
        <v>1362</v>
      </c>
      <c r="D513" s="45">
        <v>4589</v>
      </c>
      <c r="E513" s="51"/>
      <c r="F513" s="2"/>
      <c r="G513" s="71"/>
    </row>
    <row r="514" spans="1:7" s="10" customFormat="1" ht="15.75" customHeight="1" x14ac:dyDescent="0.25">
      <c r="A514" s="1"/>
      <c r="B514" s="3"/>
      <c r="C514" s="40" t="s">
        <v>1363</v>
      </c>
      <c r="D514" s="45">
        <v>4320</v>
      </c>
      <c r="E514" s="51"/>
      <c r="F514" s="2"/>
      <c r="G514" s="71"/>
    </row>
    <row r="515" spans="1:7" s="10" customFormat="1" ht="15.75" customHeight="1" x14ac:dyDescent="0.25">
      <c r="A515" s="1"/>
      <c r="B515" s="3"/>
      <c r="C515" s="40" t="s">
        <v>1364</v>
      </c>
      <c r="D515" s="45">
        <v>694</v>
      </c>
      <c r="E515" s="51"/>
      <c r="F515" s="2"/>
      <c r="G515" s="71"/>
    </row>
    <row r="516" spans="1:7" s="10" customFormat="1" ht="15.75" customHeight="1" x14ac:dyDescent="0.25">
      <c r="A516" s="1"/>
      <c r="B516" s="3"/>
      <c r="C516" s="40" t="s">
        <v>1365</v>
      </c>
      <c r="D516" s="45">
        <v>5116</v>
      </c>
      <c r="E516" s="51"/>
      <c r="F516" s="2"/>
      <c r="G516" s="71"/>
    </row>
    <row r="517" spans="1:7" s="10" customFormat="1" ht="15.75" customHeight="1" x14ac:dyDescent="0.25">
      <c r="A517" s="1"/>
      <c r="B517" s="3"/>
      <c r="C517" s="40" t="s">
        <v>1366</v>
      </c>
      <c r="D517" s="45">
        <v>1442</v>
      </c>
      <c r="E517" s="51"/>
      <c r="F517" s="2"/>
      <c r="G517" s="71"/>
    </row>
    <row r="518" spans="1:7" s="10" customFormat="1" ht="15.75" customHeight="1" x14ac:dyDescent="0.25">
      <c r="A518" s="1"/>
      <c r="B518" s="3"/>
      <c r="C518" s="40" t="s">
        <v>1367</v>
      </c>
      <c r="D518" s="45">
        <v>1129</v>
      </c>
      <c r="E518" s="51"/>
      <c r="F518" s="2"/>
      <c r="G518" s="71"/>
    </row>
    <row r="519" spans="1:7" s="10" customFormat="1" ht="15.75" customHeight="1" x14ac:dyDescent="0.25">
      <c r="A519" s="1"/>
      <c r="B519" s="3"/>
      <c r="C519" s="40" t="s">
        <v>1368</v>
      </c>
      <c r="D519" s="45">
        <v>7313</v>
      </c>
      <c r="E519" s="51"/>
      <c r="F519" s="2"/>
      <c r="G519" s="71"/>
    </row>
    <row r="520" spans="1:7" s="10" customFormat="1" ht="15.75" customHeight="1" x14ac:dyDescent="0.25">
      <c r="A520" s="1"/>
      <c r="B520" s="3"/>
      <c r="C520" s="40" t="s">
        <v>614</v>
      </c>
      <c r="D520" s="45">
        <v>5844</v>
      </c>
      <c r="E520" s="51"/>
      <c r="F520" s="2"/>
      <c r="G520" s="71"/>
    </row>
    <row r="521" spans="1:7" s="10" customFormat="1" ht="15.75" customHeight="1" x14ac:dyDescent="0.25">
      <c r="A521" s="1"/>
      <c r="B521" s="3"/>
      <c r="C521" s="40" t="s">
        <v>1369</v>
      </c>
      <c r="D521" s="45">
        <v>10394</v>
      </c>
      <c r="E521" s="51"/>
      <c r="F521" s="2"/>
      <c r="G521" s="71"/>
    </row>
    <row r="522" spans="1:7" s="10" customFormat="1" ht="15.75" customHeight="1" x14ac:dyDescent="0.25">
      <c r="A522" s="1"/>
      <c r="B522" s="3"/>
      <c r="C522" s="40" t="s">
        <v>1370</v>
      </c>
      <c r="D522" s="45">
        <v>1270</v>
      </c>
      <c r="E522" s="51"/>
      <c r="F522" s="2"/>
      <c r="G522" s="71"/>
    </row>
    <row r="523" spans="1:7" s="10" customFormat="1" ht="15.75" customHeight="1" x14ac:dyDescent="0.25">
      <c r="A523" s="1"/>
      <c r="B523" s="3"/>
      <c r="C523" s="40" t="s">
        <v>1371</v>
      </c>
      <c r="D523" s="45">
        <v>831</v>
      </c>
      <c r="E523" s="51"/>
      <c r="F523" s="2"/>
      <c r="G523" s="71"/>
    </row>
    <row r="524" spans="1:7" s="10" customFormat="1" ht="15.75" customHeight="1" x14ac:dyDescent="0.25">
      <c r="A524" s="1"/>
      <c r="B524" s="3"/>
      <c r="C524" s="40" t="s">
        <v>155</v>
      </c>
      <c r="D524" s="45">
        <v>1595</v>
      </c>
      <c r="E524" s="51"/>
      <c r="F524" s="2"/>
      <c r="G524" s="71"/>
    </row>
    <row r="525" spans="1:7" s="10" customFormat="1" ht="15.75" customHeight="1" x14ac:dyDescent="0.25">
      <c r="A525" s="1"/>
      <c r="B525" s="3"/>
      <c r="C525" s="40" t="s">
        <v>1372</v>
      </c>
      <c r="D525" s="45">
        <v>2109</v>
      </c>
      <c r="E525" s="51"/>
      <c r="F525" s="2"/>
      <c r="G525" s="71"/>
    </row>
    <row r="526" spans="1:7" s="10" customFormat="1" ht="15.75" customHeight="1" x14ac:dyDescent="0.25">
      <c r="A526" s="1"/>
      <c r="B526" s="3"/>
      <c r="C526" s="40" t="s">
        <v>663</v>
      </c>
      <c r="D526" s="45">
        <v>12074</v>
      </c>
      <c r="E526" s="51"/>
      <c r="F526" s="2"/>
      <c r="G526" s="71"/>
    </row>
    <row r="527" spans="1:7" s="10" customFormat="1" ht="15.75" customHeight="1" x14ac:dyDescent="0.25">
      <c r="A527" s="1"/>
      <c r="B527" s="3"/>
      <c r="C527" s="40" t="s">
        <v>1373</v>
      </c>
      <c r="D527" s="45">
        <v>470</v>
      </c>
      <c r="E527" s="51"/>
      <c r="F527" s="2"/>
      <c r="G527" s="71"/>
    </row>
    <row r="528" spans="1:7" s="10" customFormat="1" ht="15.75" customHeight="1" x14ac:dyDescent="0.25">
      <c r="A528" s="1"/>
      <c r="B528" s="3"/>
      <c r="C528" s="40" t="s">
        <v>110</v>
      </c>
      <c r="D528" s="45">
        <v>1591</v>
      </c>
      <c r="E528" s="51"/>
      <c r="F528" s="2"/>
      <c r="G528" s="71"/>
    </row>
    <row r="529" spans="1:7" s="10" customFormat="1" ht="15.75" customHeight="1" x14ac:dyDescent="0.25">
      <c r="A529" s="1"/>
      <c r="B529" s="3"/>
      <c r="C529" s="40" t="s">
        <v>1374</v>
      </c>
      <c r="D529" s="45">
        <v>1808</v>
      </c>
      <c r="E529" s="51"/>
      <c r="F529" s="2"/>
      <c r="G529" s="71"/>
    </row>
    <row r="530" spans="1:7" s="10" customFormat="1" ht="15.75" customHeight="1" x14ac:dyDescent="0.25">
      <c r="A530" s="1"/>
      <c r="B530" s="3"/>
      <c r="C530" s="40" t="s">
        <v>1375</v>
      </c>
      <c r="D530" s="45">
        <v>1605</v>
      </c>
      <c r="E530" s="51"/>
      <c r="F530" s="2"/>
      <c r="G530" s="71"/>
    </row>
    <row r="531" spans="1:7" s="10" customFormat="1" ht="15.75" customHeight="1" x14ac:dyDescent="0.25">
      <c r="A531" s="1"/>
      <c r="B531" s="3"/>
      <c r="C531" s="40" t="s">
        <v>1376</v>
      </c>
      <c r="D531" s="45">
        <v>3343</v>
      </c>
      <c r="E531" s="51"/>
      <c r="F531" s="2"/>
      <c r="G531" s="71"/>
    </row>
    <row r="532" spans="1:7" s="10" customFormat="1" ht="15.75" customHeight="1" x14ac:dyDescent="0.25">
      <c r="A532" s="1"/>
      <c r="B532" s="3"/>
      <c r="C532" s="40" t="s">
        <v>337</v>
      </c>
      <c r="D532" s="45">
        <v>11898</v>
      </c>
      <c r="E532" s="51"/>
      <c r="F532" s="2"/>
      <c r="G532" s="71"/>
    </row>
    <row r="533" spans="1:7" s="10" customFormat="1" ht="15.75" customHeight="1" x14ac:dyDescent="0.25">
      <c r="A533" s="1"/>
      <c r="B533" s="3"/>
      <c r="C533" s="40" t="s">
        <v>185</v>
      </c>
      <c r="D533" s="45">
        <v>523</v>
      </c>
      <c r="E533" s="51"/>
      <c r="F533" s="2"/>
      <c r="G533" s="71"/>
    </row>
    <row r="534" spans="1:7" s="10" customFormat="1" ht="15.75" customHeight="1" x14ac:dyDescent="0.25">
      <c r="A534" s="1"/>
      <c r="B534" s="3"/>
      <c r="C534" s="40" t="s">
        <v>1377</v>
      </c>
      <c r="D534" s="45">
        <v>651</v>
      </c>
      <c r="E534" s="51"/>
      <c r="F534" s="2"/>
      <c r="G534" s="71"/>
    </row>
    <row r="535" spans="1:7" s="10" customFormat="1" ht="15.75" customHeight="1" x14ac:dyDescent="0.25">
      <c r="A535" s="1"/>
      <c r="B535" s="3"/>
      <c r="C535" s="40" t="s">
        <v>44</v>
      </c>
      <c r="D535" s="45">
        <v>856</v>
      </c>
      <c r="E535" s="51"/>
      <c r="F535" s="2"/>
      <c r="G535" s="71"/>
    </row>
    <row r="536" spans="1:7" s="10" customFormat="1" ht="15.75" customHeight="1" x14ac:dyDescent="0.25">
      <c r="A536" s="1"/>
      <c r="B536" s="3"/>
      <c r="C536" s="40" t="s">
        <v>2</v>
      </c>
      <c r="D536" s="45">
        <v>9709</v>
      </c>
      <c r="E536" s="51"/>
      <c r="F536" s="2"/>
      <c r="G536" s="71"/>
    </row>
    <row r="537" spans="1:7" s="10" customFormat="1" ht="15.75" customHeight="1" x14ac:dyDescent="0.25">
      <c r="A537" s="1"/>
      <c r="B537" s="3"/>
      <c r="C537" s="40" t="s">
        <v>1378</v>
      </c>
      <c r="D537" s="45">
        <v>1618</v>
      </c>
      <c r="E537" s="51"/>
      <c r="F537" s="2"/>
      <c r="G537" s="71"/>
    </row>
    <row r="538" spans="1:7" s="10" customFormat="1" ht="15.75" customHeight="1" x14ac:dyDescent="0.25">
      <c r="A538" s="1"/>
      <c r="B538" s="3"/>
      <c r="C538" s="40" t="s">
        <v>32</v>
      </c>
      <c r="D538" s="45">
        <v>16150</v>
      </c>
      <c r="E538" s="51"/>
      <c r="F538" s="2"/>
      <c r="G538" s="71"/>
    </row>
    <row r="539" spans="1:7" s="10" customFormat="1" ht="15.75" customHeight="1" x14ac:dyDescent="0.25">
      <c r="A539" s="1"/>
      <c r="B539" s="3"/>
      <c r="C539" s="40" t="s">
        <v>1310</v>
      </c>
      <c r="D539" s="45">
        <v>687</v>
      </c>
      <c r="E539" s="51"/>
      <c r="F539" s="2"/>
      <c r="G539" s="71"/>
    </row>
    <row r="540" spans="1:7" s="10" customFormat="1" ht="15.75" customHeight="1" x14ac:dyDescent="0.25">
      <c r="A540" s="1"/>
      <c r="B540" s="3"/>
      <c r="C540" s="40" t="s">
        <v>1379</v>
      </c>
      <c r="D540" s="45">
        <v>1385</v>
      </c>
      <c r="E540" s="51"/>
      <c r="F540" s="2"/>
      <c r="G540" s="71"/>
    </row>
    <row r="541" spans="1:7" s="10" customFormat="1" ht="15.75" customHeight="1" x14ac:dyDescent="0.25">
      <c r="A541" s="1"/>
      <c r="B541" s="3"/>
      <c r="C541" s="40" t="s">
        <v>1380</v>
      </c>
      <c r="D541" s="45">
        <v>3296</v>
      </c>
      <c r="E541" s="51"/>
      <c r="F541" s="2"/>
      <c r="G541" s="71"/>
    </row>
    <row r="542" spans="1:7" s="10" customFormat="1" ht="15.75" customHeight="1" x14ac:dyDescent="0.25">
      <c r="A542" s="1"/>
      <c r="B542" s="3"/>
      <c r="C542" s="40" t="s">
        <v>80</v>
      </c>
      <c r="D542" s="45">
        <v>1572</v>
      </c>
      <c r="E542" s="51"/>
      <c r="F542" s="2"/>
      <c r="G542" s="71"/>
    </row>
    <row r="543" spans="1:7" s="10" customFormat="1" ht="15.75" customHeight="1" x14ac:dyDescent="0.25">
      <c r="A543" s="1"/>
      <c r="B543" s="3"/>
      <c r="C543" s="40" t="s">
        <v>1381</v>
      </c>
      <c r="D543" s="45">
        <v>961</v>
      </c>
      <c r="E543" s="51"/>
      <c r="F543" s="2"/>
      <c r="G543" s="71"/>
    </row>
    <row r="544" spans="1:7" s="10" customFormat="1" ht="15.75" customHeight="1" x14ac:dyDescent="0.25">
      <c r="A544" s="1"/>
      <c r="B544" s="3"/>
      <c r="C544" s="40" t="s">
        <v>1382</v>
      </c>
      <c r="D544" s="45">
        <v>585</v>
      </c>
      <c r="E544" s="51"/>
      <c r="F544" s="2"/>
      <c r="G544" s="71"/>
    </row>
    <row r="545" spans="1:7" s="10" customFormat="1" ht="15.75" customHeight="1" x14ac:dyDescent="0.25">
      <c r="A545" s="1"/>
      <c r="B545" s="3"/>
      <c r="C545" s="40" t="s">
        <v>280</v>
      </c>
      <c r="D545" s="45">
        <v>7618</v>
      </c>
      <c r="E545" s="51"/>
      <c r="F545" s="2"/>
      <c r="G545" s="71"/>
    </row>
    <row r="546" spans="1:7" s="10" customFormat="1" ht="15.75" customHeight="1" x14ac:dyDescent="0.25">
      <c r="A546" s="1"/>
      <c r="B546" s="3"/>
      <c r="C546" s="40" t="s">
        <v>103</v>
      </c>
      <c r="D546" s="45">
        <v>6978</v>
      </c>
      <c r="E546" s="51"/>
      <c r="F546" s="2"/>
      <c r="G546" s="71"/>
    </row>
    <row r="547" spans="1:7" s="10" customFormat="1" ht="15.75" customHeight="1" x14ac:dyDescent="0.25">
      <c r="A547" s="1"/>
      <c r="B547" s="3"/>
      <c r="C547" s="40" t="s">
        <v>197</v>
      </c>
      <c r="D547" s="45">
        <v>4639</v>
      </c>
      <c r="E547" s="51"/>
      <c r="F547" s="2"/>
      <c r="G547" s="71"/>
    </row>
    <row r="548" spans="1:7" s="10" customFormat="1" ht="15.75" customHeight="1" x14ac:dyDescent="0.25">
      <c r="A548" s="1"/>
      <c r="B548" s="3"/>
      <c r="C548" s="40" t="s">
        <v>1383</v>
      </c>
      <c r="D548" s="45">
        <v>1664</v>
      </c>
      <c r="E548" s="51"/>
      <c r="F548" s="2"/>
      <c r="G548" s="71"/>
    </row>
    <row r="549" spans="1:7" s="10" customFormat="1" ht="15.75" customHeight="1" x14ac:dyDescent="0.25">
      <c r="A549" s="1"/>
      <c r="B549" s="3"/>
      <c r="C549" s="40" t="s">
        <v>1384</v>
      </c>
      <c r="D549" s="45">
        <v>7982</v>
      </c>
      <c r="E549" s="51"/>
      <c r="F549" s="2"/>
      <c r="G549" s="71"/>
    </row>
    <row r="550" spans="1:7" s="10" customFormat="1" ht="15.75" customHeight="1" x14ac:dyDescent="0.25">
      <c r="A550" s="1"/>
      <c r="B550" s="3"/>
      <c r="C550" s="40"/>
      <c r="D550" s="45"/>
      <c r="E550" s="51"/>
      <c r="F550" s="2"/>
      <c r="G550" s="71"/>
    </row>
    <row r="551" spans="1:7" s="10" customFormat="1" ht="15.75" customHeight="1" x14ac:dyDescent="0.25">
      <c r="A551" s="1"/>
      <c r="B551" s="3"/>
      <c r="C551" s="39" t="s">
        <v>1385</v>
      </c>
      <c r="D551" s="57">
        <f>SUM(D552:D588)</f>
        <v>57823</v>
      </c>
      <c r="E551" s="51"/>
      <c r="F551" s="2"/>
      <c r="G551" s="71"/>
    </row>
    <row r="552" spans="1:7" s="10" customFormat="1" ht="15.75" customHeight="1" x14ac:dyDescent="0.25">
      <c r="A552" s="1"/>
      <c r="B552" s="3"/>
      <c r="C552" s="40" t="s">
        <v>1386</v>
      </c>
      <c r="D552" s="45">
        <v>2122</v>
      </c>
      <c r="E552" s="51"/>
      <c r="F552" s="2"/>
      <c r="G552" s="71"/>
    </row>
    <row r="553" spans="1:7" s="10" customFormat="1" ht="15.75" customHeight="1" x14ac:dyDescent="0.25">
      <c r="A553" s="1"/>
      <c r="B553" s="3"/>
      <c r="C553" s="40" t="s">
        <v>1325</v>
      </c>
      <c r="D553" s="45">
        <v>3576</v>
      </c>
      <c r="E553" s="51"/>
      <c r="F553" s="2"/>
      <c r="G553" s="71"/>
    </row>
    <row r="554" spans="1:7" s="10" customFormat="1" ht="15.75" customHeight="1" x14ac:dyDescent="0.25">
      <c r="A554" s="1"/>
      <c r="B554" s="3"/>
      <c r="C554" s="40" t="s">
        <v>1338</v>
      </c>
      <c r="D554" s="45">
        <v>1651</v>
      </c>
      <c r="E554" s="51"/>
      <c r="F554" s="2"/>
      <c r="G554" s="71"/>
    </row>
    <row r="555" spans="1:7" s="10" customFormat="1" ht="15.75" customHeight="1" x14ac:dyDescent="0.25">
      <c r="A555" s="1"/>
      <c r="B555" s="3"/>
      <c r="C555" s="40" t="s">
        <v>1387</v>
      </c>
      <c r="D555" s="45">
        <v>1031</v>
      </c>
      <c r="E555" s="51"/>
      <c r="F555" s="2"/>
      <c r="G555" s="71"/>
    </row>
    <row r="556" spans="1:7" s="10" customFormat="1" ht="15.75" customHeight="1" x14ac:dyDescent="0.25">
      <c r="A556" s="1"/>
      <c r="B556" s="3"/>
      <c r="C556" s="40" t="s">
        <v>213</v>
      </c>
      <c r="D556" s="45">
        <v>1969</v>
      </c>
      <c r="E556" s="51"/>
      <c r="F556" s="2"/>
      <c r="G556" s="71"/>
    </row>
    <row r="557" spans="1:7" s="10" customFormat="1" ht="15.75" customHeight="1" x14ac:dyDescent="0.25">
      <c r="A557" s="1"/>
      <c r="B557" s="3"/>
      <c r="C557" s="40" t="s">
        <v>1388</v>
      </c>
      <c r="D557" s="45">
        <v>378</v>
      </c>
      <c r="E557" s="51"/>
      <c r="F557" s="2"/>
      <c r="G557" s="71"/>
    </row>
    <row r="558" spans="1:7" s="10" customFormat="1" ht="15.75" customHeight="1" x14ac:dyDescent="0.25">
      <c r="A558" s="1"/>
      <c r="B558" s="3"/>
      <c r="C558" s="40" t="s">
        <v>1389</v>
      </c>
      <c r="D558" s="45">
        <v>470</v>
      </c>
      <c r="E558" s="51"/>
      <c r="F558" s="2"/>
      <c r="G558" s="71"/>
    </row>
    <row r="559" spans="1:7" s="10" customFormat="1" ht="15.75" customHeight="1" x14ac:dyDescent="0.25">
      <c r="A559" s="1"/>
      <c r="B559" s="3"/>
      <c r="C559" s="40" t="s">
        <v>1390</v>
      </c>
      <c r="D559" s="45">
        <v>2334</v>
      </c>
      <c r="E559" s="51"/>
      <c r="F559" s="2"/>
      <c r="G559" s="71"/>
    </row>
    <row r="560" spans="1:7" s="10" customFormat="1" ht="15.75" customHeight="1" x14ac:dyDescent="0.25">
      <c r="A560" s="1"/>
      <c r="B560" s="3"/>
      <c r="C560" s="40" t="s">
        <v>1391</v>
      </c>
      <c r="D560" s="45">
        <v>462</v>
      </c>
      <c r="E560" s="51"/>
      <c r="F560" s="2"/>
      <c r="G560" s="71"/>
    </row>
    <row r="561" spans="1:7" s="10" customFormat="1" ht="15.75" customHeight="1" x14ac:dyDescent="0.25">
      <c r="A561" s="1"/>
      <c r="B561" s="3"/>
      <c r="C561" s="40" t="s">
        <v>1392</v>
      </c>
      <c r="D561" s="45">
        <v>1250</v>
      </c>
      <c r="E561" s="51"/>
      <c r="F561" s="2"/>
      <c r="G561" s="71"/>
    </row>
    <row r="562" spans="1:7" s="10" customFormat="1" ht="15.75" customHeight="1" x14ac:dyDescent="0.25">
      <c r="A562" s="1"/>
      <c r="B562" s="3"/>
      <c r="C562" s="40" t="s">
        <v>276</v>
      </c>
      <c r="D562" s="45">
        <v>1102</v>
      </c>
      <c r="E562" s="51"/>
      <c r="F562" s="2"/>
      <c r="G562" s="71"/>
    </row>
    <row r="563" spans="1:7" s="10" customFormat="1" ht="15.75" customHeight="1" x14ac:dyDescent="0.25">
      <c r="A563" s="1"/>
      <c r="B563" s="3"/>
      <c r="C563" s="40" t="s">
        <v>1393</v>
      </c>
      <c r="D563" s="45">
        <v>1474</v>
      </c>
      <c r="E563" s="51"/>
      <c r="F563" s="2"/>
      <c r="G563" s="71"/>
    </row>
    <row r="564" spans="1:7" s="10" customFormat="1" ht="15.75" customHeight="1" x14ac:dyDescent="0.25">
      <c r="A564" s="1"/>
      <c r="B564" s="3"/>
      <c r="C564" s="40" t="s">
        <v>1394</v>
      </c>
      <c r="D564" s="45">
        <v>571</v>
      </c>
      <c r="E564" s="51"/>
      <c r="F564" s="2"/>
      <c r="G564" s="71"/>
    </row>
    <row r="565" spans="1:7" s="10" customFormat="1" ht="15.75" customHeight="1" x14ac:dyDescent="0.25">
      <c r="A565" s="1"/>
      <c r="B565" s="3"/>
      <c r="C565" s="40" t="s">
        <v>1395</v>
      </c>
      <c r="D565" s="45">
        <v>2204</v>
      </c>
      <c r="E565" s="51"/>
      <c r="F565" s="2"/>
      <c r="G565" s="71"/>
    </row>
    <row r="566" spans="1:7" s="10" customFormat="1" ht="15.75" customHeight="1" x14ac:dyDescent="0.25">
      <c r="A566" s="1"/>
      <c r="B566" s="3"/>
      <c r="C566" s="40" t="s">
        <v>1396</v>
      </c>
      <c r="D566" s="45">
        <v>720</v>
      </c>
      <c r="E566" s="51"/>
      <c r="F566" s="2"/>
      <c r="G566" s="71"/>
    </row>
    <row r="567" spans="1:7" s="10" customFormat="1" ht="15.75" customHeight="1" x14ac:dyDescent="0.25">
      <c r="A567" s="1"/>
      <c r="B567" s="3"/>
      <c r="C567" s="40" t="s">
        <v>1397</v>
      </c>
      <c r="D567" s="45">
        <v>821</v>
      </c>
      <c r="E567" s="51"/>
      <c r="F567" s="2"/>
      <c r="G567" s="71"/>
    </row>
    <row r="568" spans="1:7" s="10" customFormat="1" ht="15.75" customHeight="1" x14ac:dyDescent="0.25">
      <c r="A568" s="1"/>
      <c r="B568" s="3"/>
      <c r="C568" s="40" t="s">
        <v>1398</v>
      </c>
      <c r="D568" s="45">
        <v>1267</v>
      </c>
      <c r="E568" s="51"/>
      <c r="F568" s="2"/>
      <c r="G568" s="71"/>
    </row>
    <row r="569" spans="1:7" s="10" customFormat="1" ht="15.75" customHeight="1" x14ac:dyDescent="0.25">
      <c r="A569" s="1"/>
      <c r="B569" s="3"/>
      <c r="C569" s="40" t="s">
        <v>107</v>
      </c>
      <c r="D569" s="45">
        <v>3402</v>
      </c>
      <c r="E569" s="51"/>
      <c r="F569" s="2"/>
      <c r="G569" s="71"/>
    </row>
    <row r="570" spans="1:7" s="10" customFormat="1" ht="15.75" customHeight="1" x14ac:dyDescent="0.25">
      <c r="A570" s="1"/>
      <c r="B570" s="3"/>
      <c r="C570" s="40" t="s">
        <v>1399</v>
      </c>
      <c r="D570" s="45">
        <v>708</v>
      </c>
      <c r="E570" s="51"/>
      <c r="F570" s="2"/>
      <c r="G570" s="71"/>
    </row>
    <row r="571" spans="1:7" s="10" customFormat="1" ht="15.75" customHeight="1" x14ac:dyDescent="0.25">
      <c r="A571" s="1"/>
      <c r="B571" s="3"/>
      <c r="C571" s="40" t="s">
        <v>1400</v>
      </c>
      <c r="D571" s="45">
        <v>550</v>
      </c>
      <c r="E571" s="51"/>
      <c r="F571" s="2"/>
      <c r="G571" s="71"/>
    </row>
    <row r="572" spans="1:7" s="10" customFormat="1" ht="15.75" customHeight="1" x14ac:dyDescent="0.25">
      <c r="A572" s="1"/>
      <c r="B572" s="3"/>
      <c r="C572" s="40" t="s">
        <v>1401</v>
      </c>
      <c r="D572" s="45">
        <v>557</v>
      </c>
      <c r="E572" s="51"/>
      <c r="F572" s="2"/>
      <c r="G572" s="71"/>
    </row>
    <row r="573" spans="1:7" s="10" customFormat="1" ht="15.75" customHeight="1" x14ac:dyDescent="0.25">
      <c r="A573" s="1"/>
      <c r="B573" s="3"/>
      <c r="C573" s="40" t="s">
        <v>155</v>
      </c>
      <c r="D573" s="45">
        <v>3025</v>
      </c>
      <c r="E573" s="51"/>
      <c r="F573" s="2"/>
      <c r="G573" s="71"/>
    </row>
    <row r="574" spans="1:7" s="10" customFormat="1" ht="15.75" customHeight="1" x14ac:dyDescent="0.25">
      <c r="A574" s="1"/>
      <c r="B574" s="3"/>
      <c r="C574" s="40" t="s">
        <v>98</v>
      </c>
      <c r="D574" s="45">
        <v>2694</v>
      </c>
      <c r="E574" s="51"/>
      <c r="F574" s="2"/>
      <c r="G574" s="71"/>
    </row>
    <row r="575" spans="1:7" s="10" customFormat="1" ht="15.75" customHeight="1" x14ac:dyDescent="0.25">
      <c r="A575" s="1"/>
      <c r="B575" s="3"/>
      <c r="C575" s="40" t="s">
        <v>1351</v>
      </c>
      <c r="D575" s="45">
        <v>1231</v>
      </c>
      <c r="E575" s="51"/>
      <c r="F575" s="2"/>
      <c r="G575" s="71"/>
    </row>
    <row r="576" spans="1:7" s="10" customFormat="1" ht="15.75" customHeight="1" x14ac:dyDescent="0.25">
      <c r="A576" s="1"/>
      <c r="B576" s="3"/>
      <c r="C576" s="40" t="s">
        <v>1402</v>
      </c>
      <c r="D576" s="45">
        <v>724</v>
      </c>
      <c r="E576" s="51"/>
      <c r="F576" s="2"/>
      <c r="G576" s="71"/>
    </row>
    <row r="577" spans="1:7" s="10" customFormat="1" ht="15.75" customHeight="1" x14ac:dyDescent="0.25">
      <c r="A577" s="1"/>
      <c r="B577" s="3"/>
      <c r="C577" s="40" t="s">
        <v>1403</v>
      </c>
      <c r="D577" s="45">
        <v>375</v>
      </c>
      <c r="E577" s="51"/>
      <c r="F577" s="2"/>
      <c r="G577" s="71"/>
    </row>
    <row r="578" spans="1:7" s="10" customFormat="1" ht="15.75" customHeight="1" x14ac:dyDescent="0.25">
      <c r="A578" s="1"/>
      <c r="B578" s="3"/>
      <c r="C578" s="40" t="s">
        <v>1404</v>
      </c>
      <c r="D578" s="45">
        <v>1908</v>
      </c>
      <c r="E578" s="51"/>
      <c r="F578" s="2"/>
      <c r="G578" s="71"/>
    </row>
    <row r="579" spans="1:7" s="10" customFormat="1" ht="15.75" customHeight="1" x14ac:dyDescent="0.25">
      <c r="A579" s="1"/>
      <c r="B579" s="3"/>
      <c r="C579" s="40" t="s">
        <v>1405</v>
      </c>
      <c r="D579" s="45">
        <v>2558</v>
      </c>
      <c r="E579" s="51"/>
      <c r="F579" s="2"/>
      <c r="G579" s="71"/>
    </row>
    <row r="580" spans="1:7" s="10" customFormat="1" ht="15.75" customHeight="1" x14ac:dyDescent="0.25">
      <c r="A580" s="1"/>
      <c r="B580" s="3"/>
      <c r="C580" s="40" t="s">
        <v>46</v>
      </c>
      <c r="D580" s="45">
        <v>1204</v>
      </c>
      <c r="E580" s="51"/>
      <c r="F580" s="2"/>
      <c r="G580" s="71"/>
    </row>
    <row r="581" spans="1:7" s="10" customFormat="1" ht="15.75" customHeight="1" x14ac:dyDescent="0.25">
      <c r="A581" s="1"/>
      <c r="B581" s="3"/>
      <c r="C581" s="40" t="s">
        <v>163</v>
      </c>
      <c r="D581" s="45">
        <v>1070</v>
      </c>
      <c r="E581" s="51"/>
      <c r="F581" s="2"/>
      <c r="G581" s="71"/>
    </row>
    <row r="582" spans="1:7" s="10" customFormat="1" ht="15.75" customHeight="1" x14ac:dyDescent="0.25">
      <c r="A582" s="1"/>
      <c r="B582" s="3"/>
      <c r="C582" s="40" t="s">
        <v>1406</v>
      </c>
      <c r="D582" s="45">
        <v>1326</v>
      </c>
      <c r="E582" s="51"/>
      <c r="F582" s="2"/>
      <c r="G582" s="71"/>
    </row>
    <row r="583" spans="1:7" s="10" customFormat="1" ht="15.75" customHeight="1" x14ac:dyDescent="0.25">
      <c r="A583" s="1"/>
      <c r="B583" s="3"/>
      <c r="C583" s="40" t="s">
        <v>1407</v>
      </c>
      <c r="D583" s="45">
        <v>538</v>
      </c>
      <c r="E583" s="51"/>
      <c r="F583" s="2"/>
      <c r="G583" s="71"/>
    </row>
    <row r="584" spans="1:7" s="10" customFormat="1" ht="15.75" customHeight="1" x14ac:dyDescent="0.25">
      <c r="A584" s="1"/>
      <c r="B584" s="3"/>
      <c r="C584" s="40" t="s">
        <v>1408</v>
      </c>
      <c r="D584" s="45">
        <v>3125</v>
      </c>
      <c r="E584" s="51"/>
      <c r="F584" s="2"/>
      <c r="G584" s="71"/>
    </row>
    <row r="585" spans="1:7" s="10" customFormat="1" ht="15.75" customHeight="1" x14ac:dyDescent="0.25">
      <c r="A585" s="1"/>
      <c r="B585" s="3"/>
      <c r="C585" s="40" t="s">
        <v>993</v>
      </c>
      <c r="D585" s="45">
        <v>4118</v>
      </c>
      <c r="E585" s="51"/>
      <c r="F585" s="2"/>
      <c r="G585" s="71"/>
    </row>
    <row r="586" spans="1:7" s="10" customFormat="1" ht="15.75" customHeight="1" x14ac:dyDescent="0.25">
      <c r="A586" s="1"/>
      <c r="B586" s="3"/>
      <c r="C586" s="40" t="s">
        <v>1409</v>
      </c>
      <c r="D586" s="45">
        <v>2447</v>
      </c>
      <c r="E586" s="51"/>
      <c r="F586" s="2"/>
      <c r="G586" s="71"/>
    </row>
    <row r="587" spans="1:7" s="10" customFormat="1" ht="15.75" customHeight="1" x14ac:dyDescent="0.25">
      <c r="A587" s="1"/>
      <c r="B587" s="3"/>
      <c r="C587" s="40" t="s">
        <v>1410</v>
      </c>
      <c r="D587" s="45">
        <v>1682</v>
      </c>
      <c r="E587" s="51"/>
      <c r="F587" s="2"/>
      <c r="G587" s="71"/>
    </row>
    <row r="588" spans="1:7" s="10" customFormat="1" ht="15.75" customHeight="1" x14ac:dyDescent="0.25">
      <c r="A588" s="1"/>
      <c r="B588" s="3"/>
      <c r="C588" s="40" t="s">
        <v>1411</v>
      </c>
      <c r="D588" s="45">
        <v>1179</v>
      </c>
      <c r="E588" s="51"/>
      <c r="F588" s="2"/>
      <c r="G588" s="71"/>
    </row>
    <row r="589" spans="1:7" s="10" customFormat="1" ht="15.75" customHeight="1" x14ac:dyDescent="0.25">
      <c r="A589" s="1"/>
      <c r="B589" s="3"/>
      <c r="C589" s="40"/>
      <c r="D589" s="46"/>
      <c r="E589" s="51"/>
      <c r="F589" s="2"/>
      <c r="G589" s="71"/>
    </row>
    <row r="590" spans="1:7" s="10" customFormat="1" ht="15.75" customHeight="1" x14ac:dyDescent="0.25">
      <c r="A590" s="1"/>
      <c r="B590" s="3"/>
      <c r="C590" s="39" t="s">
        <v>1412</v>
      </c>
      <c r="D590" s="57">
        <f>SUM(D591:D604)</f>
        <v>16906</v>
      </c>
      <c r="E590" s="51"/>
      <c r="F590" s="2"/>
      <c r="G590" s="71"/>
    </row>
    <row r="591" spans="1:7" s="10" customFormat="1" ht="15.75" customHeight="1" x14ac:dyDescent="0.25">
      <c r="A591" s="1"/>
      <c r="B591" s="3"/>
      <c r="C591" s="40" t="s">
        <v>1413</v>
      </c>
      <c r="D591" s="45">
        <v>616</v>
      </c>
      <c r="E591" s="51"/>
      <c r="F591" s="2"/>
      <c r="G591" s="71"/>
    </row>
    <row r="592" spans="1:7" s="10" customFormat="1" ht="15.75" customHeight="1" x14ac:dyDescent="0.25">
      <c r="A592" s="1"/>
      <c r="B592" s="3"/>
      <c r="C592" s="40" t="s">
        <v>1414</v>
      </c>
      <c r="D592" s="45">
        <v>1171</v>
      </c>
      <c r="E592" s="51"/>
      <c r="F592" s="2"/>
      <c r="G592" s="71"/>
    </row>
    <row r="593" spans="1:7" s="10" customFormat="1" ht="15.75" customHeight="1" x14ac:dyDescent="0.25">
      <c r="A593" s="1"/>
      <c r="B593" s="3"/>
      <c r="C593" s="40" t="s">
        <v>1415</v>
      </c>
      <c r="D593" s="45">
        <v>654</v>
      </c>
      <c r="E593" s="51"/>
      <c r="F593" s="2"/>
      <c r="G593" s="71"/>
    </row>
    <row r="594" spans="1:7" s="10" customFormat="1" ht="15.75" customHeight="1" x14ac:dyDescent="0.25">
      <c r="A594" s="1"/>
      <c r="B594" s="3"/>
      <c r="C594" s="40" t="s">
        <v>1416</v>
      </c>
      <c r="D594" s="45">
        <v>472</v>
      </c>
      <c r="E594" s="51"/>
      <c r="F594" s="2"/>
      <c r="G594" s="71"/>
    </row>
    <row r="595" spans="1:7" s="10" customFormat="1" ht="15.75" customHeight="1" x14ac:dyDescent="0.25">
      <c r="A595" s="1"/>
      <c r="B595" s="3"/>
      <c r="C595" s="40" t="s">
        <v>1417</v>
      </c>
      <c r="D595" s="45">
        <v>457</v>
      </c>
      <c r="E595" s="51"/>
      <c r="F595" s="2"/>
      <c r="G595" s="71"/>
    </row>
    <row r="596" spans="1:7" s="10" customFormat="1" ht="15.75" customHeight="1" x14ac:dyDescent="0.25">
      <c r="A596" s="1"/>
      <c r="B596" s="3"/>
      <c r="C596" s="40" t="s">
        <v>1418</v>
      </c>
      <c r="D596" s="45">
        <v>792</v>
      </c>
      <c r="E596" s="51"/>
      <c r="F596" s="2"/>
      <c r="G596" s="71"/>
    </row>
    <row r="597" spans="1:7" s="10" customFormat="1" ht="15.75" customHeight="1" x14ac:dyDescent="0.25">
      <c r="A597" s="1"/>
      <c r="B597" s="3"/>
      <c r="C597" s="40" t="s">
        <v>171</v>
      </c>
      <c r="D597" s="45">
        <v>1205</v>
      </c>
      <c r="E597" s="51"/>
      <c r="F597" s="2"/>
      <c r="G597" s="71"/>
    </row>
    <row r="598" spans="1:7" s="10" customFormat="1" ht="15.75" customHeight="1" x14ac:dyDescent="0.25">
      <c r="A598" s="1"/>
      <c r="B598" s="3"/>
      <c r="C598" s="40" t="s">
        <v>663</v>
      </c>
      <c r="D598" s="45">
        <v>1172</v>
      </c>
      <c r="E598" s="51"/>
      <c r="F598" s="2"/>
      <c r="G598" s="71"/>
    </row>
    <row r="599" spans="1:7" s="10" customFormat="1" ht="15.75" customHeight="1" x14ac:dyDescent="0.25">
      <c r="A599" s="1"/>
      <c r="B599" s="3"/>
      <c r="C599" s="40" t="s">
        <v>1419</v>
      </c>
      <c r="D599" s="45">
        <v>986</v>
      </c>
      <c r="E599" s="51"/>
      <c r="F599" s="2"/>
      <c r="G599" s="71"/>
    </row>
    <row r="600" spans="1:7" s="10" customFormat="1" ht="15.75" customHeight="1" x14ac:dyDescent="0.25">
      <c r="A600" s="1"/>
      <c r="B600" s="3"/>
      <c r="C600" s="40" t="s">
        <v>1420</v>
      </c>
      <c r="D600" s="45">
        <v>1390</v>
      </c>
      <c r="E600" s="51"/>
      <c r="F600" s="2"/>
      <c r="G600" s="71"/>
    </row>
    <row r="601" spans="1:7" s="10" customFormat="1" ht="15.75" customHeight="1" x14ac:dyDescent="0.25">
      <c r="A601" s="1"/>
      <c r="B601" s="3"/>
      <c r="C601" s="40" t="s">
        <v>1041</v>
      </c>
      <c r="D601" s="45">
        <v>2490</v>
      </c>
      <c r="E601" s="51"/>
      <c r="F601" s="2"/>
      <c r="G601" s="71"/>
    </row>
    <row r="602" spans="1:7" s="10" customFormat="1" ht="15.75" customHeight="1" x14ac:dyDescent="0.25">
      <c r="A602" s="1"/>
      <c r="B602" s="3"/>
      <c r="C602" s="40" t="s">
        <v>2</v>
      </c>
      <c r="D602" s="45">
        <v>3219</v>
      </c>
      <c r="E602" s="51"/>
      <c r="F602" s="2"/>
      <c r="G602" s="71"/>
    </row>
    <row r="603" spans="1:7" s="10" customFormat="1" ht="15.75" customHeight="1" x14ac:dyDescent="0.25">
      <c r="A603" s="1"/>
      <c r="B603" s="3"/>
      <c r="C603" s="40" t="s">
        <v>246</v>
      </c>
      <c r="D603" s="45">
        <v>719</v>
      </c>
      <c r="E603" s="51"/>
      <c r="F603" s="2"/>
      <c r="G603" s="71"/>
    </row>
    <row r="604" spans="1:7" s="10" customFormat="1" ht="15.75" customHeight="1" x14ac:dyDescent="0.25">
      <c r="A604" s="1"/>
      <c r="B604" s="3"/>
      <c r="C604" s="40" t="s">
        <v>17</v>
      </c>
      <c r="D604" s="45">
        <v>1563</v>
      </c>
      <c r="E604" s="51"/>
      <c r="F604" s="2"/>
      <c r="G604" s="71"/>
    </row>
    <row r="605" spans="1:7" s="10" customFormat="1" ht="15.75" customHeight="1" x14ac:dyDescent="0.25">
      <c r="A605" s="1"/>
      <c r="B605" s="3"/>
      <c r="C605" s="40"/>
      <c r="D605" s="46"/>
      <c r="E605" s="51"/>
      <c r="F605" s="2"/>
      <c r="G605" s="71"/>
    </row>
    <row r="606" spans="1:7" s="10" customFormat="1" ht="15.75" customHeight="1" x14ac:dyDescent="0.25">
      <c r="A606" s="1"/>
      <c r="B606" s="3"/>
      <c r="C606" s="39" t="s">
        <v>1421</v>
      </c>
      <c r="D606" s="57">
        <f>SUM(D607:D620)</f>
        <v>153197</v>
      </c>
      <c r="E606" s="51"/>
      <c r="F606" s="2"/>
      <c r="G606" s="71"/>
    </row>
    <row r="607" spans="1:7" s="10" customFormat="1" ht="15.75" customHeight="1" x14ac:dyDescent="0.25">
      <c r="A607" s="1"/>
      <c r="B607" s="3"/>
      <c r="C607" s="40" t="s">
        <v>236</v>
      </c>
      <c r="D607" s="45">
        <v>2209</v>
      </c>
      <c r="E607" s="51"/>
      <c r="F607" s="2"/>
      <c r="G607" s="71"/>
    </row>
    <row r="608" spans="1:7" s="10" customFormat="1" ht="15.75" customHeight="1" x14ac:dyDescent="0.25">
      <c r="A608" s="1"/>
      <c r="B608" s="3"/>
      <c r="C608" s="40" t="s">
        <v>1422</v>
      </c>
      <c r="D608" s="45">
        <v>6821</v>
      </c>
      <c r="E608" s="51"/>
      <c r="F608" s="2"/>
      <c r="G608" s="71"/>
    </row>
    <row r="609" spans="1:7" s="10" customFormat="1" ht="15.75" customHeight="1" x14ac:dyDescent="0.25">
      <c r="A609" s="1"/>
      <c r="B609" s="3"/>
      <c r="C609" s="40" t="s">
        <v>530</v>
      </c>
      <c r="D609" s="45">
        <v>20162</v>
      </c>
      <c r="E609" s="51"/>
      <c r="F609" s="2"/>
      <c r="G609" s="71"/>
    </row>
    <row r="610" spans="1:7" s="10" customFormat="1" ht="15.75" customHeight="1" x14ac:dyDescent="0.25">
      <c r="A610" s="1"/>
      <c r="B610" s="3"/>
      <c r="C610" s="40" t="s">
        <v>1423</v>
      </c>
      <c r="D610" s="45">
        <v>10598</v>
      </c>
      <c r="E610" s="51"/>
      <c r="F610" s="2"/>
      <c r="G610" s="71"/>
    </row>
    <row r="611" spans="1:7" s="10" customFormat="1" ht="15.75" customHeight="1" x14ac:dyDescent="0.25">
      <c r="A611" s="1"/>
      <c r="B611" s="3"/>
      <c r="C611" s="40" t="s">
        <v>1424</v>
      </c>
      <c r="D611" s="45">
        <v>14904</v>
      </c>
      <c r="E611" s="51"/>
      <c r="F611" s="2"/>
      <c r="G611" s="71"/>
    </row>
    <row r="612" spans="1:7" s="10" customFormat="1" ht="15.75" customHeight="1" x14ac:dyDescent="0.25">
      <c r="A612" s="1"/>
      <c r="B612" s="3"/>
      <c r="C612" s="40" t="s">
        <v>910</v>
      </c>
      <c r="D612" s="45">
        <v>2516</v>
      </c>
      <c r="E612" s="51"/>
      <c r="F612" s="2"/>
      <c r="G612" s="71"/>
    </row>
    <row r="613" spans="1:7" s="10" customFormat="1" ht="15.75" customHeight="1" x14ac:dyDescent="0.25">
      <c r="A613" s="1"/>
      <c r="B613" s="3"/>
      <c r="C613" s="40" t="s">
        <v>1297</v>
      </c>
      <c r="D613" s="45">
        <v>1189</v>
      </c>
      <c r="E613" s="51"/>
      <c r="F613" s="2"/>
      <c r="G613" s="71"/>
    </row>
    <row r="614" spans="1:7" s="10" customFormat="1" ht="15.75" customHeight="1" x14ac:dyDescent="0.25">
      <c r="A614" s="1"/>
      <c r="B614" s="3"/>
      <c r="C614" s="40" t="s">
        <v>2</v>
      </c>
      <c r="D614" s="45">
        <v>16657</v>
      </c>
      <c r="E614" s="51"/>
      <c r="F614" s="2"/>
      <c r="G614" s="71"/>
    </row>
    <row r="615" spans="1:7" s="10" customFormat="1" ht="15.75" customHeight="1" x14ac:dyDescent="0.25">
      <c r="A615" s="1"/>
      <c r="B615" s="3"/>
      <c r="C615" s="40" t="s">
        <v>17</v>
      </c>
      <c r="D615" s="45">
        <v>1797</v>
      </c>
      <c r="E615" s="51"/>
      <c r="F615" s="2"/>
      <c r="G615" s="71"/>
    </row>
    <row r="616" spans="1:7" s="10" customFormat="1" ht="15.75" customHeight="1" x14ac:dyDescent="0.25">
      <c r="A616" s="1"/>
      <c r="B616" s="3"/>
      <c r="C616" s="40" t="s">
        <v>10</v>
      </c>
      <c r="D616" s="45">
        <v>13069</v>
      </c>
      <c r="E616" s="51"/>
      <c r="F616" s="2"/>
      <c r="G616" s="71"/>
    </row>
    <row r="617" spans="1:7" s="10" customFormat="1" ht="15.75" customHeight="1" x14ac:dyDescent="0.25">
      <c r="A617" s="1"/>
      <c r="B617" s="3"/>
      <c r="C617" s="40" t="s">
        <v>13</v>
      </c>
      <c r="D617" s="45">
        <v>2689</v>
      </c>
      <c r="E617" s="51"/>
      <c r="F617" s="2"/>
      <c r="G617" s="71"/>
    </row>
    <row r="618" spans="1:7" s="10" customFormat="1" ht="15.75" customHeight="1" x14ac:dyDescent="0.25">
      <c r="A618" s="1"/>
      <c r="B618" s="3"/>
      <c r="C618" s="40" t="s">
        <v>1425</v>
      </c>
      <c r="D618" s="45">
        <v>1562</v>
      </c>
      <c r="E618" s="51"/>
      <c r="F618" s="2"/>
      <c r="G618" s="71"/>
    </row>
    <row r="619" spans="1:7" s="10" customFormat="1" ht="15.75" customHeight="1" x14ac:dyDescent="0.25">
      <c r="A619" s="1"/>
      <c r="B619" s="3"/>
      <c r="C619" s="40" t="s">
        <v>1311</v>
      </c>
      <c r="D619" s="45">
        <v>21978</v>
      </c>
      <c r="E619" s="51"/>
      <c r="F619" s="2"/>
      <c r="G619" s="71"/>
    </row>
    <row r="620" spans="1:7" s="10" customFormat="1" ht="15.75" customHeight="1" x14ac:dyDescent="0.25">
      <c r="A620" s="1"/>
      <c r="B620" s="3"/>
      <c r="C620" s="40" t="s">
        <v>1426</v>
      </c>
      <c r="D620" s="45">
        <v>37046</v>
      </c>
      <c r="E620" s="51"/>
      <c r="F620" s="2"/>
      <c r="G620" s="71"/>
    </row>
    <row r="621" spans="1:7" s="10" customFormat="1" ht="15.75" customHeight="1" x14ac:dyDescent="0.25">
      <c r="A621" s="1"/>
      <c r="B621" s="3"/>
      <c r="C621" s="40"/>
      <c r="D621" s="46"/>
      <c r="E621" s="51"/>
      <c r="F621" s="2"/>
      <c r="G621" s="71"/>
    </row>
    <row r="622" spans="1:7" s="10" customFormat="1" ht="15.75" customHeight="1" x14ac:dyDescent="0.25">
      <c r="A622" s="1"/>
      <c r="B622" s="3"/>
      <c r="C622" s="39" t="s">
        <v>1427</v>
      </c>
      <c r="D622" s="57">
        <f>SUM(D623:D636)</f>
        <v>42039</v>
      </c>
      <c r="E622" s="51"/>
      <c r="F622" s="2"/>
      <c r="G622" s="71"/>
    </row>
    <row r="623" spans="1:7" s="10" customFormat="1" ht="15.75" customHeight="1" x14ac:dyDescent="0.25">
      <c r="A623" s="1"/>
      <c r="B623" s="3"/>
      <c r="C623" s="40" t="s">
        <v>1428</v>
      </c>
      <c r="D623" s="45">
        <v>2139</v>
      </c>
      <c r="E623" s="51"/>
      <c r="F623" s="2"/>
      <c r="G623" s="71"/>
    </row>
    <row r="624" spans="1:7" s="10" customFormat="1" ht="15.75" customHeight="1" x14ac:dyDescent="0.25">
      <c r="A624" s="1"/>
      <c r="B624" s="3"/>
      <c r="C624" s="40" t="s">
        <v>1429</v>
      </c>
      <c r="D624" s="45">
        <v>1365</v>
      </c>
      <c r="E624" s="51"/>
      <c r="F624" s="2"/>
      <c r="G624" s="71"/>
    </row>
    <row r="625" spans="1:7" s="10" customFormat="1" ht="15.75" customHeight="1" x14ac:dyDescent="0.25">
      <c r="A625" s="1"/>
      <c r="B625" s="3"/>
      <c r="C625" s="40" t="s">
        <v>1430</v>
      </c>
      <c r="D625" s="45">
        <v>4028</v>
      </c>
      <c r="E625" s="51"/>
      <c r="F625" s="2"/>
      <c r="G625" s="71"/>
    </row>
    <row r="626" spans="1:7" s="10" customFormat="1" ht="15.75" customHeight="1" x14ac:dyDescent="0.25">
      <c r="A626" s="1"/>
      <c r="B626" s="3"/>
      <c r="C626" s="40" t="s">
        <v>1431</v>
      </c>
      <c r="D626" s="45">
        <v>2370</v>
      </c>
      <c r="E626" s="51"/>
      <c r="F626" s="2"/>
      <c r="G626" s="71"/>
    </row>
    <row r="627" spans="1:7" s="10" customFormat="1" ht="15.75" customHeight="1" x14ac:dyDescent="0.25">
      <c r="A627" s="1"/>
      <c r="B627" s="3"/>
      <c r="C627" s="40" t="s">
        <v>1432</v>
      </c>
      <c r="D627" s="45">
        <v>2864</v>
      </c>
      <c r="E627" s="51"/>
      <c r="F627" s="2"/>
      <c r="G627" s="71"/>
    </row>
    <row r="628" spans="1:7" s="10" customFormat="1" ht="15.75" customHeight="1" x14ac:dyDescent="0.25">
      <c r="A628" s="1"/>
      <c r="B628" s="3"/>
      <c r="C628" s="40" t="s">
        <v>1330</v>
      </c>
      <c r="D628" s="45">
        <v>3166</v>
      </c>
      <c r="E628" s="51"/>
      <c r="F628" s="2"/>
      <c r="G628" s="71"/>
    </row>
    <row r="629" spans="1:7" s="10" customFormat="1" ht="15.75" customHeight="1" x14ac:dyDescent="0.25">
      <c r="A629" s="1"/>
      <c r="B629" s="3"/>
      <c r="C629" s="40" t="s">
        <v>1433</v>
      </c>
      <c r="D629" s="45">
        <v>5299</v>
      </c>
      <c r="E629" s="51"/>
      <c r="F629" s="2"/>
      <c r="G629" s="71"/>
    </row>
    <row r="630" spans="1:7" s="10" customFormat="1" ht="15.75" customHeight="1" x14ac:dyDescent="0.25">
      <c r="A630" s="1"/>
      <c r="B630" s="3"/>
      <c r="C630" s="40" t="s">
        <v>44</v>
      </c>
      <c r="D630" s="45">
        <v>2885</v>
      </c>
      <c r="E630" s="51"/>
      <c r="F630" s="2"/>
      <c r="G630" s="71"/>
    </row>
    <row r="631" spans="1:7" s="10" customFormat="1" ht="15.75" customHeight="1" x14ac:dyDescent="0.25">
      <c r="A631" s="1"/>
      <c r="B631" s="3"/>
      <c r="C631" s="40" t="s">
        <v>2</v>
      </c>
      <c r="D631" s="45">
        <v>3597</v>
      </c>
      <c r="E631" s="51"/>
      <c r="F631" s="2"/>
      <c r="G631" s="71"/>
    </row>
    <row r="632" spans="1:7" s="10" customFormat="1" ht="15.75" customHeight="1" x14ac:dyDescent="0.25">
      <c r="A632" s="1"/>
      <c r="B632" s="3"/>
      <c r="C632" s="40" t="s">
        <v>16</v>
      </c>
      <c r="D632" s="45">
        <v>3027</v>
      </c>
      <c r="E632" s="51"/>
      <c r="F632" s="2"/>
      <c r="G632" s="71"/>
    </row>
    <row r="633" spans="1:7" s="10" customFormat="1" ht="15.75" customHeight="1" x14ac:dyDescent="0.25">
      <c r="A633" s="1"/>
      <c r="B633" s="3"/>
      <c r="C633" s="40" t="s">
        <v>1434</v>
      </c>
      <c r="D633" s="45">
        <v>2196</v>
      </c>
      <c r="E633" s="51"/>
      <c r="F633" s="2"/>
      <c r="G633" s="71"/>
    </row>
    <row r="634" spans="1:7" s="10" customFormat="1" ht="15.75" customHeight="1" x14ac:dyDescent="0.25">
      <c r="A634" s="1"/>
      <c r="B634" s="3"/>
      <c r="C634" s="40" t="s">
        <v>1435</v>
      </c>
      <c r="D634" s="45">
        <v>3666</v>
      </c>
      <c r="E634" s="51"/>
      <c r="F634" s="2"/>
      <c r="G634" s="71"/>
    </row>
    <row r="635" spans="1:7" s="10" customFormat="1" ht="15.75" customHeight="1" x14ac:dyDescent="0.25">
      <c r="A635" s="1"/>
      <c r="B635" s="3"/>
      <c r="C635" s="40" t="s">
        <v>192</v>
      </c>
      <c r="D635" s="45">
        <v>3100</v>
      </c>
      <c r="E635" s="51"/>
      <c r="F635" s="2"/>
      <c r="G635" s="71"/>
    </row>
    <row r="636" spans="1:7" s="10" customFormat="1" ht="15.75" customHeight="1" x14ac:dyDescent="0.25">
      <c r="A636" s="1"/>
      <c r="B636" s="3"/>
      <c r="C636" s="40" t="s">
        <v>113</v>
      </c>
      <c r="D636" s="45">
        <v>2337</v>
      </c>
      <c r="E636" s="51"/>
      <c r="F636" s="2"/>
      <c r="G636" s="71"/>
    </row>
    <row r="637" spans="1:7" s="10" customFormat="1" ht="15.75" customHeight="1" x14ac:dyDescent="0.25">
      <c r="A637" s="1"/>
      <c r="B637" s="3"/>
      <c r="C637" s="40"/>
      <c r="D637" s="46"/>
      <c r="E637" s="51"/>
      <c r="F637" s="2"/>
      <c r="G637" s="71"/>
    </row>
    <row r="638" spans="1:7" s="10" customFormat="1" ht="15.75" customHeight="1" x14ac:dyDescent="0.25">
      <c r="A638" s="1"/>
      <c r="B638" s="3"/>
      <c r="C638" s="39" t="s">
        <v>1436</v>
      </c>
      <c r="D638" s="57">
        <f>SUM(D639:D652)</f>
        <v>19770</v>
      </c>
      <c r="E638" s="51"/>
      <c r="F638" s="2"/>
      <c r="G638" s="71"/>
    </row>
    <row r="639" spans="1:7" s="10" customFormat="1" ht="15.75" customHeight="1" x14ac:dyDescent="0.25">
      <c r="A639" s="1"/>
      <c r="B639" s="3"/>
      <c r="C639" s="40" t="s">
        <v>1437</v>
      </c>
      <c r="D639" s="45">
        <v>950</v>
      </c>
      <c r="E639" s="51"/>
      <c r="F639" s="2"/>
      <c r="G639" s="71"/>
    </row>
    <row r="640" spans="1:7" s="10" customFormat="1" ht="15.75" customHeight="1" x14ac:dyDescent="0.25">
      <c r="A640" s="1"/>
      <c r="B640" s="3"/>
      <c r="C640" s="40" t="s">
        <v>1438</v>
      </c>
      <c r="D640" s="45">
        <v>1615</v>
      </c>
      <c r="E640" s="51"/>
      <c r="F640" s="2"/>
      <c r="G640" s="71"/>
    </row>
    <row r="641" spans="1:7" s="10" customFormat="1" ht="15.75" customHeight="1" x14ac:dyDescent="0.25">
      <c r="A641" s="1"/>
      <c r="B641" s="3"/>
      <c r="C641" s="40" t="s">
        <v>1439</v>
      </c>
      <c r="D641" s="45">
        <v>2011</v>
      </c>
      <c r="E641" s="51"/>
      <c r="F641" s="2"/>
      <c r="G641" s="71"/>
    </row>
    <row r="642" spans="1:7" s="10" customFormat="1" ht="15.75" customHeight="1" x14ac:dyDescent="0.25">
      <c r="A642" s="1"/>
      <c r="B642" s="3"/>
      <c r="C642" s="40" t="s">
        <v>1440</v>
      </c>
      <c r="D642" s="45">
        <v>744</v>
      </c>
      <c r="E642" s="51"/>
      <c r="F642" s="2"/>
      <c r="G642" s="71"/>
    </row>
    <row r="643" spans="1:7" s="10" customFormat="1" ht="15.75" customHeight="1" x14ac:dyDescent="0.25">
      <c r="A643" s="1"/>
      <c r="B643" s="3"/>
      <c r="C643" s="40" t="s">
        <v>663</v>
      </c>
      <c r="D643" s="45">
        <v>1173</v>
      </c>
      <c r="E643" s="51"/>
      <c r="F643" s="2"/>
      <c r="G643" s="71"/>
    </row>
    <row r="644" spans="1:7" s="10" customFormat="1" ht="15.75" customHeight="1" x14ac:dyDescent="0.25">
      <c r="A644" s="1"/>
      <c r="B644" s="3"/>
      <c r="C644" s="40" t="s">
        <v>1441</v>
      </c>
      <c r="D644" s="45">
        <v>1327</v>
      </c>
      <c r="E644" s="51"/>
      <c r="F644" s="2"/>
      <c r="G644" s="71"/>
    </row>
    <row r="645" spans="1:7" s="10" customFormat="1" ht="15.75" customHeight="1" x14ac:dyDescent="0.25">
      <c r="A645" s="1"/>
      <c r="B645" s="3"/>
      <c r="C645" s="40" t="s">
        <v>1442</v>
      </c>
      <c r="D645" s="45">
        <v>605</v>
      </c>
      <c r="E645" s="51"/>
      <c r="F645" s="2"/>
      <c r="G645" s="71"/>
    </row>
    <row r="646" spans="1:7" s="10" customFormat="1" ht="15.75" customHeight="1" x14ac:dyDescent="0.25">
      <c r="A646" s="1"/>
      <c r="B646" s="3"/>
      <c r="C646" s="40" t="s">
        <v>1443</v>
      </c>
      <c r="D646" s="45">
        <v>533</v>
      </c>
      <c r="E646" s="51"/>
      <c r="F646" s="2"/>
      <c r="G646" s="71"/>
    </row>
    <row r="647" spans="1:7" s="10" customFormat="1" ht="15.75" customHeight="1" x14ac:dyDescent="0.25">
      <c r="A647" s="1"/>
      <c r="B647" s="3"/>
      <c r="C647" s="40" t="s">
        <v>1444</v>
      </c>
      <c r="D647" s="45">
        <v>3212</v>
      </c>
      <c r="E647" s="51"/>
      <c r="F647" s="2"/>
      <c r="G647" s="71"/>
    </row>
    <row r="648" spans="1:7" s="10" customFormat="1" ht="15.75" customHeight="1" x14ac:dyDescent="0.25">
      <c r="A648" s="1"/>
      <c r="B648" s="3"/>
      <c r="C648" s="40" t="s">
        <v>1445</v>
      </c>
      <c r="D648" s="45">
        <v>774</v>
      </c>
      <c r="E648" s="51"/>
      <c r="F648" s="2"/>
      <c r="G648" s="71"/>
    </row>
    <row r="649" spans="1:7" s="10" customFormat="1" ht="15.75" customHeight="1" x14ac:dyDescent="0.25">
      <c r="A649" s="1"/>
      <c r="B649" s="3"/>
      <c r="C649" s="40" t="s">
        <v>15</v>
      </c>
      <c r="D649" s="45">
        <v>2721</v>
      </c>
      <c r="E649" s="51"/>
      <c r="F649" s="2"/>
      <c r="G649" s="71"/>
    </row>
    <row r="650" spans="1:7" s="10" customFormat="1" ht="15.75" customHeight="1" x14ac:dyDescent="0.25">
      <c r="A650" s="1"/>
      <c r="B650" s="3"/>
      <c r="C650" s="40" t="s">
        <v>1446</v>
      </c>
      <c r="D650" s="45">
        <v>1159</v>
      </c>
      <c r="E650" s="51"/>
      <c r="F650" s="2"/>
      <c r="G650" s="71"/>
    </row>
    <row r="651" spans="1:7" s="10" customFormat="1" ht="15.75" customHeight="1" x14ac:dyDescent="0.25">
      <c r="A651" s="1"/>
      <c r="B651" s="3"/>
      <c r="C651" s="40" t="s">
        <v>21</v>
      </c>
      <c r="D651" s="45">
        <v>1773</v>
      </c>
      <c r="E651" s="51"/>
      <c r="F651" s="2"/>
      <c r="G651" s="71"/>
    </row>
    <row r="652" spans="1:7" s="10" customFormat="1" ht="15.75" customHeight="1" x14ac:dyDescent="0.25">
      <c r="A652" s="1"/>
      <c r="B652" s="3"/>
      <c r="C652" s="40" t="s">
        <v>22</v>
      </c>
      <c r="D652" s="45">
        <v>1173</v>
      </c>
      <c r="E652" s="51"/>
      <c r="F652" s="2"/>
      <c r="G652" s="71"/>
    </row>
    <row r="653" spans="1:7" s="10" customFormat="1" ht="15.75" customHeight="1" x14ac:dyDescent="0.25">
      <c r="A653" s="1"/>
      <c r="B653" s="3"/>
      <c r="C653" s="40"/>
      <c r="D653" s="46"/>
      <c r="E653" s="51"/>
      <c r="F653" s="2"/>
      <c r="G653" s="71"/>
    </row>
    <row r="654" spans="1:7" s="10" customFormat="1" ht="15.75" customHeight="1" x14ac:dyDescent="0.25">
      <c r="A654" s="1"/>
      <c r="B654" s="3"/>
      <c r="C654" s="40"/>
      <c r="D654" s="46"/>
      <c r="E654" s="51"/>
      <c r="F654" s="2"/>
      <c r="G654" s="71"/>
    </row>
    <row r="655" spans="1:7" s="10" customFormat="1" ht="15.75" customHeight="1" x14ac:dyDescent="0.25">
      <c r="A655" s="1"/>
      <c r="B655" s="3"/>
      <c r="C655" s="39" t="s">
        <v>1447</v>
      </c>
      <c r="D655" s="57">
        <f>SUM(D656:D674)</f>
        <v>59605</v>
      </c>
      <c r="E655" s="51"/>
      <c r="F655" s="2"/>
      <c r="G655" s="71"/>
    </row>
    <row r="656" spans="1:7" s="10" customFormat="1" ht="15.75" customHeight="1" x14ac:dyDescent="0.25">
      <c r="A656" s="1"/>
      <c r="B656" s="3"/>
      <c r="C656" s="40" t="s">
        <v>35</v>
      </c>
      <c r="D656" s="45">
        <v>6532</v>
      </c>
      <c r="E656" s="51"/>
      <c r="F656" s="2"/>
      <c r="G656" s="71"/>
    </row>
    <row r="657" spans="1:7" s="10" customFormat="1" ht="15.75" customHeight="1" x14ac:dyDescent="0.25">
      <c r="A657" s="1"/>
      <c r="B657" s="3"/>
      <c r="C657" s="40" t="s">
        <v>1448</v>
      </c>
      <c r="D657" s="45">
        <v>2468</v>
      </c>
      <c r="E657" s="51"/>
      <c r="F657" s="2"/>
      <c r="G657" s="71"/>
    </row>
    <row r="658" spans="1:7" s="10" customFormat="1" ht="15.75" customHeight="1" x14ac:dyDescent="0.25">
      <c r="A658" s="1"/>
      <c r="B658" s="3"/>
      <c r="C658" s="40" t="s">
        <v>1449</v>
      </c>
      <c r="D658" s="45">
        <v>2947</v>
      </c>
      <c r="E658" s="51"/>
      <c r="F658" s="2"/>
      <c r="G658" s="71"/>
    </row>
    <row r="659" spans="1:7" s="10" customFormat="1" ht="15.75" customHeight="1" x14ac:dyDescent="0.25">
      <c r="A659" s="1"/>
      <c r="B659" s="3"/>
      <c r="C659" s="40" t="s">
        <v>1450</v>
      </c>
      <c r="D659" s="45">
        <v>896</v>
      </c>
      <c r="E659" s="51"/>
      <c r="F659" s="2"/>
      <c r="G659" s="71"/>
    </row>
    <row r="660" spans="1:7" s="10" customFormat="1" ht="15.75" customHeight="1" x14ac:dyDescent="0.25">
      <c r="A660" s="1"/>
      <c r="B660" s="3"/>
      <c r="C660" s="40" t="s">
        <v>168</v>
      </c>
      <c r="D660" s="45">
        <v>2019</v>
      </c>
      <c r="E660" s="51"/>
      <c r="F660" s="2"/>
      <c r="G660" s="71"/>
    </row>
    <row r="661" spans="1:7" s="10" customFormat="1" ht="15.75" customHeight="1" x14ac:dyDescent="0.25">
      <c r="A661" s="1"/>
      <c r="B661" s="3"/>
      <c r="C661" s="40" t="s">
        <v>1451</v>
      </c>
      <c r="D661" s="45">
        <v>2216</v>
      </c>
      <c r="E661" s="51"/>
      <c r="F661" s="2"/>
      <c r="G661" s="71"/>
    </row>
    <row r="662" spans="1:7" s="10" customFormat="1" ht="15.75" customHeight="1" x14ac:dyDescent="0.25">
      <c r="A662" s="1"/>
      <c r="B662" s="3"/>
      <c r="C662" s="40" t="s">
        <v>1452</v>
      </c>
      <c r="D662" s="45">
        <v>2373</v>
      </c>
      <c r="E662" s="51"/>
      <c r="F662" s="2"/>
      <c r="G662" s="71"/>
    </row>
    <row r="663" spans="1:7" s="10" customFormat="1" ht="15.75" customHeight="1" x14ac:dyDescent="0.25">
      <c r="A663" s="1"/>
      <c r="B663" s="3"/>
      <c r="C663" s="40" t="s">
        <v>1453</v>
      </c>
      <c r="D663" s="45">
        <v>2932</v>
      </c>
      <c r="E663" s="51"/>
      <c r="F663" s="2"/>
      <c r="G663" s="71"/>
    </row>
    <row r="664" spans="1:7" s="10" customFormat="1" ht="15.75" customHeight="1" x14ac:dyDescent="0.25">
      <c r="A664" s="1"/>
      <c r="B664" s="3"/>
      <c r="C664" s="40" t="s">
        <v>1454</v>
      </c>
      <c r="D664" s="45">
        <v>2772</v>
      </c>
      <c r="E664" s="51"/>
      <c r="F664" s="2"/>
      <c r="G664" s="71"/>
    </row>
    <row r="665" spans="1:7" s="10" customFormat="1" ht="15.75" customHeight="1" x14ac:dyDescent="0.25">
      <c r="A665" s="1"/>
      <c r="B665" s="3"/>
      <c r="C665" s="40" t="s">
        <v>1455</v>
      </c>
      <c r="D665" s="45">
        <v>7991</v>
      </c>
      <c r="E665" s="51"/>
      <c r="F665" s="2"/>
      <c r="G665" s="71"/>
    </row>
    <row r="666" spans="1:7" s="10" customFormat="1" ht="15.75" customHeight="1" x14ac:dyDescent="0.25">
      <c r="A666" s="1"/>
      <c r="B666" s="3"/>
      <c r="C666" s="40" t="s">
        <v>1456</v>
      </c>
      <c r="D666" s="45">
        <v>2348</v>
      </c>
      <c r="E666" s="51"/>
      <c r="F666" s="2"/>
      <c r="G666" s="71"/>
    </row>
    <row r="667" spans="1:7" s="10" customFormat="1" ht="15.75" customHeight="1" x14ac:dyDescent="0.25">
      <c r="A667" s="1"/>
      <c r="B667" s="3"/>
      <c r="C667" s="40" t="s">
        <v>1457</v>
      </c>
      <c r="D667" s="45">
        <v>1564</v>
      </c>
      <c r="E667" s="51"/>
      <c r="F667" s="2"/>
      <c r="G667" s="71"/>
    </row>
    <row r="668" spans="1:7" s="10" customFormat="1" ht="15.75" customHeight="1" x14ac:dyDescent="0.25">
      <c r="A668" s="1"/>
      <c r="B668" s="3"/>
      <c r="C668" s="40" t="s">
        <v>1458</v>
      </c>
      <c r="D668" s="45">
        <v>2665</v>
      </c>
      <c r="E668" s="51"/>
      <c r="F668" s="2"/>
      <c r="G668" s="71"/>
    </row>
    <row r="669" spans="1:7" s="10" customFormat="1" ht="15.75" customHeight="1" x14ac:dyDescent="0.25">
      <c r="A669" s="1"/>
      <c r="B669" s="3"/>
      <c r="C669" s="40" t="s">
        <v>2</v>
      </c>
      <c r="D669" s="45">
        <v>6825</v>
      </c>
      <c r="E669" s="51"/>
      <c r="F669" s="2"/>
      <c r="G669" s="71"/>
    </row>
    <row r="670" spans="1:7" s="10" customFormat="1" ht="15.75" customHeight="1" x14ac:dyDescent="0.25">
      <c r="A670" s="1"/>
      <c r="B670" s="3"/>
      <c r="C670" s="40" t="s">
        <v>1459</v>
      </c>
      <c r="D670" s="45">
        <v>3981</v>
      </c>
      <c r="E670" s="51"/>
      <c r="F670" s="2"/>
      <c r="G670" s="71"/>
    </row>
    <row r="671" spans="1:7" s="10" customFormat="1" ht="15.75" customHeight="1" x14ac:dyDescent="0.25">
      <c r="A671" s="1"/>
      <c r="B671" s="3"/>
      <c r="C671" s="40" t="s">
        <v>1460</v>
      </c>
      <c r="D671" s="45">
        <v>1547</v>
      </c>
      <c r="E671" s="51"/>
      <c r="F671" s="2"/>
      <c r="G671" s="71"/>
    </row>
    <row r="672" spans="1:7" s="10" customFormat="1" ht="15.75" customHeight="1" x14ac:dyDescent="0.25">
      <c r="A672" s="1"/>
      <c r="B672" s="3"/>
      <c r="C672" s="40" t="s">
        <v>1461</v>
      </c>
      <c r="D672" s="45">
        <v>2904</v>
      </c>
      <c r="E672" s="51"/>
      <c r="F672" s="2"/>
      <c r="G672" s="71"/>
    </row>
    <row r="673" spans="1:7" s="10" customFormat="1" ht="15.75" customHeight="1" x14ac:dyDescent="0.25">
      <c r="A673" s="1"/>
      <c r="B673" s="3"/>
      <c r="C673" s="40" t="s">
        <v>1462</v>
      </c>
      <c r="D673" s="45">
        <v>1679</v>
      </c>
      <c r="E673" s="51"/>
      <c r="F673" s="2"/>
      <c r="G673" s="71"/>
    </row>
    <row r="674" spans="1:7" s="10" customFormat="1" ht="15.75" customHeight="1" x14ac:dyDescent="0.25">
      <c r="A674" s="1"/>
      <c r="B674" s="3"/>
      <c r="C674" s="40" t="s">
        <v>1463</v>
      </c>
      <c r="D674" s="45">
        <v>2946</v>
      </c>
      <c r="E674" s="51"/>
      <c r="F674" s="2"/>
      <c r="G674" s="71"/>
    </row>
    <row r="675" spans="1:7" s="10" customFormat="1" ht="15.75" customHeight="1" x14ac:dyDescent="0.25">
      <c r="A675" s="1"/>
      <c r="B675" s="3"/>
      <c r="C675" s="40"/>
      <c r="D675" s="46"/>
      <c r="E675" s="51"/>
      <c r="F675" s="2"/>
      <c r="G675" s="71"/>
    </row>
    <row r="676" spans="1:7" s="10" customFormat="1" ht="15.75" customHeight="1" x14ac:dyDescent="0.25">
      <c r="A676" s="1"/>
      <c r="B676" s="3"/>
      <c r="C676" s="39" t="s">
        <v>1464</v>
      </c>
      <c r="D676" s="57">
        <f>SUM(D677:D695)</f>
        <v>151002</v>
      </c>
      <c r="E676" s="51"/>
      <c r="F676" s="2"/>
      <c r="G676" s="71"/>
    </row>
    <row r="677" spans="1:7" s="10" customFormat="1" ht="15.75" customHeight="1" x14ac:dyDescent="0.25">
      <c r="A677" s="1"/>
      <c r="B677" s="3"/>
      <c r="C677" s="40" t="s">
        <v>1465</v>
      </c>
      <c r="D677" s="45">
        <v>6272</v>
      </c>
      <c r="E677" s="51"/>
      <c r="F677" s="2"/>
      <c r="G677" s="71"/>
    </row>
    <row r="678" spans="1:7" s="10" customFormat="1" ht="15.75" customHeight="1" x14ac:dyDescent="0.25">
      <c r="A678" s="1"/>
      <c r="B678" s="3"/>
      <c r="C678" s="40" t="s">
        <v>1466</v>
      </c>
      <c r="D678" s="45">
        <v>12958</v>
      </c>
      <c r="E678" s="51"/>
      <c r="F678" s="2"/>
      <c r="G678" s="71"/>
    </row>
    <row r="679" spans="1:7" s="10" customFormat="1" ht="15.75" customHeight="1" x14ac:dyDescent="0.25">
      <c r="A679" s="1"/>
      <c r="B679" s="3"/>
      <c r="C679" s="40" t="s">
        <v>1467</v>
      </c>
      <c r="D679" s="45">
        <v>3258</v>
      </c>
      <c r="E679" s="51"/>
      <c r="F679" s="2"/>
      <c r="G679" s="71"/>
    </row>
    <row r="680" spans="1:7" s="10" customFormat="1" ht="15.75" customHeight="1" x14ac:dyDescent="0.25">
      <c r="A680" s="1"/>
      <c r="B680" s="3"/>
      <c r="C680" s="40" t="s">
        <v>1468</v>
      </c>
      <c r="D680" s="45">
        <v>2294</v>
      </c>
      <c r="E680" s="51"/>
      <c r="F680" s="2"/>
      <c r="G680" s="71"/>
    </row>
    <row r="681" spans="1:7" s="10" customFormat="1" ht="15.75" customHeight="1" x14ac:dyDescent="0.25">
      <c r="A681" s="1"/>
      <c r="B681" s="3"/>
      <c r="C681" s="40" t="s">
        <v>1469</v>
      </c>
      <c r="D681" s="45">
        <v>3758</v>
      </c>
      <c r="E681" s="51"/>
      <c r="F681" s="2"/>
      <c r="G681" s="71"/>
    </row>
    <row r="682" spans="1:7" s="10" customFormat="1" ht="15.75" customHeight="1" x14ac:dyDescent="0.25">
      <c r="A682" s="1"/>
      <c r="B682" s="3"/>
      <c r="C682" s="40" t="s">
        <v>1470</v>
      </c>
      <c r="D682" s="45">
        <v>3881</v>
      </c>
      <c r="E682" s="51"/>
      <c r="F682" s="2"/>
      <c r="G682" s="71"/>
    </row>
    <row r="683" spans="1:7" s="10" customFormat="1" ht="15.75" customHeight="1" x14ac:dyDescent="0.25">
      <c r="A683" s="1"/>
      <c r="B683" s="3"/>
      <c r="C683" s="40" t="s">
        <v>55</v>
      </c>
      <c r="D683" s="45">
        <v>16141</v>
      </c>
      <c r="E683" s="51"/>
      <c r="F683" s="2"/>
      <c r="G683" s="71"/>
    </row>
    <row r="684" spans="1:7" s="10" customFormat="1" ht="15.75" customHeight="1" x14ac:dyDescent="0.25">
      <c r="A684" s="1"/>
      <c r="B684" s="3"/>
      <c r="C684" s="40" t="s">
        <v>1471</v>
      </c>
      <c r="D684" s="45">
        <v>2737</v>
      </c>
      <c r="E684" s="51"/>
      <c r="F684" s="2"/>
      <c r="G684" s="71"/>
    </row>
    <row r="685" spans="1:7" s="10" customFormat="1" ht="15.75" customHeight="1" x14ac:dyDescent="0.25">
      <c r="A685" s="1"/>
      <c r="B685" s="3"/>
      <c r="C685" s="40" t="s">
        <v>1472</v>
      </c>
      <c r="D685" s="45">
        <v>14351</v>
      </c>
      <c r="E685" s="51"/>
      <c r="F685" s="2"/>
      <c r="G685" s="71"/>
    </row>
    <row r="686" spans="1:7" s="10" customFormat="1" ht="15.75" customHeight="1" x14ac:dyDescent="0.25">
      <c r="A686" s="1"/>
      <c r="B686" s="3"/>
      <c r="C686" s="40" t="s">
        <v>1473</v>
      </c>
      <c r="D686" s="45">
        <v>2306</v>
      </c>
      <c r="E686" s="51"/>
      <c r="F686" s="2"/>
      <c r="G686" s="71"/>
    </row>
    <row r="687" spans="1:7" s="10" customFormat="1" ht="15.75" customHeight="1" x14ac:dyDescent="0.25">
      <c r="A687" s="1"/>
      <c r="B687" s="3"/>
      <c r="C687" s="40" t="s">
        <v>1474</v>
      </c>
      <c r="D687" s="45">
        <v>3559</v>
      </c>
      <c r="E687" s="51"/>
      <c r="F687" s="2"/>
      <c r="G687" s="71"/>
    </row>
    <row r="688" spans="1:7" s="10" customFormat="1" ht="15.75" customHeight="1" x14ac:dyDescent="0.25">
      <c r="A688" s="1"/>
      <c r="B688" s="3"/>
      <c r="C688" s="40" t="s">
        <v>1475</v>
      </c>
      <c r="D688" s="45">
        <v>2681</v>
      </c>
      <c r="E688" s="51"/>
      <c r="F688" s="2"/>
      <c r="G688" s="71"/>
    </row>
    <row r="689" spans="1:7" s="10" customFormat="1" ht="15.75" customHeight="1" x14ac:dyDescent="0.25">
      <c r="A689" s="1"/>
      <c r="B689" s="3"/>
      <c r="C689" s="40" t="s">
        <v>1476</v>
      </c>
      <c r="D689" s="45">
        <v>4316</v>
      </c>
      <c r="E689" s="51"/>
      <c r="F689" s="2"/>
      <c r="G689" s="71"/>
    </row>
    <row r="690" spans="1:7" s="10" customFormat="1" ht="15.75" customHeight="1" x14ac:dyDescent="0.25">
      <c r="A690" s="1"/>
      <c r="B690" s="3"/>
      <c r="C690" s="40" t="s">
        <v>104</v>
      </c>
      <c r="D690" s="45">
        <v>5136</v>
      </c>
      <c r="E690" s="51"/>
      <c r="F690" s="2"/>
      <c r="G690" s="71"/>
    </row>
    <row r="691" spans="1:7" s="10" customFormat="1" ht="15.75" customHeight="1" x14ac:dyDescent="0.25">
      <c r="A691" s="1"/>
      <c r="B691" s="3"/>
      <c r="C691" s="40" t="s">
        <v>1477</v>
      </c>
      <c r="D691" s="45">
        <v>11834</v>
      </c>
      <c r="E691" s="51"/>
      <c r="F691" s="2"/>
      <c r="G691" s="71"/>
    </row>
    <row r="692" spans="1:7" s="10" customFormat="1" ht="15.75" customHeight="1" x14ac:dyDescent="0.25">
      <c r="A692" s="1"/>
      <c r="B692" s="3"/>
      <c r="C692" s="40" t="s">
        <v>1478</v>
      </c>
      <c r="D692" s="45">
        <v>16538</v>
      </c>
      <c r="E692" s="51"/>
      <c r="F692" s="2"/>
      <c r="G692" s="71"/>
    </row>
    <row r="693" spans="1:7" s="10" customFormat="1" ht="15.75" customHeight="1" x14ac:dyDescent="0.25">
      <c r="A693" s="1"/>
      <c r="B693" s="3"/>
      <c r="C693" s="40" t="s">
        <v>1479</v>
      </c>
      <c r="D693" s="45">
        <v>14252</v>
      </c>
      <c r="E693" s="51"/>
      <c r="F693" s="2"/>
      <c r="G693" s="71"/>
    </row>
    <row r="694" spans="1:7" s="10" customFormat="1" ht="15.75" customHeight="1" x14ac:dyDescent="0.25">
      <c r="A694" s="1"/>
      <c r="B694" s="3"/>
      <c r="C694" s="40" t="s">
        <v>84</v>
      </c>
      <c r="D694" s="45">
        <v>11133</v>
      </c>
      <c r="E694" s="51"/>
      <c r="F694" s="2"/>
      <c r="G694" s="71"/>
    </row>
    <row r="695" spans="1:7" s="10" customFormat="1" ht="15.75" customHeight="1" x14ac:dyDescent="0.25">
      <c r="A695" s="1"/>
      <c r="B695" s="3"/>
      <c r="C695" s="40" t="s">
        <v>1480</v>
      </c>
      <c r="D695" s="45">
        <v>13597</v>
      </c>
      <c r="E695" s="51"/>
      <c r="F695" s="2"/>
      <c r="G695" s="71"/>
    </row>
    <row r="696" spans="1:7" s="10" customFormat="1" ht="15.75" customHeight="1" x14ac:dyDescent="0.25">
      <c r="A696" s="1"/>
      <c r="B696" s="3"/>
      <c r="C696" s="40"/>
      <c r="D696" s="46"/>
      <c r="E696" s="51"/>
      <c r="F696" s="2"/>
      <c r="G696" s="71"/>
    </row>
    <row r="697" spans="1:7" s="10" customFormat="1" ht="15.75" customHeight="1" x14ac:dyDescent="0.25">
      <c r="A697" s="1"/>
      <c r="B697" s="3"/>
      <c r="C697" s="39" t="s">
        <v>1481</v>
      </c>
      <c r="D697" s="57">
        <f>SUM(D698:D712)</f>
        <v>36930</v>
      </c>
      <c r="E697" s="51"/>
      <c r="F697" s="2"/>
      <c r="G697" s="71"/>
    </row>
    <row r="698" spans="1:7" s="10" customFormat="1" ht="15.75" customHeight="1" x14ac:dyDescent="0.25">
      <c r="A698" s="1"/>
      <c r="B698" s="3"/>
      <c r="C698" s="40" t="s">
        <v>1482</v>
      </c>
      <c r="D698" s="45">
        <v>1065</v>
      </c>
      <c r="E698" s="51"/>
      <c r="F698" s="2"/>
      <c r="G698" s="71"/>
    </row>
    <row r="699" spans="1:7" s="10" customFormat="1" ht="15.75" customHeight="1" x14ac:dyDescent="0.25">
      <c r="A699" s="1"/>
      <c r="B699" s="3"/>
      <c r="C699" s="40" t="s">
        <v>1483</v>
      </c>
      <c r="D699" s="45">
        <v>767</v>
      </c>
      <c r="E699" s="51"/>
      <c r="F699" s="2"/>
      <c r="G699" s="71"/>
    </row>
    <row r="700" spans="1:7" s="10" customFormat="1" ht="15.75" customHeight="1" x14ac:dyDescent="0.25">
      <c r="A700" s="1"/>
      <c r="B700" s="3"/>
      <c r="C700" s="40" t="s">
        <v>1484</v>
      </c>
      <c r="D700" s="45">
        <v>2395</v>
      </c>
      <c r="E700" s="51"/>
      <c r="F700" s="2"/>
      <c r="G700" s="71"/>
    </row>
    <row r="701" spans="1:7" s="10" customFormat="1" ht="15.75" customHeight="1" x14ac:dyDescent="0.25">
      <c r="A701" s="1"/>
      <c r="B701" s="3"/>
      <c r="C701" s="40" t="s">
        <v>1485</v>
      </c>
      <c r="D701" s="45">
        <v>6867</v>
      </c>
      <c r="E701" s="51"/>
      <c r="F701" s="2"/>
      <c r="G701" s="71"/>
    </row>
    <row r="702" spans="1:7" s="10" customFormat="1" ht="15.75" customHeight="1" x14ac:dyDescent="0.25">
      <c r="A702" s="1"/>
      <c r="B702" s="3"/>
      <c r="C702" s="40" t="s">
        <v>1486</v>
      </c>
      <c r="D702" s="45">
        <v>1619</v>
      </c>
      <c r="E702" s="51"/>
      <c r="F702" s="2"/>
      <c r="G702" s="71"/>
    </row>
    <row r="703" spans="1:7" s="10" customFormat="1" ht="15.75" customHeight="1" x14ac:dyDescent="0.25">
      <c r="A703" s="1"/>
      <c r="B703" s="3"/>
      <c r="C703" s="40" t="s">
        <v>728</v>
      </c>
      <c r="D703" s="45">
        <v>2088</v>
      </c>
      <c r="E703" s="51"/>
      <c r="F703" s="2"/>
      <c r="G703" s="71"/>
    </row>
    <row r="704" spans="1:7" s="10" customFormat="1" ht="15.75" customHeight="1" x14ac:dyDescent="0.25">
      <c r="A704" s="1"/>
      <c r="B704" s="3"/>
      <c r="C704" s="40" t="s">
        <v>1487</v>
      </c>
      <c r="D704" s="45">
        <v>832</v>
      </c>
      <c r="E704" s="51"/>
      <c r="F704" s="2"/>
      <c r="G704" s="71"/>
    </row>
    <row r="705" spans="1:7" s="10" customFormat="1" ht="15.75" customHeight="1" x14ac:dyDescent="0.25">
      <c r="A705" s="1"/>
      <c r="B705" s="3"/>
      <c r="C705" s="40" t="s">
        <v>57</v>
      </c>
      <c r="D705" s="45">
        <v>1613</v>
      </c>
      <c r="E705" s="51"/>
      <c r="F705" s="2"/>
      <c r="G705" s="71"/>
    </row>
    <row r="706" spans="1:7" s="10" customFormat="1" ht="15.75" customHeight="1" x14ac:dyDescent="0.25">
      <c r="A706" s="1"/>
      <c r="B706" s="3"/>
      <c r="C706" s="40" t="s">
        <v>1104</v>
      </c>
      <c r="D706" s="45">
        <v>1914</v>
      </c>
      <c r="E706" s="51"/>
      <c r="F706" s="2"/>
      <c r="G706" s="71"/>
    </row>
    <row r="707" spans="1:7" s="10" customFormat="1" ht="15.75" customHeight="1" x14ac:dyDescent="0.25">
      <c r="A707" s="1"/>
      <c r="B707" s="3"/>
      <c r="C707" s="40" t="s">
        <v>81</v>
      </c>
      <c r="D707" s="45">
        <v>2911</v>
      </c>
      <c r="E707" s="51"/>
      <c r="F707" s="2"/>
      <c r="G707" s="71"/>
    </row>
    <row r="708" spans="1:7" s="10" customFormat="1" ht="15.75" customHeight="1" x14ac:dyDescent="0.25">
      <c r="A708" s="1"/>
      <c r="B708" s="3"/>
      <c r="C708" s="40" t="s">
        <v>82</v>
      </c>
      <c r="D708" s="45">
        <v>3567</v>
      </c>
      <c r="E708" s="51"/>
      <c r="F708" s="2"/>
      <c r="G708" s="71"/>
    </row>
    <row r="709" spans="1:7" s="10" customFormat="1" ht="15.75" customHeight="1" x14ac:dyDescent="0.25">
      <c r="A709" s="1"/>
      <c r="B709" s="3"/>
      <c r="C709" s="40" t="s">
        <v>1488</v>
      </c>
      <c r="D709" s="45">
        <v>3381</v>
      </c>
      <c r="E709" s="51"/>
      <c r="F709" s="2"/>
      <c r="G709" s="71"/>
    </row>
    <row r="710" spans="1:7" s="10" customFormat="1" ht="15.75" customHeight="1" x14ac:dyDescent="0.25">
      <c r="A710" s="1"/>
      <c r="B710" s="3"/>
      <c r="C710" s="40" t="s">
        <v>1489</v>
      </c>
      <c r="D710" s="45">
        <v>2634</v>
      </c>
      <c r="E710" s="51"/>
      <c r="F710" s="2"/>
      <c r="G710" s="71"/>
    </row>
    <row r="711" spans="1:7" s="10" customFormat="1" ht="15.75" customHeight="1" x14ac:dyDescent="0.25">
      <c r="A711" s="1"/>
      <c r="B711" s="3"/>
      <c r="C711" s="40" t="s">
        <v>212</v>
      </c>
      <c r="D711" s="45">
        <v>2415</v>
      </c>
      <c r="E711" s="51"/>
      <c r="F711" s="2"/>
      <c r="G711" s="71"/>
    </row>
    <row r="712" spans="1:7" s="10" customFormat="1" ht="15.75" customHeight="1" x14ac:dyDescent="0.25">
      <c r="A712" s="1"/>
      <c r="B712" s="3"/>
      <c r="C712" s="40" t="s">
        <v>1490</v>
      </c>
      <c r="D712" s="45">
        <v>2862</v>
      </c>
      <c r="E712" s="51"/>
      <c r="F712" s="2"/>
      <c r="G712" s="71"/>
    </row>
    <row r="713" spans="1:7" s="10" customFormat="1" ht="15.75" customHeight="1" x14ac:dyDescent="0.25">
      <c r="A713" s="1"/>
      <c r="B713" s="3"/>
      <c r="C713" s="40"/>
      <c r="D713" s="46"/>
      <c r="E713" s="51"/>
      <c r="F713" s="2"/>
      <c r="G713" s="71"/>
    </row>
    <row r="714" spans="1:7" s="10" customFormat="1" ht="15.75" customHeight="1" x14ac:dyDescent="0.25">
      <c r="A714" s="1"/>
      <c r="B714" s="3"/>
      <c r="C714" s="39" t="s">
        <v>1945</v>
      </c>
      <c r="D714" s="57">
        <f>SUM(D715:D742)</f>
        <v>133184</v>
      </c>
      <c r="E714" s="51"/>
      <c r="F714" s="2"/>
      <c r="G714" s="71"/>
    </row>
    <row r="715" spans="1:7" s="10" customFormat="1" ht="15.75" customHeight="1" x14ac:dyDescent="0.25">
      <c r="A715" s="1"/>
      <c r="B715" s="3"/>
      <c r="C715" s="40" t="s">
        <v>1491</v>
      </c>
      <c r="D715" s="45">
        <v>3986</v>
      </c>
      <c r="E715" s="51"/>
      <c r="F715" s="2"/>
      <c r="G715" s="71"/>
    </row>
    <row r="716" spans="1:7" s="10" customFormat="1" ht="15.75" customHeight="1" x14ac:dyDescent="0.25">
      <c r="A716" s="1"/>
      <c r="B716" s="3"/>
      <c r="C716" s="40" t="s">
        <v>1101</v>
      </c>
      <c r="D716" s="45">
        <v>2379</v>
      </c>
      <c r="E716" s="51"/>
      <c r="F716" s="2"/>
      <c r="G716" s="71"/>
    </row>
    <row r="717" spans="1:7" s="10" customFormat="1" ht="15.75" customHeight="1" x14ac:dyDescent="0.25">
      <c r="A717" s="1"/>
      <c r="B717" s="3"/>
      <c r="C717" s="40" t="s">
        <v>1492</v>
      </c>
      <c r="D717" s="45">
        <v>5152</v>
      </c>
      <c r="E717" s="51"/>
      <c r="F717" s="2"/>
      <c r="G717" s="71"/>
    </row>
    <row r="718" spans="1:7" s="10" customFormat="1" ht="15.75" customHeight="1" x14ac:dyDescent="0.25">
      <c r="A718" s="1"/>
      <c r="B718" s="3"/>
      <c r="C718" s="40" t="s">
        <v>86</v>
      </c>
      <c r="D718" s="45">
        <v>1562</v>
      </c>
      <c r="E718" s="51"/>
      <c r="F718" s="2"/>
      <c r="G718" s="71"/>
    </row>
    <row r="719" spans="1:7" s="10" customFormat="1" ht="15.75" customHeight="1" x14ac:dyDescent="0.25">
      <c r="A719" s="1"/>
      <c r="B719" s="3"/>
      <c r="C719" s="40" t="s">
        <v>1493</v>
      </c>
      <c r="D719" s="45">
        <v>7223</v>
      </c>
      <c r="E719" s="51"/>
      <c r="F719" s="2"/>
      <c r="G719" s="71"/>
    </row>
    <row r="720" spans="1:7" s="10" customFormat="1" ht="15.75" customHeight="1" x14ac:dyDescent="0.25">
      <c r="A720" s="1"/>
      <c r="B720" s="3"/>
      <c r="C720" s="40" t="s">
        <v>1494</v>
      </c>
      <c r="D720" s="45">
        <v>806</v>
      </c>
      <c r="E720" s="51"/>
      <c r="F720" s="2"/>
      <c r="G720" s="71"/>
    </row>
    <row r="721" spans="1:7" s="10" customFormat="1" ht="15.75" customHeight="1" x14ac:dyDescent="0.25">
      <c r="A721" s="1"/>
      <c r="B721" s="3"/>
      <c r="C721" s="40" t="s">
        <v>107</v>
      </c>
      <c r="D721" s="45">
        <v>4654</v>
      </c>
      <c r="E721" s="51"/>
      <c r="F721" s="2"/>
      <c r="G721" s="71"/>
    </row>
    <row r="722" spans="1:7" s="10" customFormat="1" ht="15.75" customHeight="1" x14ac:dyDescent="0.25">
      <c r="A722" s="1"/>
      <c r="B722" s="3"/>
      <c r="C722" s="40" t="s">
        <v>1495</v>
      </c>
      <c r="D722" s="45">
        <v>5245</v>
      </c>
      <c r="E722" s="51"/>
      <c r="F722" s="2"/>
      <c r="G722" s="71"/>
    </row>
    <row r="723" spans="1:7" s="10" customFormat="1" ht="15.75" customHeight="1" x14ac:dyDescent="0.25">
      <c r="A723" s="1"/>
      <c r="B723" s="3"/>
      <c r="C723" s="40" t="s">
        <v>256</v>
      </c>
      <c r="D723" s="45">
        <v>406</v>
      </c>
      <c r="E723" s="51"/>
      <c r="F723" s="2"/>
      <c r="G723" s="71"/>
    </row>
    <row r="724" spans="1:7" s="10" customFormat="1" ht="15.75" customHeight="1" x14ac:dyDescent="0.25">
      <c r="A724" s="1"/>
      <c r="B724" s="3"/>
      <c r="C724" s="40" t="s">
        <v>1496</v>
      </c>
      <c r="D724" s="45">
        <v>7419</v>
      </c>
      <c r="E724" s="51"/>
      <c r="F724" s="2"/>
      <c r="G724" s="71"/>
    </row>
    <row r="725" spans="1:7" s="10" customFormat="1" ht="15.75" customHeight="1" x14ac:dyDescent="0.25">
      <c r="A725" s="1"/>
      <c r="B725" s="3"/>
      <c r="C725" s="40" t="s">
        <v>1497</v>
      </c>
      <c r="D725" s="45">
        <v>10351</v>
      </c>
      <c r="E725" s="51"/>
      <c r="F725" s="2"/>
      <c r="G725" s="71"/>
    </row>
    <row r="726" spans="1:7" s="10" customFormat="1" ht="15.75" customHeight="1" x14ac:dyDescent="0.25">
      <c r="A726" s="1"/>
      <c r="B726" s="3"/>
      <c r="C726" s="40" t="s">
        <v>194</v>
      </c>
      <c r="D726" s="45">
        <v>2367</v>
      </c>
      <c r="E726" s="51"/>
      <c r="F726" s="2"/>
      <c r="G726" s="71"/>
    </row>
    <row r="727" spans="1:7" s="10" customFormat="1" ht="15.75" customHeight="1" x14ac:dyDescent="0.25">
      <c r="A727" s="1"/>
      <c r="B727" s="3"/>
      <c r="C727" s="40" t="s">
        <v>135</v>
      </c>
      <c r="D727" s="45">
        <v>3270</v>
      </c>
      <c r="E727" s="51"/>
      <c r="F727" s="2"/>
      <c r="G727" s="71"/>
    </row>
    <row r="728" spans="1:7" s="10" customFormat="1" ht="15.75" customHeight="1" x14ac:dyDescent="0.25">
      <c r="A728" s="1"/>
      <c r="B728" s="3"/>
      <c r="C728" s="40" t="s">
        <v>865</v>
      </c>
      <c r="D728" s="45">
        <v>7078</v>
      </c>
      <c r="E728" s="51"/>
      <c r="F728" s="2"/>
      <c r="G728" s="71"/>
    </row>
    <row r="729" spans="1:7" s="10" customFormat="1" ht="15.75" customHeight="1" x14ac:dyDescent="0.25">
      <c r="A729" s="1"/>
      <c r="B729" s="3"/>
      <c r="C729" s="40" t="s">
        <v>186</v>
      </c>
      <c r="D729" s="45">
        <v>5498</v>
      </c>
      <c r="E729" s="51"/>
      <c r="F729" s="2"/>
      <c r="G729" s="71"/>
    </row>
    <row r="730" spans="1:7" s="10" customFormat="1" ht="15.75" customHeight="1" x14ac:dyDescent="0.25">
      <c r="A730" s="1"/>
      <c r="B730" s="3"/>
      <c r="C730" s="40" t="s">
        <v>40</v>
      </c>
      <c r="D730" s="45">
        <v>3438</v>
      </c>
      <c r="E730" s="51"/>
      <c r="F730" s="2"/>
      <c r="G730" s="71"/>
    </row>
    <row r="731" spans="1:7" s="10" customFormat="1" ht="15.75" customHeight="1" x14ac:dyDescent="0.25">
      <c r="A731" s="1"/>
      <c r="B731" s="3"/>
      <c r="C731" s="40" t="s">
        <v>664</v>
      </c>
      <c r="D731" s="45">
        <v>1460</v>
      </c>
      <c r="E731" s="51"/>
      <c r="F731" s="2"/>
      <c r="G731" s="71"/>
    </row>
    <row r="732" spans="1:7" s="10" customFormat="1" ht="15.75" customHeight="1" x14ac:dyDescent="0.25">
      <c r="A732" s="1"/>
      <c r="B732" s="3"/>
      <c r="C732" s="40" t="s">
        <v>1498</v>
      </c>
      <c r="D732" s="45">
        <v>3546</v>
      </c>
      <c r="E732" s="51"/>
      <c r="F732" s="2"/>
      <c r="G732" s="71"/>
    </row>
    <row r="733" spans="1:7" s="10" customFormat="1" ht="15.75" customHeight="1" x14ac:dyDescent="0.25">
      <c r="A733" s="1"/>
      <c r="B733" s="3"/>
      <c r="C733" s="40" t="s">
        <v>1499</v>
      </c>
      <c r="D733" s="45">
        <v>3081</v>
      </c>
      <c r="E733" s="51"/>
      <c r="F733" s="2"/>
      <c r="G733" s="71"/>
    </row>
    <row r="734" spans="1:7" s="10" customFormat="1" ht="15.75" customHeight="1" x14ac:dyDescent="0.25">
      <c r="A734" s="1"/>
      <c r="B734" s="3"/>
      <c r="C734" s="40" t="s">
        <v>668</v>
      </c>
      <c r="D734" s="45">
        <v>6214</v>
      </c>
      <c r="E734" s="51"/>
      <c r="F734" s="2"/>
      <c r="G734" s="71"/>
    </row>
    <row r="735" spans="1:7" s="10" customFormat="1" ht="15.75" customHeight="1" x14ac:dyDescent="0.25">
      <c r="A735" s="1"/>
      <c r="B735" s="3"/>
      <c r="C735" s="40" t="s">
        <v>77</v>
      </c>
      <c r="D735" s="45">
        <v>1539</v>
      </c>
      <c r="E735" s="51"/>
      <c r="F735" s="2"/>
      <c r="G735" s="71"/>
    </row>
    <row r="736" spans="1:7" s="10" customFormat="1" ht="15.75" customHeight="1" x14ac:dyDescent="0.25">
      <c r="A736" s="1"/>
      <c r="B736" s="3"/>
      <c r="C736" s="40" t="s">
        <v>1500</v>
      </c>
      <c r="D736" s="45">
        <v>6912</v>
      </c>
      <c r="E736" s="51"/>
      <c r="F736" s="2"/>
      <c r="G736" s="71"/>
    </row>
    <row r="737" spans="1:7" s="10" customFormat="1" ht="15.75" customHeight="1" x14ac:dyDescent="0.25">
      <c r="A737" s="1"/>
      <c r="B737" s="3"/>
      <c r="C737" s="40" t="s">
        <v>1501</v>
      </c>
      <c r="D737" s="45">
        <v>3207</v>
      </c>
      <c r="E737" s="51"/>
      <c r="F737" s="2"/>
      <c r="G737" s="71"/>
    </row>
    <row r="738" spans="1:7" s="10" customFormat="1" ht="15.75" customHeight="1" x14ac:dyDescent="0.25">
      <c r="A738" s="1"/>
      <c r="B738" s="3"/>
      <c r="C738" s="40" t="s">
        <v>1502</v>
      </c>
      <c r="D738" s="45">
        <v>5171</v>
      </c>
      <c r="E738" s="51"/>
      <c r="F738" s="2"/>
      <c r="G738" s="71"/>
    </row>
    <row r="739" spans="1:7" s="10" customFormat="1" ht="15.75" customHeight="1" x14ac:dyDescent="0.25">
      <c r="A739" s="1"/>
      <c r="B739" s="3"/>
      <c r="C739" s="40" t="s">
        <v>1503</v>
      </c>
      <c r="D739" s="45">
        <v>7457</v>
      </c>
      <c r="E739" s="51"/>
      <c r="F739" s="2"/>
      <c r="G739" s="71"/>
    </row>
    <row r="740" spans="1:7" s="10" customFormat="1" ht="15.75" customHeight="1" x14ac:dyDescent="0.25">
      <c r="A740" s="1"/>
      <c r="B740" s="3"/>
      <c r="C740" s="40" t="s">
        <v>1504</v>
      </c>
      <c r="D740" s="45">
        <v>13444</v>
      </c>
      <c r="E740" s="51"/>
      <c r="F740" s="2"/>
      <c r="G740" s="71"/>
    </row>
    <row r="741" spans="1:7" s="10" customFormat="1" ht="15.75" customHeight="1" x14ac:dyDescent="0.25">
      <c r="A741" s="1"/>
      <c r="B741" s="3"/>
      <c r="C741" s="40" t="s">
        <v>1505</v>
      </c>
      <c r="D741" s="45">
        <v>6242</v>
      </c>
      <c r="E741" s="51"/>
      <c r="F741" s="2"/>
      <c r="G741" s="71"/>
    </row>
    <row r="742" spans="1:7" s="10" customFormat="1" ht="15.75" customHeight="1" x14ac:dyDescent="0.25">
      <c r="A742" s="1"/>
      <c r="B742" s="3"/>
      <c r="C742" s="40" t="s">
        <v>260</v>
      </c>
      <c r="D742" s="45">
        <v>4077</v>
      </c>
      <c r="E742" s="51"/>
      <c r="F742" s="2"/>
      <c r="G742" s="71"/>
    </row>
    <row r="743" spans="1:7" s="10" customFormat="1" ht="15.75" customHeight="1" x14ac:dyDescent="0.25">
      <c r="A743" s="1"/>
      <c r="B743" s="3"/>
      <c r="C743" s="40"/>
      <c r="D743" s="46"/>
      <c r="E743" s="51"/>
      <c r="F743" s="2"/>
      <c r="G743" s="71"/>
    </row>
    <row r="744" spans="1:7" s="10" customFormat="1" ht="15.75" customHeight="1" x14ac:dyDescent="0.25">
      <c r="A744" s="1"/>
      <c r="B744" s="3"/>
      <c r="C744" s="39" t="s">
        <v>1506</v>
      </c>
      <c r="D744" s="57">
        <f>SUM(D745:D765)</f>
        <v>29264</v>
      </c>
      <c r="E744" s="51"/>
      <c r="F744" s="2"/>
      <c r="G744" s="71"/>
    </row>
    <row r="745" spans="1:7" s="10" customFormat="1" ht="15.75" customHeight="1" x14ac:dyDescent="0.25">
      <c r="A745" s="1"/>
      <c r="B745" s="3"/>
      <c r="C745" s="40" t="s">
        <v>1507</v>
      </c>
      <c r="D745" s="45">
        <v>1196</v>
      </c>
      <c r="E745" s="51"/>
      <c r="F745" s="2"/>
      <c r="G745" s="71"/>
    </row>
    <row r="746" spans="1:7" s="10" customFormat="1" ht="15.75" customHeight="1" x14ac:dyDescent="0.25">
      <c r="A746" s="1"/>
      <c r="B746" s="3"/>
      <c r="C746" s="40" t="s">
        <v>1508</v>
      </c>
      <c r="D746" s="45">
        <v>1231</v>
      </c>
      <c r="E746" s="51"/>
      <c r="F746" s="2"/>
      <c r="G746" s="71"/>
    </row>
    <row r="747" spans="1:7" s="10" customFormat="1" ht="15.75" customHeight="1" x14ac:dyDescent="0.25">
      <c r="A747" s="1"/>
      <c r="B747" s="3"/>
      <c r="C747" s="40" t="s">
        <v>43</v>
      </c>
      <c r="D747" s="45">
        <v>1555</v>
      </c>
      <c r="E747" s="51"/>
      <c r="F747" s="2"/>
      <c r="G747" s="71"/>
    </row>
    <row r="748" spans="1:7" s="10" customFormat="1" ht="15.75" customHeight="1" x14ac:dyDescent="0.25">
      <c r="A748" s="1"/>
      <c r="B748" s="3"/>
      <c r="C748" s="40" t="s">
        <v>34</v>
      </c>
      <c r="D748" s="45">
        <v>1024</v>
      </c>
      <c r="E748" s="51"/>
      <c r="F748" s="2"/>
      <c r="G748" s="71"/>
    </row>
    <row r="749" spans="1:7" s="10" customFormat="1" ht="15.75" customHeight="1" x14ac:dyDescent="0.25">
      <c r="A749" s="1"/>
      <c r="B749" s="3"/>
      <c r="C749" s="40" t="s">
        <v>493</v>
      </c>
      <c r="D749" s="45">
        <v>481</v>
      </c>
      <c r="E749" s="51"/>
      <c r="F749" s="2"/>
      <c r="G749" s="71"/>
    </row>
    <row r="750" spans="1:7" s="10" customFormat="1" ht="15.75" customHeight="1" x14ac:dyDescent="0.25">
      <c r="A750" s="1"/>
      <c r="B750" s="3"/>
      <c r="C750" s="40" t="s">
        <v>1509</v>
      </c>
      <c r="D750" s="45">
        <v>1009</v>
      </c>
      <c r="E750" s="51"/>
      <c r="F750" s="2"/>
      <c r="G750" s="71"/>
    </row>
    <row r="751" spans="1:7" s="10" customFormat="1" ht="15.75" customHeight="1" x14ac:dyDescent="0.25">
      <c r="A751" s="1"/>
      <c r="B751" s="3"/>
      <c r="C751" s="40" t="s">
        <v>1510</v>
      </c>
      <c r="D751" s="45">
        <v>584</v>
      </c>
      <c r="E751" s="51"/>
      <c r="F751" s="2"/>
      <c r="G751" s="71"/>
    </row>
    <row r="752" spans="1:7" s="10" customFormat="1" ht="15.75" customHeight="1" x14ac:dyDescent="0.25">
      <c r="A752" s="1"/>
      <c r="B752" s="3"/>
      <c r="C752" s="40" t="s">
        <v>1511</v>
      </c>
      <c r="D752" s="45">
        <v>681</v>
      </c>
      <c r="E752" s="51"/>
      <c r="F752" s="2"/>
      <c r="G752" s="71"/>
    </row>
    <row r="753" spans="1:7" s="10" customFormat="1" ht="15.75" customHeight="1" x14ac:dyDescent="0.25">
      <c r="A753" s="1"/>
      <c r="B753" s="3"/>
      <c r="C753" s="40" t="s">
        <v>1449</v>
      </c>
      <c r="D753" s="45">
        <v>1736</v>
      </c>
      <c r="E753" s="51"/>
      <c r="F753" s="2"/>
      <c r="G753" s="71"/>
    </row>
    <row r="754" spans="1:7" s="10" customFormat="1" ht="15.75" customHeight="1" x14ac:dyDescent="0.25">
      <c r="A754" s="1"/>
      <c r="B754" s="3"/>
      <c r="C754" s="40" t="s">
        <v>1512</v>
      </c>
      <c r="D754" s="45">
        <v>1876</v>
      </c>
      <c r="E754" s="51"/>
      <c r="F754" s="2"/>
      <c r="G754" s="71"/>
    </row>
    <row r="755" spans="1:7" s="10" customFormat="1" ht="15.75" customHeight="1" x14ac:dyDescent="0.25">
      <c r="A755" s="1"/>
      <c r="B755" s="3"/>
      <c r="C755" s="40" t="s">
        <v>1513</v>
      </c>
      <c r="D755" s="45">
        <v>731</v>
      </c>
      <c r="E755" s="51"/>
      <c r="F755" s="2"/>
      <c r="G755" s="71"/>
    </row>
    <row r="756" spans="1:7" s="10" customFormat="1" ht="15.75" customHeight="1" x14ac:dyDescent="0.25">
      <c r="A756" s="1"/>
      <c r="B756" s="3"/>
      <c r="C756" s="40" t="s">
        <v>1514</v>
      </c>
      <c r="D756" s="45">
        <v>3273</v>
      </c>
      <c r="E756" s="51"/>
      <c r="F756" s="2"/>
      <c r="G756" s="71"/>
    </row>
    <row r="757" spans="1:7" s="10" customFormat="1" ht="15.75" customHeight="1" x14ac:dyDescent="0.25">
      <c r="A757" s="1"/>
      <c r="B757" s="3"/>
      <c r="C757" s="40" t="s">
        <v>663</v>
      </c>
      <c r="D757" s="45">
        <v>1183</v>
      </c>
      <c r="E757" s="51"/>
      <c r="F757" s="2"/>
      <c r="G757" s="71"/>
    </row>
    <row r="758" spans="1:7" s="10" customFormat="1" ht="15.75" customHeight="1" x14ac:dyDescent="0.25">
      <c r="A758" s="1"/>
      <c r="B758" s="3"/>
      <c r="C758" s="40" t="s">
        <v>1515</v>
      </c>
      <c r="D758" s="45">
        <v>1210</v>
      </c>
      <c r="E758" s="51"/>
      <c r="F758" s="2"/>
      <c r="G758" s="71"/>
    </row>
    <row r="759" spans="1:7" s="10" customFormat="1" ht="15.75" customHeight="1" x14ac:dyDescent="0.25">
      <c r="A759" s="1"/>
      <c r="B759" s="3"/>
      <c r="C759" s="40" t="s">
        <v>40</v>
      </c>
      <c r="D759" s="45">
        <v>1339</v>
      </c>
      <c r="E759" s="51"/>
      <c r="F759" s="2"/>
      <c r="G759" s="71"/>
    </row>
    <row r="760" spans="1:7" s="10" customFormat="1" ht="15.75" customHeight="1" x14ac:dyDescent="0.25">
      <c r="A760" s="1"/>
      <c r="B760" s="3"/>
      <c r="C760" s="40" t="s">
        <v>1516</v>
      </c>
      <c r="D760" s="45">
        <v>411</v>
      </c>
      <c r="E760" s="51"/>
      <c r="F760" s="2"/>
      <c r="G760" s="71"/>
    </row>
    <row r="761" spans="1:7" s="10" customFormat="1" ht="15.75" customHeight="1" x14ac:dyDescent="0.25">
      <c r="A761" s="1"/>
      <c r="B761" s="3"/>
      <c r="C761" s="40" t="s">
        <v>1517</v>
      </c>
      <c r="D761" s="45">
        <v>1189</v>
      </c>
      <c r="E761" s="51"/>
      <c r="F761" s="2"/>
      <c r="G761" s="71"/>
    </row>
    <row r="762" spans="1:7" s="10" customFormat="1" ht="15.75" customHeight="1" x14ac:dyDescent="0.25">
      <c r="A762" s="1"/>
      <c r="B762" s="3"/>
      <c r="C762" s="40" t="s">
        <v>2</v>
      </c>
      <c r="D762" s="45">
        <v>4446</v>
      </c>
      <c r="E762" s="51"/>
      <c r="F762" s="2"/>
      <c r="G762" s="71"/>
    </row>
    <row r="763" spans="1:7" s="10" customFormat="1" ht="15.75" customHeight="1" x14ac:dyDescent="0.25">
      <c r="A763" s="1"/>
      <c r="B763" s="3"/>
      <c r="C763" s="40" t="s">
        <v>187</v>
      </c>
      <c r="D763" s="45">
        <v>1567</v>
      </c>
      <c r="E763" s="51"/>
      <c r="F763" s="2"/>
      <c r="G763" s="71"/>
    </row>
    <row r="764" spans="1:7" s="10" customFormat="1" ht="15.75" customHeight="1" x14ac:dyDescent="0.25">
      <c r="A764" s="1"/>
      <c r="B764" s="3"/>
      <c r="C764" s="40" t="s">
        <v>792</v>
      </c>
      <c r="D764" s="45">
        <v>1512</v>
      </c>
      <c r="E764" s="51"/>
      <c r="F764" s="2"/>
      <c r="G764" s="71"/>
    </row>
    <row r="765" spans="1:7" s="10" customFormat="1" ht="15.75" customHeight="1" x14ac:dyDescent="0.25">
      <c r="A765" s="1"/>
      <c r="B765" s="3"/>
      <c r="C765" s="40" t="s">
        <v>1518</v>
      </c>
      <c r="D765" s="45">
        <v>1030</v>
      </c>
      <c r="E765" s="51"/>
      <c r="F765" s="2"/>
      <c r="G765" s="71"/>
    </row>
    <row r="766" spans="1:7" s="10" customFormat="1" ht="15.75" customHeight="1" x14ac:dyDescent="0.25">
      <c r="A766" s="1"/>
      <c r="B766" s="3"/>
      <c r="C766" s="40"/>
      <c r="D766" s="46"/>
      <c r="E766" s="51"/>
      <c r="F766" s="2"/>
      <c r="G766" s="71"/>
    </row>
    <row r="767" spans="1:7" s="10" customFormat="1" ht="15.75" customHeight="1" x14ac:dyDescent="0.25">
      <c r="A767" s="1"/>
      <c r="B767" s="3"/>
      <c r="C767" s="39" t="s">
        <v>1519</v>
      </c>
      <c r="D767" s="57">
        <f>SUM(D768:D780)</f>
        <v>12506</v>
      </c>
      <c r="E767" s="51"/>
      <c r="F767" s="2"/>
      <c r="G767" s="71"/>
    </row>
    <row r="768" spans="1:7" s="10" customFormat="1" ht="15.75" customHeight="1" x14ac:dyDescent="0.25">
      <c r="A768" s="1"/>
      <c r="B768" s="3"/>
      <c r="C768" s="40" t="s">
        <v>752</v>
      </c>
      <c r="D768" s="45">
        <v>406</v>
      </c>
      <c r="E768" s="51"/>
      <c r="F768" s="2"/>
      <c r="G768" s="71"/>
    </row>
    <row r="769" spans="1:7" s="10" customFormat="1" ht="15.75" customHeight="1" x14ac:dyDescent="0.25">
      <c r="A769" s="1"/>
      <c r="B769" s="3"/>
      <c r="C769" s="40" t="s">
        <v>1520</v>
      </c>
      <c r="D769" s="45">
        <v>2251</v>
      </c>
      <c r="E769" s="51"/>
      <c r="F769" s="2"/>
      <c r="G769" s="71"/>
    </row>
    <row r="770" spans="1:7" s="10" customFormat="1" ht="15.75" customHeight="1" x14ac:dyDescent="0.25">
      <c r="A770" s="1"/>
      <c r="B770" s="3"/>
      <c r="C770" s="40" t="s">
        <v>106</v>
      </c>
      <c r="D770" s="45">
        <v>671</v>
      </c>
      <c r="E770" s="51"/>
      <c r="F770" s="2"/>
      <c r="G770" s="71"/>
    </row>
    <row r="771" spans="1:7" s="10" customFormat="1" ht="15.75" customHeight="1" x14ac:dyDescent="0.25">
      <c r="A771" s="1"/>
      <c r="B771" s="3"/>
      <c r="C771" s="40" t="s">
        <v>114</v>
      </c>
      <c r="D771" s="45">
        <v>855</v>
      </c>
      <c r="E771" s="51"/>
      <c r="F771" s="2"/>
      <c r="G771" s="71"/>
    </row>
    <row r="772" spans="1:7" s="10" customFormat="1" ht="15.75" customHeight="1" x14ac:dyDescent="0.25">
      <c r="A772" s="1"/>
      <c r="B772" s="3"/>
      <c r="C772" s="40" t="s">
        <v>1104</v>
      </c>
      <c r="D772" s="45">
        <v>947</v>
      </c>
      <c r="E772" s="51"/>
      <c r="F772" s="2"/>
      <c r="G772" s="71"/>
    </row>
    <row r="773" spans="1:7" s="10" customFormat="1" ht="15.75" customHeight="1" x14ac:dyDescent="0.25">
      <c r="A773" s="1"/>
      <c r="B773" s="3"/>
      <c r="C773" s="40" t="s">
        <v>1521</v>
      </c>
      <c r="D773" s="45">
        <v>826</v>
      </c>
      <c r="E773" s="51"/>
      <c r="F773" s="2"/>
      <c r="G773" s="71"/>
    </row>
    <row r="774" spans="1:7" s="10" customFormat="1" ht="15.75" customHeight="1" x14ac:dyDescent="0.25">
      <c r="A774" s="1"/>
      <c r="B774" s="3"/>
      <c r="C774" s="40" t="s">
        <v>1522</v>
      </c>
      <c r="D774" s="45">
        <v>1172</v>
      </c>
      <c r="E774" s="51"/>
      <c r="F774" s="2"/>
      <c r="G774" s="71"/>
    </row>
    <row r="775" spans="1:7" s="10" customFormat="1" ht="15.75" customHeight="1" x14ac:dyDescent="0.25">
      <c r="A775" s="1"/>
      <c r="B775" s="3"/>
      <c r="C775" s="40" t="s">
        <v>1523</v>
      </c>
      <c r="D775" s="45">
        <v>1260</v>
      </c>
      <c r="E775" s="51"/>
      <c r="F775" s="2"/>
      <c r="G775" s="71"/>
    </row>
    <row r="776" spans="1:7" s="10" customFormat="1" ht="15.75" customHeight="1" x14ac:dyDescent="0.25">
      <c r="A776" s="1"/>
      <c r="B776" s="3"/>
      <c r="C776" s="40" t="s">
        <v>5</v>
      </c>
      <c r="D776" s="45">
        <v>643</v>
      </c>
      <c r="E776" s="51"/>
      <c r="F776" s="2"/>
      <c r="G776" s="71"/>
    </row>
    <row r="777" spans="1:7" s="10" customFormat="1" ht="15.75" customHeight="1" x14ac:dyDescent="0.25">
      <c r="A777" s="1"/>
      <c r="B777" s="3"/>
      <c r="C777" s="40" t="s">
        <v>9</v>
      </c>
      <c r="D777" s="45">
        <v>796</v>
      </c>
      <c r="E777" s="51"/>
      <c r="F777" s="2"/>
      <c r="G777" s="71"/>
    </row>
    <row r="778" spans="1:7" s="10" customFormat="1" ht="15.75" customHeight="1" x14ac:dyDescent="0.25">
      <c r="A778" s="1"/>
      <c r="B778" s="3"/>
      <c r="C778" s="40" t="s">
        <v>1524</v>
      </c>
      <c r="D778" s="45">
        <v>925</v>
      </c>
      <c r="E778" s="51"/>
      <c r="F778" s="2"/>
      <c r="G778" s="71"/>
    </row>
    <row r="779" spans="1:7" s="10" customFormat="1" ht="15.75" customHeight="1" x14ac:dyDescent="0.25">
      <c r="A779" s="1"/>
      <c r="B779" s="3"/>
      <c r="C779" s="40" t="s">
        <v>61</v>
      </c>
      <c r="D779" s="45">
        <v>1177</v>
      </c>
      <c r="E779" s="51"/>
      <c r="F779" s="2"/>
      <c r="G779" s="71"/>
    </row>
    <row r="780" spans="1:7" s="10" customFormat="1" ht="15.75" customHeight="1" x14ac:dyDescent="0.25">
      <c r="A780" s="1"/>
      <c r="B780" s="3"/>
      <c r="C780" s="40" t="s">
        <v>584</v>
      </c>
      <c r="D780" s="45">
        <v>577</v>
      </c>
      <c r="E780" s="51"/>
      <c r="F780" s="2"/>
      <c r="G780" s="71"/>
    </row>
    <row r="781" spans="1:7" s="10" customFormat="1" ht="15.75" customHeight="1" x14ac:dyDescent="0.25">
      <c r="A781" s="1"/>
      <c r="B781" s="3"/>
      <c r="C781" s="40"/>
      <c r="D781" s="46"/>
      <c r="E781" s="51"/>
      <c r="F781" s="2"/>
      <c r="G781" s="71"/>
    </row>
    <row r="782" spans="1:7" s="10" customFormat="1" ht="15.75" customHeight="1" x14ac:dyDescent="0.25">
      <c r="A782" s="1"/>
      <c r="B782" s="3"/>
      <c r="C782" s="39" t="s">
        <v>2412</v>
      </c>
      <c r="D782" s="57">
        <f>SUM(D783:D808)</f>
        <v>75131</v>
      </c>
      <c r="E782" s="51"/>
      <c r="F782" s="2"/>
      <c r="G782" s="71"/>
    </row>
    <row r="783" spans="1:7" s="10" customFormat="1" ht="15.75" customHeight="1" x14ac:dyDescent="0.25">
      <c r="A783" s="1"/>
      <c r="B783" s="3"/>
      <c r="C783" s="40" t="s">
        <v>492</v>
      </c>
      <c r="D783" s="45">
        <v>1613</v>
      </c>
      <c r="E783" s="51"/>
      <c r="F783" s="2"/>
      <c r="G783" s="71"/>
    </row>
    <row r="784" spans="1:7" s="10" customFormat="1" ht="15.75" customHeight="1" x14ac:dyDescent="0.25">
      <c r="A784" s="1"/>
      <c r="B784" s="3"/>
      <c r="C784" s="40" t="s">
        <v>1525</v>
      </c>
      <c r="D784" s="45">
        <v>4362</v>
      </c>
      <c r="E784" s="51"/>
      <c r="F784" s="2"/>
      <c r="G784" s="71"/>
    </row>
    <row r="785" spans="1:7" s="10" customFormat="1" ht="15.75" customHeight="1" x14ac:dyDescent="0.25">
      <c r="A785" s="1"/>
      <c r="B785" s="3"/>
      <c r="C785" s="40" t="s">
        <v>1212</v>
      </c>
      <c r="D785" s="45">
        <v>2264</v>
      </c>
      <c r="E785" s="51"/>
      <c r="F785" s="2"/>
      <c r="G785" s="71"/>
    </row>
    <row r="786" spans="1:7" s="10" customFormat="1" ht="15.75" customHeight="1" x14ac:dyDescent="0.25">
      <c r="A786" s="1"/>
      <c r="B786" s="3"/>
      <c r="C786" s="40" t="s">
        <v>1526</v>
      </c>
      <c r="D786" s="45">
        <v>2192</v>
      </c>
      <c r="E786" s="51"/>
      <c r="F786" s="2"/>
      <c r="G786" s="71"/>
    </row>
    <row r="787" spans="1:7" s="10" customFormat="1" ht="15.75" customHeight="1" x14ac:dyDescent="0.25">
      <c r="A787" s="1"/>
      <c r="B787" s="3"/>
      <c r="C787" s="40" t="s">
        <v>57</v>
      </c>
      <c r="D787" s="45">
        <v>1396</v>
      </c>
      <c r="E787" s="51"/>
      <c r="F787" s="2"/>
      <c r="G787" s="71"/>
    </row>
    <row r="788" spans="1:7" s="10" customFormat="1" ht="15.75" customHeight="1" x14ac:dyDescent="0.25">
      <c r="A788" s="1"/>
      <c r="B788" s="3"/>
      <c r="C788" s="40" t="s">
        <v>1071</v>
      </c>
      <c r="D788" s="45">
        <v>2394</v>
      </c>
      <c r="E788" s="51"/>
      <c r="F788" s="2"/>
      <c r="G788" s="71"/>
    </row>
    <row r="789" spans="1:7" s="10" customFormat="1" ht="15.75" customHeight="1" x14ac:dyDescent="0.25">
      <c r="A789" s="1"/>
      <c r="B789" s="3"/>
      <c r="C789" s="40" t="s">
        <v>1527</v>
      </c>
      <c r="D789" s="45">
        <v>1244</v>
      </c>
      <c r="E789" s="51"/>
      <c r="F789" s="2"/>
      <c r="G789" s="71"/>
    </row>
    <row r="790" spans="1:7" s="10" customFormat="1" ht="15.75" customHeight="1" x14ac:dyDescent="0.25">
      <c r="A790" s="1"/>
      <c r="B790" s="3"/>
      <c r="C790" s="40" t="s">
        <v>240</v>
      </c>
      <c r="D790" s="45">
        <v>2521</v>
      </c>
      <c r="E790" s="51"/>
      <c r="F790" s="2"/>
      <c r="G790" s="71"/>
    </row>
    <row r="791" spans="1:7" s="10" customFormat="1" ht="15.75" customHeight="1" x14ac:dyDescent="0.25">
      <c r="A791" s="1"/>
      <c r="B791" s="3"/>
      <c r="C791" s="40" t="s">
        <v>1145</v>
      </c>
      <c r="D791" s="45">
        <v>1591</v>
      </c>
      <c r="E791" s="51"/>
      <c r="F791" s="2"/>
      <c r="G791" s="71"/>
    </row>
    <row r="792" spans="1:7" s="10" customFormat="1" ht="15.75" customHeight="1" x14ac:dyDescent="0.25">
      <c r="A792" s="1"/>
      <c r="B792" s="3"/>
      <c r="C792" s="40" t="s">
        <v>1528</v>
      </c>
      <c r="D792" s="45">
        <v>2086</v>
      </c>
      <c r="E792" s="51"/>
      <c r="F792" s="2"/>
      <c r="G792" s="71"/>
    </row>
    <row r="793" spans="1:7" s="10" customFormat="1" ht="15.75" customHeight="1" x14ac:dyDescent="0.25">
      <c r="A793" s="1"/>
      <c r="B793" s="3"/>
      <c r="C793" s="40" t="s">
        <v>1306</v>
      </c>
      <c r="D793" s="45">
        <v>7070</v>
      </c>
      <c r="E793" s="51"/>
      <c r="F793" s="2"/>
      <c r="G793" s="71"/>
    </row>
    <row r="794" spans="1:7" s="10" customFormat="1" ht="15.75" customHeight="1" x14ac:dyDescent="0.25">
      <c r="A794" s="1"/>
      <c r="B794" s="3"/>
      <c r="C794" s="40" t="s">
        <v>1529</v>
      </c>
      <c r="D794" s="45">
        <v>3219</v>
      </c>
      <c r="E794" s="51"/>
      <c r="F794" s="2"/>
      <c r="G794" s="71"/>
    </row>
    <row r="795" spans="1:7" s="10" customFormat="1" ht="15.75" customHeight="1" x14ac:dyDescent="0.25">
      <c r="A795" s="1"/>
      <c r="B795" s="3"/>
      <c r="C795" s="40" t="s">
        <v>1530</v>
      </c>
      <c r="D795" s="45">
        <v>2728</v>
      </c>
      <c r="E795" s="51"/>
      <c r="F795" s="2"/>
      <c r="G795" s="71"/>
    </row>
    <row r="796" spans="1:7" s="10" customFormat="1" ht="15.75" customHeight="1" x14ac:dyDescent="0.25">
      <c r="A796" s="1"/>
      <c r="B796" s="3"/>
      <c r="C796" s="40" t="s">
        <v>1531</v>
      </c>
      <c r="D796" s="45">
        <v>655</v>
      </c>
      <c r="E796" s="51"/>
      <c r="F796" s="2"/>
      <c r="G796" s="71"/>
    </row>
    <row r="797" spans="1:7" s="10" customFormat="1" ht="15.75" customHeight="1" x14ac:dyDescent="0.25">
      <c r="A797" s="1"/>
      <c r="B797" s="3"/>
      <c r="C797" s="40" t="s">
        <v>1532</v>
      </c>
      <c r="D797" s="45">
        <v>7583</v>
      </c>
      <c r="E797" s="51"/>
      <c r="F797" s="2"/>
      <c r="G797" s="71"/>
    </row>
    <row r="798" spans="1:7" s="10" customFormat="1" ht="15.75" customHeight="1" x14ac:dyDescent="0.25">
      <c r="A798" s="1"/>
      <c r="B798" s="3"/>
      <c r="C798" s="40" t="s">
        <v>2</v>
      </c>
      <c r="D798" s="45">
        <v>7038</v>
      </c>
      <c r="E798" s="51"/>
      <c r="F798" s="2"/>
      <c r="G798" s="71"/>
    </row>
    <row r="799" spans="1:7" s="10" customFormat="1" ht="15.75" customHeight="1" x14ac:dyDescent="0.25">
      <c r="A799" s="1"/>
      <c r="B799" s="3"/>
      <c r="C799" s="40" t="s">
        <v>1533</v>
      </c>
      <c r="D799" s="45">
        <v>2237</v>
      </c>
      <c r="E799" s="51"/>
      <c r="F799" s="2"/>
      <c r="G799" s="71"/>
    </row>
    <row r="800" spans="1:7" s="10" customFormat="1" ht="15.75" customHeight="1" x14ac:dyDescent="0.25">
      <c r="A800" s="1"/>
      <c r="B800" s="3"/>
      <c r="C800" s="40" t="s">
        <v>20</v>
      </c>
      <c r="D800" s="45">
        <v>3054</v>
      </c>
      <c r="E800" s="51"/>
      <c r="F800" s="2"/>
      <c r="G800" s="71"/>
    </row>
    <row r="801" spans="1:7" s="10" customFormat="1" ht="15.75" customHeight="1" x14ac:dyDescent="0.25">
      <c r="A801" s="1"/>
      <c r="B801" s="3"/>
      <c r="C801" s="40" t="s">
        <v>1310</v>
      </c>
      <c r="D801" s="45">
        <v>1547</v>
      </c>
      <c r="E801" s="51"/>
      <c r="F801" s="2"/>
      <c r="G801" s="71"/>
    </row>
    <row r="802" spans="1:7" s="10" customFormat="1" ht="15.75" customHeight="1" x14ac:dyDescent="0.25">
      <c r="A802" s="1"/>
      <c r="B802" s="3"/>
      <c r="C802" s="40" t="s">
        <v>1534</v>
      </c>
      <c r="D802" s="45">
        <v>1376</v>
      </c>
      <c r="E802" s="51"/>
      <c r="F802" s="2"/>
      <c r="G802" s="71"/>
    </row>
    <row r="803" spans="1:7" s="10" customFormat="1" ht="15.75" customHeight="1" x14ac:dyDescent="0.25">
      <c r="A803" s="1"/>
      <c r="B803" s="3"/>
      <c r="C803" s="40" t="s">
        <v>1535</v>
      </c>
      <c r="D803" s="45">
        <v>2751</v>
      </c>
      <c r="E803" s="51"/>
      <c r="F803" s="2"/>
      <c r="G803" s="71"/>
    </row>
    <row r="804" spans="1:7" s="10" customFormat="1" ht="15.75" customHeight="1" x14ac:dyDescent="0.25">
      <c r="A804" s="1"/>
      <c r="B804" s="3"/>
      <c r="C804" s="40" t="s">
        <v>1536</v>
      </c>
      <c r="D804" s="45">
        <v>7395</v>
      </c>
      <c r="E804" s="51"/>
      <c r="F804" s="2"/>
      <c r="G804" s="71"/>
    </row>
    <row r="805" spans="1:7" s="10" customFormat="1" ht="15.75" customHeight="1" x14ac:dyDescent="0.25">
      <c r="A805" s="1"/>
      <c r="B805" s="3"/>
      <c r="C805" s="40" t="s">
        <v>249</v>
      </c>
      <c r="D805" s="45">
        <v>1151</v>
      </c>
      <c r="E805" s="51"/>
      <c r="F805" s="2"/>
      <c r="G805" s="71"/>
    </row>
    <row r="806" spans="1:7" s="10" customFormat="1" ht="15.75" customHeight="1" x14ac:dyDescent="0.25">
      <c r="A806" s="1"/>
      <c r="B806" s="3"/>
      <c r="C806" s="40" t="s">
        <v>1537</v>
      </c>
      <c r="D806" s="45">
        <v>1877</v>
      </c>
      <c r="E806" s="51"/>
      <c r="F806" s="2"/>
      <c r="G806" s="71"/>
    </row>
    <row r="807" spans="1:7" s="10" customFormat="1" ht="15.75" customHeight="1" x14ac:dyDescent="0.25">
      <c r="A807" s="1"/>
      <c r="B807" s="3"/>
      <c r="C807" s="40" t="s">
        <v>299</v>
      </c>
      <c r="D807" s="45">
        <v>991</v>
      </c>
      <c r="E807" s="51"/>
      <c r="F807" s="2"/>
      <c r="G807" s="71"/>
    </row>
    <row r="808" spans="1:7" s="10" customFormat="1" ht="15.75" customHeight="1" x14ac:dyDescent="0.25">
      <c r="A808" s="1"/>
      <c r="B808" s="3"/>
      <c r="C808" s="40" t="s">
        <v>1970</v>
      </c>
      <c r="D808" s="45">
        <v>2796</v>
      </c>
      <c r="E808" s="51"/>
      <c r="F808" s="2"/>
      <c r="G808" s="71"/>
    </row>
    <row r="809" spans="1:7" s="10" customFormat="1" ht="15.75" customHeight="1" x14ac:dyDescent="0.25">
      <c r="A809" s="1"/>
      <c r="B809" s="3"/>
      <c r="C809" s="40"/>
      <c r="D809" s="46"/>
      <c r="E809" s="51"/>
      <c r="F809" s="2"/>
      <c r="G809" s="71"/>
    </row>
    <row r="810" spans="1:7" s="10" customFormat="1" ht="15.75" customHeight="1" x14ac:dyDescent="0.25">
      <c r="A810" s="1"/>
      <c r="B810" s="3"/>
      <c r="C810" s="39" t="s">
        <v>1538</v>
      </c>
      <c r="D810" s="57">
        <f>SUM(D811:D827)</f>
        <v>26232</v>
      </c>
      <c r="E810" s="51"/>
      <c r="F810" s="2"/>
      <c r="G810" s="71"/>
    </row>
    <row r="811" spans="1:7" s="10" customFormat="1" ht="15.75" customHeight="1" x14ac:dyDescent="0.25">
      <c r="A811" s="1"/>
      <c r="B811" s="3"/>
      <c r="C811" s="40" t="s">
        <v>1539</v>
      </c>
      <c r="D811" s="45">
        <v>1749</v>
      </c>
      <c r="E811" s="51"/>
      <c r="F811" s="2"/>
      <c r="G811" s="71"/>
    </row>
    <row r="812" spans="1:7" s="10" customFormat="1" ht="15.75" customHeight="1" x14ac:dyDescent="0.25">
      <c r="A812" s="1"/>
      <c r="B812" s="3"/>
      <c r="C812" s="40" t="s">
        <v>1540</v>
      </c>
      <c r="D812" s="45">
        <v>1019</v>
      </c>
      <c r="E812" s="51"/>
      <c r="F812" s="2"/>
      <c r="G812" s="71"/>
    </row>
    <row r="813" spans="1:7" s="10" customFormat="1" ht="15.75" customHeight="1" x14ac:dyDescent="0.25">
      <c r="A813" s="1"/>
      <c r="B813" s="3"/>
      <c r="C813" s="40" t="s">
        <v>1541</v>
      </c>
      <c r="D813" s="45">
        <v>3351</v>
      </c>
      <c r="E813" s="51"/>
      <c r="F813" s="2"/>
      <c r="G813" s="71"/>
    </row>
    <row r="814" spans="1:7" s="10" customFormat="1" ht="15.75" customHeight="1" x14ac:dyDescent="0.25">
      <c r="A814" s="1"/>
      <c r="B814" s="3"/>
      <c r="C814" s="40" t="s">
        <v>1542</v>
      </c>
      <c r="D814" s="45">
        <v>574</v>
      </c>
      <c r="E814" s="51"/>
      <c r="F814" s="2"/>
      <c r="G814" s="71"/>
    </row>
    <row r="815" spans="1:7" s="10" customFormat="1" ht="15.75" customHeight="1" x14ac:dyDescent="0.25">
      <c r="A815" s="1"/>
      <c r="B815" s="3"/>
      <c r="C815" s="40" t="s">
        <v>1543</v>
      </c>
      <c r="D815" s="45">
        <v>807</v>
      </c>
      <c r="E815" s="51"/>
      <c r="F815" s="2"/>
      <c r="G815" s="71"/>
    </row>
    <row r="816" spans="1:7" s="10" customFormat="1" ht="15.75" customHeight="1" x14ac:dyDescent="0.25">
      <c r="A816" s="1"/>
      <c r="B816" s="3"/>
      <c r="C816" s="40" t="s">
        <v>1544</v>
      </c>
      <c r="D816" s="45">
        <v>1145</v>
      </c>
      <c r="E816" s="51"/>
      <c r="F816" s="2"/>
      <c r="G816" s="71"/>
    </row>
    <row r="817" spans="1:7" s="10" customFormat="1" ht="15.75" customHeight="1" x14ac:dyDescent="0.25">
      <c r="A817" s="1"/>
      <c r="B817" s="3"/>
      <c r="C817" s="40" t="s">
        <v>114</v>
      </c>
      <c r="D817" s="45">
        <v>3488</v>
      </c>
      <c r="E817" s="51"/>
      <c r="F817" s="2"/>
      <c r="G817" s="71"/>
    </row>
    <row r="818" spans="1:7" s="10" customFormat="1" ht="15.75" customHeight="1" x14ac:dyDescent="0.25">
      <c r="A818" s="1"/>
      <c r="B818" s="3"/>
      <c r="C818" s="40" t="s">
        <v>50</v>
      </c>
      <c r="D818" s="45">
        <v>1216</v>
      </c>
      <c r="E818" s="51"/>
      <c r="F818" s="2"/>
      <c r="G818" s="71"/>
    </row>
    <row r="819" spans="1:7" s="10" customFormat="1" ht="15.75" customHeight="1" x14ac:dyDescent="0.25">
      <c r="A819" s="1"/>
      <c r="B819" s="3"/>
      <c r="C819" s="40" t="s">
        <v>25</v>
      </c>
      <c r="D819" s="45">
        <v>1328</v>
      </c>
      <c r="E819" s="51"/>
      <c r="F819" s="2"/>
      <c r="G819" s="71"/>
    </row>
    <row r="820" spans="1:7" s="10" customFormat="1" ht="15.75" customHeight="1" x14ac:dyDescent="0.25">
      <c r="A820" s="1"/>
      <c r="B820" s="3"/>
      <c r="C820" s="40" t="s">
        <v>115</v>
      </c>
      <c r="D820" s="45">
        <v>2973</v>
      </c>
      <c r="E820" s="51"/>
      <c r="F820" s="2"/>
      <c r="G820" s="71"/>
    </row>
    <row r="821" spans="1:7" s="10" customFormat="1" ht="15.75" customHeight="1" x14ac:dyDescent="0.25">
      <c r="A821" s="1"/>
      <c r="B821" s="3"/>
      <c r="C821" s="40" t="s">
        <v>562</v>
      </c>
      <c r="D821" s="45">
        <v>835</v>
      </c>
      <c r="E821" s="51"/>
      <c r="F821" s="2"/>
      <c r="G821" s="71"/>
    </row>
    <row r="822" spans="1:7" s="10" customFormat="1" ht="15.75" customHeight="1" x14ac:dyDescent="0.25">
      <c r="A822" s="1"/>
      <c r="B822" s="3"/>
      <c r="C822" s="40" t="s">
        <v>143</v>
      </c>
      <c r="D822" s="45">
        <v>1297</v>
      </c>
      <c r="E822" s="51"/>
      <c r="F822" s="2"/>
      <c r="G822" s="71"/>
    </row>
    <row r="823" spans="1:7" s="10" customFormat="1" ht="15.75" customHeight="1" x14ac:dyDescent="0.25">
      <c r="A823" s="1"/>
      <c r="B823" s="3"/>
      <c r="C823" s="40" t="s">
        <v>20</v>
      </c>
      <c r="D823" s="45">
        <v>786</v>
      </c>
      <c r="E823" s="51"/>
      <c r="F823" s="2"/>
      <c r="G823" s="71"/>
    </row>
    <row r="824" spans="1:7" s="10" customFormat="1" ht="15.75" customHeight="1" x14ac:dyDescent="0.25">
      <c r="A824" s="1"/>
      <c r="B824" s="3"/>
      <c r="C824" s="40" t="s">
        <v>6</v>
      </c>
      <c r="D824" s="45">
        <v>1375</v>
      </c>
      <c r="E824" s="51"/>
      <c r="F824" s="2"/>
      <c r="G824" s="71"/>
    </row>
    <row r="825" spans="1:7" s="10" customFormat="1" ht="15.75" customHeight="1" x14ac:dyDescent="0.25">
      <c r="A825" s="1"/>
      <c r="B825" s="3"/>
      <c r="C825" s="40" t="s">
        <v>153</v>
      </c>
      <c r="D825" s="45">
        <v>996</v>
      </c>
      <c r="E825" s="51"/>
      <c r="F825" s="2"/>
      <c r="G825" s="71"/>
    </row>
    <row r="826" spans="1:7" s="10" customFormat="1" ht="15.75" customHeight="1" x14ac:dyDescent="0.25">
      <c r="A826" s="1"/>
      <c r="B826" s="3"/>
      <c r="C826" s="40" t="s">
        <v>1545</v>
      </c>
      <c r="D826" s="45">
        <v>1765</v>
      </c>
      <c r="E826" s="51"/>
      <c r="F826" s="2"/>
      <c r="G826" s="71"/>
    </row>
    <row r="827" spans="1:7" s="10" customFormat="1" ht="15.75" customHeight="1" x14ac:dyDescent="0.25">
      <c r="A827" s="1"/>
      <c r="B827" s="3"/>
      <c r="C827" s="40" t="s">
        <v>1546</v>
      </c>
      <c r="D827" s="45">
        <v>1528</v>
      </c>
      <c r="E827" s="51"/>
      <c r="F827" s="2"/>
      <c r="G827" s="71"/>
    </row>
    <row r="828" spans="1:7" s="10" customFormat="1" ht="15.75" customHeight="1" x14ac:dyDescent="0.25">
      <c r="A828" s="1"/>
      <c r="B828" s="3"/>
      <c r="C828" s="40"/>
      <c r="D828" s="46"/>
      <c r="E828" s="51"/>
      <c r="F828" s="2"/>
      <c r="G828" s="71"/>
    </row>
    <row r="829" spans="1:7" s="10" customFormat="1" ht="15.75" customHeight="1" x14ac:dyDescent="0.25">
      <c r="A829" s="1"/>
      <c r="B829" s="3"/>
      <c r="C829" s="39" t="s">
        <v>1547</v>
      </c>
      <c r="D829" s="57">
        <f>SUM(D830:D843)</f>
        <v>21005</v>
      </c>
      <c r="E829" s="51"/>
      <c r="F829" s="2"/>
      <c r="G829" s="71"/>
    </row>
    <row r="830" spans="1:7" s="10" customFormat="1" ht="15.75" customHeight="1" x14ac:dyDescent="0.25">
      <c r="A830" s="1"/>
      <c r="B830" s="3"/>
      <c r="C830" s="40" t="s">
        <v>1071</v>
      </c>
      <c r="D830" s="45">
        <v>1641</v>
      </c>
      <c r="E830" s="51"/>
      <c r="F830" s="2"/>
      <c r="G830" s="71"/>
    </row>
    <row r="831" spans="1:7" s="10" customFormat="1" ht="15.75" customHeight="1" x14ac:dyDescent="0.25">
      <c r="A831" s="1"/>
      <c r="B831" s="3"/>
      <c r="C831" s="40" t="s">
        <v>1548</v>
      </c>
      <c r="D831" s="45">
        <v>915</v>
      </c>
      <c r="E831" s="51"/>
      <c r="F831" s="2"/>
      <c r="G831" s="71"/>
    </row>
    <row r="832" spans="1:7" s="10" customFormat="1" ht="15.75" customHeight="1" x14ac:dyDescent="0.25">
      <c r="A832" s="1"/>
      <c r="B832" s="3"/>
      <c r="C832" s="40" t="s">
        <v>1549</v>
      </c>
      <c r="D832" s="45">
        <v>1364</v>
      </c>
      <c r="E832" s="51"/>
      <c r="F832" s="2"/>
      <c r="G832" s="71"/>
    </row>
    <row r="833" spans="1:7" s="10" customFormat="1" ht="15.75" customHeight="1" x14ac:dyDescent="0.25">
      <c r="A833" s="1"/>
      <c r="B833" s="3"/>
      <c r="C833" s="40" t="s">
        <v>1550</v>
      </c>
      <c r="D833" s="45">
        <v>920</v>
      </c>
      <c r="E833" s="51"/>
      <c r="F833" s="2"/>
      <c r="G833" s="71"/>
    </row>
    <row r="834" spans="1:7" s="10" customFormat="1" ht="15.75" customHeight="1" x14ac:dyDescent="0.25">
      <c r="A834" s="1"/>
      <c r="B834" s="3"/>
      <c r="C834" s="40" t="s">
        <v>1551</v>
      </c>
      <c r="D834" s="45">
        <v>2003</v>
      </c>
      <c r="E834" s="51"/>
      <c r="F834" s="2"/>
      <c r="G834" s="71"/>
    </row>
    <row r="835" spans="1:7" s="10" customFormat="1" ht="15.75" customHeight="1" x14ac:dyDescent="0.25">
      <c r="A835" s="1"/>
      <c r="B835" s="3"/>
      <c r="C835" s="40" t="s">
        <v>94</v>
      </c>
      <c r="D835" s="45">
        <v>1618</v>
      </c>
      <c r="E835" s="51"/>
      <c r="F835" s="2"/>
      <c r="G835" s="71"/>
    </row>
    <row r="836" spans="1:7" s="10" customFormat="1" ht="15.75" customHeight="1" x14ac:dyDescent="0.25">
      <c r="A836" s="1"/>
      <c r="B836" s="3"/>
      <c r="C836" s="40" t="s">
        <v>1552</v>
      </c>
      <c r="D836" s="45">
        <v>1255</v>
      </c>
      <c r="E836" s="51"/>
      <c r="F836" s="2"/>
      <c r="G836" s="71"/>
    </row>
    <row r="837" spans="1:7" s="10" customFormat="1" ht="15.75" customHeight="1" x14ac:dyDescent="0.25">
      <c r="A837" s="1"/>
      <c r="B837" s="3"/>
      <c r="C837" s="40" t="s">
        <v>159</v>
      </c>
      <c r="D837" s="45">
        <v>1452</v>
      </c>
      <c r="E837" s="51"/>
      <c r="F837" s="2"/>
      <c r="G837" s="71"/>
    </row>
    <row r="838" spans="1:7" s="10" customFormat="1" ht="15.75" customHeight="1" x14ac:dyDescent="0.25">
      <c r="A838" s="1"/>
      <c r="B838" s="3"/>
      <c r="C838" s="40" t="s">
        <v>1553</v>
      </c>
      <c r="D838" s="45">
        <v>1011</v>
      </c>
      <c r="E838" s="51"/>
      <c r="F838" s="2"/>
      <c r="G838" s="71"/>
    </row>
    <row r="839" spans="1:7" s="10" customFormat="1" ht="15.75" customHeight="1" x14ac:dyDescent="0.25">
      <c r="A839" s="1"/>
      <c r="B839" s="3"/>
      <c r="C839" s="40" t="s">
        <v>1041</v>
      </c>
      <c r="D839" s="45">
        <v>1703</v>
      </c>
      <c r="E839" s="51"/>
      <c r="F839" s="2"/>
      <c r="G839" s="71"/>
    </row>
    <row r="840" spans="1:7" s="10" customFormat="1" ht="15.75" customHeight="1" x14ac:dyDescent="0.25">
      <c r="A840" s="1"/>
      <c r="B840" s="3"/>
      <c r="C840" s="40" t="s">
        <v>2</v>
      </c>
      <c r="D840" s="45">
        <v>2059</v>
      </c>
      <c r="E840" s="51"/>
      <c r="F840" s="2"/>
      <c r="G840" s="71"/>
    </row>
    <row r="841" spans="1:7" s="10" customFormat="1" ht="15.75" customHeight="1" x14ac:dyDescent="0.25">
      <c r="A841" s="1"/>
      <c r="B841" s="3"/>
      <c r="C841" s="40" t="s">
        <v>13</v>
      </c>
      <c r="D841" s="45">
        <v>3573</v>
      </c>
      <c r="E841" s="51"/>
      <c r="F841" s="2"/>
      <c r="G841" s="71"/>
    </row>
    <row r="842" spans="1:7" s="10" customFormat="1" ht="15.75" customHeight="1" x14ac:dyDescent="0.25">
      <c r="A842" s="1"/>
      <c r="B842" s="3"/>
      <c r="C842" s="40" t="s">
        <v>299</v>
      </c>
      <c r="D842" s="45">
        <v>630</v>
      </c>
      <c r="E842" s="51"/>
      <c r="F842" s="2"/>
      <c r="G842" s="71"/>
    </row>
    <row r="843" spans="1:7" s="10" customFormat="1" ht="15.75" customHeight="1" x14ac:dyDescent="0.25">
      <c r="A843" s="1"/>
      <c r="B843" s="3"/>
      <c r="C843" s="40" t="s">
        <v>1554</v>
      </c>
      <c r="D843" s="45">
        <v>861</v>
      </c>
      <c r="E843" s="51"/>
      <c r="F843" s="2"/>
      <c r="G843" s="71"/>
    </row>
    <row r="844" spans="1:7" s="10" customFormat="1" ht="15.75" customHeight="1" x14ac:dyDescent="0.25">
      <c r="A844" s="1"/>
      <c r="B844" s="3"/>
      <c r="C844" s="40"/>
      <c r="D844" s="46"/>
      <c r="E844" s="51"/>
      <c r="F844" s="2"/>
      <c r="G844" s="71"/>
    </row>
    <row r="845" spans="1:7" s="10" customFormat="1" ht="15.75" customHeight="1" x14ac:dyDescent="0.25">
      <c r="A845" s="1"/>
      <c r="B845" s="3"/>
      <c r="C845" s="39" t="s">
        <v>1555</v>
      </c>
      <c r="D845" s="57">
        <f>SUM(D846:D860)</f>
        <v>20373</v>
      </c>
      <c r="E845" s="51"/>
      <c r="F845" s="2"/>
      <c r="G845" s="71"/>
    </row>
    <row r="846" spans="1:7" s="10" customFormat="1" ht="15.75" customHeight="1" x14ac:dyDescent="0.25">
      <c r="A846" s="1"/>
      <c r="B846" s="3"/>
      <c r="C846" s="40" t="s">
        <v>229</v>
      </c>
      <c r="D846" s="45">
        <v>1141</v>
      </c>
      <c r="E846" s="51"/>
      <c r="F846" s="2"/>
      <c r="G846" s="71"/>
    </row>
    <row r="847" spans="1:7" s="10" customFormat="1" ht="15.75" customHeight="1" x14ac:dyDescent="0.25">
      <c r="A847" s="1"/>
      <c r="B847" s="3"/>
      <c r="C847" s="40" t="s">
        <v>43</v>
      </c>
      <c r="D847" s="45">
        <v>613</v>
      </c>
      <c r="E847" s="51"/>
      <c r="F847" s="2"/>
      <c r="G847" s="71"/>
    </row>
    <row r="848" spans="1:7" s="10" customFormat="1" ht="15.75" customHeight="1" x14ac:dyDescent="0.25">
      <c r="A848" s="1"/>
      <c r="B848" s="3"/>
      <c r="C848" s="40" t="s">
        <v>1556</v>
      </c>
      <c r="D848" s="45">
        <v>1054</v>
      </c>
      <c r="E848" s="51"/>
      <c r="F848" s="2"/>
      <c r="G848" s="71"/>
    </row>
    <row r="849" spans="1:7" s="10" customFormat="1" ht="15.75" customHeight="1" x14ac:dyDescent="0.25">
      <c r="A849" s="1"/>
      <c r="B849" s="3"/>
      <c r="C849" s="40" t="s">
        <v>1557</v>
      </c>
      <c r="D849" s="45">
        <v>1284</v>
      </c>
      <c r="E849" s="51"/>
      <c r="F849" s="2"/>
      <c r="G849" s="71"/>
    </row>
    <row r="850" spans="1:7" s="10" customFormat="1" ht="15.75" customHeight="1" x14ac:dyDescent="0.25">
      <c r="A850" s="1"/>
      <c r="B850" s="3"/>
      <c r="C850" s="40" t="s">
        <v>1558</v>
      </c>
      <c r="D850" s="45">
        <v>884</v>
      </c>
      <c r="E850" s="51"/>
      <c r="F850" s="2"/>
      <c r="G850" s="71"/>
    </row>
    <row r="851" spans="1:7" s="10" customFormat="1" ht="15.75" customHeight="1" x14ac:dyDescent="0.25">
      <c r="A851" s="1"/>
      <c r="B851" s="3"/>
      <c r="C851" s="40" t="s">
        <v>1418</v>
      </c>
      <c r="D851" s="45">
        <v>964</v>
      </c>
      <c r="E851" s="51"/>
      <c r="F851" s="2"/>
      <c r="G851" s="71"/>
    </row>
    <row r="852" spans="1:7" s="10" customFormat="1" ht="15.75" customHeight="1" x14ac:dyDescent="0.25">
      <c r="A852" s="1"/>
      <c r="B852" s="3"/>
      <c r="C852" s="40" t="s">
        <v>1559</v>
      </c>
      <c r="D852" s="45">
        <v>1103</v>
      </c>
      <c r="E852" s="51"/>
      <c r="F852" s="2"/>
      <c r="G852" s="71"/>
    </row>
    <row r="853" spans="1:7" s="10" customFormat="1" ht="15.75" customHeight="1" x14ac:dyDescent="0.25">
      <c r="A853" s="1"/>
      <c r="B853" s="3"/>
      <c r="C853" s="40" t="s">
        <v>1560</v>
      </c>
      <c r="D853" s="45">
        <v>1360</v>
      </c>
      <c r="E853" s="51"/>
      <c r="F853" s="2"/>
      <c r="G853" s="71"/>
    </row>
    <row r="854" spans="1:7" s="10" customFormat="1" ht="15.75" customHeight="1" x14ac:dyDescent="0.25">
      <c r="A854" s="1"/>
      <c r="B854" s="3"/>
      <c r="C854" s="40" t="s">
        <v>1561</v>
      </c>
      <c r="D854" s="45">
        <v>1290</v>
      </c>
      <c r="E854" s="51"/>
      <c r="F854" s="2"/>
      <c r="G854" s="71"/>
    </row>
    <row r="855" spans="1:7" s="10" customFormat="1" ht="15.75" customHeight="1" x14ac:dyDescent="0.25">
      <c r="A855" s="1"/>
      <c r="B855" s="3"/>
      <c r="C855" s="40" t="s">
        <v>1562</v>
      </c>
      <c r="D855" s="45">
        <v>941</v>
      </c>
      <c r="E855" s="51"/>
      <c r="F855" s="2"/>
      <c r="G855" s="71"/>
    </row>
    <row r="856" spans="1:7" s="10" customFormat="1" ht="15.75" customHeight="1" x14ac:dyDescent="0.25">
      <c r="A856" s="1"/>
      <c r="B856" s="3"/>
      <c r="C856" s="40" t="s">
        <v>2</v>
      </c>
      <c r="D856" s="45">
        <v>3887</v>
      </c>
      <c r="E856" s="51"/>
      <c r="F856" s="2"/>
      <c r="G856" s="71"/>
    </row>
    <row r="857" spans="1:7" s="10" customFormat="1" ht="15.75" customHeight="1" x14ac:dyDescent="0.25">
      <c r="A857" s="1"/>
      <c r="B857" s="3"/>
      <c r="C857" s="40" t="s">
        <v>76</v>
      </c>
      <c r="D857" s="45">
        <v>2058</v>
      </c>
      <c r="E857" s="51"/>
      <c r="F857" s="2"/>
      <c r="G857" s="71"/>
    </row>
    <row r="858" spans="1:7" s="10" customFormat="1" ht="15.75" customHeight="1" x14ac:dyDescent="0.25">
      <c r="A858" s="1"/>
      <c r="B858" s="3"/>
      <c r="C858" s="40" t="s">
        <v>280</v>
      </c>
      <c r="D858" s="45">
        <v>1931</v>
      </c>
      <c r="E858" s="51"/>
      <c r="F858" s="2"/>
      <c r="G858" s="71"/>
    </row>
    <row r="859" spans="1:7" s="10" customFormat="1" ht="15.75" customHeight="1" x14ac:dyDescent="0.25">
      <c r="A859" s="1"/>
      <c r="B859" s="3"/>
      <c r="C859" s="40" t="s">
        <v>1563</v>
      </c>
      <c r="D859" s="45">
        <v>1121</v>
      </c>
      <c r="E859" s="51"/>
      <c r="F859" s="2"/>
      <c r="G859" s="71"/>
    </row>
    <row r="860" spans="1:7" s="10" customFormat="1" ht="15.75" customHeight="1" x14ac:dyDescent="0.25">
      <c r="A860" s="1"/>
      <c r="B860" s="3"/>
      <c r="C860" s="40" t="s">
        <v>1564</v>
      </c>
      <c r="D860" s="45">
        <v>742</v>
      </c>
      <c r="E860" s="51"/>
      <c r="F860" s="2"/>
      <c r="G860" s="71"/>
    </row>
    <row r="861" spans="1:7" s="10" customFormat="1" ht="15.75" customHeight="1" x14ac:dyDescent="0.25">
      <c r="A861" s="1"/>
      <c r="B861" s="3"/>
      <c r="C861" s="40"/>
      <c r="D861" s="46"/>
      <c r="E861" s="51"/>
      <c r="F861" s="2"/>
      <c r="G861" s="71"/>
    </row>
    <row r="862" spans="1:7" s="10" customFormat="1" ht="15.75" customHeight="1" x14ac:dyDescent="0.25">
      <c r="A862" s="1"/>
      <c r="B862" s="3"/>
      <c r="C862" s="39" t="s">
        <v>1565</v>
      </c>
      <c r="D862" s="57">
        <f>SUM(D863:D883)</f>
        <v>72224</v>
      </c>
      <c r="E862" s="51"/>
      <c r="F862" s="2"/>
      <c r="G862" s="71"/>
    </row>
    <row r="863" spans="1:7" s="10" customFormat="1" ht="15.75" customHeight="1" x14ac:dyDescent="0.25">
      <c r="A863" s="1"/>
      <c r="B863" s="3"/>
      <c r="C863" s="40" t="s">
        <v>139</v>
      </c>
      <c r="D863" s="45">
        <v>4950</v>
      </c>
      <c r="E863" s="51"/>
      <c r="F863" s="2"/>
      <c r="G863" s="71"/>
    </row>
    <row r="864" spans="1:7" s="10" customFormat="1" ht="15.75" customHeight="1" x14ac:dyDescent="0.25">
      <c r="A864" s="1"/>
      <c r="B864" s="3"/>
      <c r="C864" s="40" t="s">
        <v>1566</v>
      </c>
      <c r="D864" s="45">
        <v>2324</v>
      </c>
      <c r="E864" s="51"/>
      <c r="F864" s="2"/>
      <c r="G864" s="71"/>
    </row>
    <row r="865" spans="1:7" s="10" customFormat="1" ht="15.75" customHeight="1" x14ac:dyDescent="0.25">
      <c r="A865" s="1"/>
      <c r="B865" s="3"/>
      <c r="C865" s="40" t="s">
        <v>229</v>
      </c>
      <c r="D865" s="45">
        <v>948</v>
      </c>
      <c r="E865" s="51"/>
      <c r="F865" s="2"/>
      <c r="G865" s="71"/>
    </row>
    <row r="866" spans="1:7" s="10" customFormat="1" ht="15.75" customHeight="1" x14ac:dyDescent="0.25">
      <c r="A866" s="1"/>
      <c r="B866" s="3"/>
      <c r="C866" s="40" t="s">
        <v>728</v>
      </c>
      <c r="D866" s="45">
        <v>1422</v>
      </c>
      <c r="E866" s="51"/>
      <c r="F866" s="2"/>
      <c r="G866" s="71"/>
    </row>
    <row r="867" spans="1:7" s="10" customFormat="1" ht="15.75" customHeight="1" x14ac:dyDescent="0.25">
      <c r="A867" s="1"/>
      <c r="B867" s="3"/>
      <c r="C867" s="40" t="s">
        <v>1567</v>
      </c>
      <c r="D867" s="45">
        <v>2075</v>
      </c>
      <c r="E867" s="51"/>
      <c r="F867" s="2"/>
      <c r="G867" s="71"/>
    </row>
    <row r="868" spans="1:7" s="10" customFormat="1" ht="15.75" customHeight="1" x14ac:dyDescent="0.25">
      <c r="A868" s="1"/>
      <c r="B868" s="3"/>
      <c r="C868" s="40" t="s">
        <v>1568</v>
      </c>
      <c r="D868" s="45">
        <v>3229</v>
      </c>
      <c r="E868" s="51"/>
      <c r="F868" s="2"/>
      <c r="G868" s="71"/>
    </row>
    <row r="869" spans="1:7" s="10" customFormat="1" ht="15.75" customHeight="1" x14ac:dyDescent="0.25">
      <c r="A869" s="1"/>
      <c r="B869" s="3"/>
      <c r="C869" s="40" t="s">
        <v>1569</v>
      </c>
      <c r="D869" s="45">
        <v>2157</v>
      </c>
      <c r="E869" s="51"/>
      <c r="F869" s="2"/>
      <c r="G869" s="71"/>
    </row>
    <row r="870" spans="1:7" s="10" customFormat="1" ht="15.75" customHeight="1" x14ac:dyDescent="0.25">
      <c r="A870" s="1"/>
      <c r="B870" s="3"/>
      <c r="C870" s="40" t="s">
        <v>1255</v>
      </c>
      <c r="D870" s="45">
        <v>1145</v>
      </c>
      <c r="E870" s="51"/>
      <c r="F870" s="2"/>
      <c r="G870" s="71"/>
    </row>
    <row r="871" spans="1:7" s="10" customFormat="1" ht="15.75" customHeight="1" x14ac:dyDescent="0.25">
      <c r="A871" s="1"/>
      <c r="B871" s="3"/>
      <c r="C871" s="40" t="s">
        <v>1570</v>
      </c>
      <c r="D871" s="45">
        <v>2430</v>
      </c>
      <c r="E871" s="51"/>
      <c r="F871" s="2"/>
      <c r="G871" s="71"/>
    </row>
    <row r="872" spans="1:7" s="10" customFormat="1" ht="15.75" customHeight="1" x14ac:dyDescent="0.25">
      <c r="A872" s="1"/>
      <c r="B872" s="3"/>
      <c r="C872" s="40" t="s">
        <v>208</v>
      </c>
      <c r="D872" s="45">
        <v>4606</v>
      </c>
      <c r="E872" s="51"/>
      <c r="F872" s="2"/>
      <c r="G872" s="71"/>
    </row>
    <row r="873" spans="1:7" s="10" customFormat="1" ht="15.75" customHeight="1" x14ac:dyDescent="0.25">
      <c r="A873" s="1"/>
      <c r="B873" s="3"/>
      <c r="C873" s="40" t="s">
        <v>432</v>
      </c>
      <c r="D873" s="45">
        <v>6219</v>
      </c>
      <c r="E873" s="51"/>
      <c r="F873" s="2"/>
      <c r="G873" s="71"/>
    </row>
    <row r="874" spans="1:7" s="10" customFormat="1" ht="15.75" customHeight="1" x14ac:dyDescent="0.25">
      <c r="A874" s="1"/>
      <c r="B874" s="3"/>
      <c r="C874" s="40" t="s">
        <v>1571</v>
      </c>
      <c r="D874" s="45">
        <v>7886</v>
      </c>
      <c r="E874" s="51"/>
      <c r="F874" s="2"/>
      <c r="G874" s="71"/>
    </row>
    <row r="875" spans="1:7" s="10" customFormat="1" ht="15.75" customHeight="1" x14ac:dyDescent="0.25">
      <c r="A875" s="1"/>
      <c r="B875" s="3"/>
      <c r="C875" s="40" t="s">
        <v>5</v>
      </c>
      <c r="D875" s="45">
        <v>4538</v>
      </c>
      <c r="E875" s="51"/>
      <c r="F875" s="2"/>
      <c r="G875" s="71"/>
    </row>
    <row r="876" spans="1:7" s="10" customFormat="1" ht="15.75" customHeight="1" x14ac:dyDescent="0.25">
      <c r="A876" s="1"/>
      <c r="B876" s="3"/>
      <c r="C876" s="40" t="s">
        <v>1572</v>
      </c>
      <c r="D876" s="45">
        <v>6633</v>
      </c>
      <c r="E876" s="51"/>
      <c r="F876" s="2"/>
      <c r="G876" s="71"/>
    </row>
    <row r="877" spans="1:7" s="10" customFormat="1" ht="15.75" customHeight="1" x14ac:dyDescent="0.25">
      <c r="A877" s="1"/>
      <c r="B877" s="3"/>
      <c r="C877" s="40" t="s">
        <v>209</v>
      </c>
      <c r="D877" s="45">
        <v>8948</v>
      </c>
      <c r="E877" s="51"/>
      <c r="F877" s="2"/>
      <c r="G877" s="71"/>
    </row>
    <row r="878" spans="1:7" s="10" customFormat="1" ht="15.75" customHeight="1" x14ac:dyDescent="0.25">
      <c r="A878" s="1"/>
      <c r="B878" s="3"/>
      <c r="C878" s="40" t="s">
        <v>1573</v>
      </c>
      <c r="D878" s="45">
        <v>2285</v>
      </c>
      <c r="E878" s="51"/>
      <c r="F878" s="2"/>
      <c r="G878" s="71"/>
    </row>
    <row r="879" spans="1:7" s="10" customFormat="1" ht="15.75" customHeight="1" x14ac:dyDescent="0.25">
      <c r="A879" s="1"/>
      <c r="B879" s="3"/>
      <c r="C879" s="40" t="s">
        <v>1574</v>
      </c>
      <c r="D879" s="45">
        <v>1861</v>
      </c>
      <c r="E879" s="51"/>
      <c r="F879" s="2"/>
      <c r="G879" s="71"/>
    </row>
    <row r="880" spans="1:7" s="10" customFormat="1" ht="15.75" customHeight="1" x14ac:dyDescent="0.25">
      <c r="A880" s="1"/>
      <c r="B880" s="3"/>
      <c r="C880" s="40" t="s">
        <v>1333</v>
      </c>
      <c r="D880" s="45">
        <v>1764</v>
      </c>
      <c r="E880" s="51"/>
      <c r="F880" s="2"/>
      <c r="G880" s="71"/>
    </row>
    <row r="881" spans="1:7" s="10" customFormat="1" ht="15.75" customHeight="1" x14ac:dyDescent="0.25">
      <c r="A881" s="1"/>
      <c r="B881" s="3"/>
      <c r="C881" s="40" t="s">
        <v>1575</v>
      </c>
      <c r="D881" s="45">
        <v>2479</v>
      </c>
      <c r="E881" s="51"/>
      <c r="F881" s="2"/>
      <c r="G881" s="71"/>
    </row>
    <row r="882" spans="1:7" s="10" customFormat="1" ht="15.75" customHeight="1" x14ac:dyDescent="0.25">
      <c r="A882" s="1"/>
      <c r="B882" s="3"/>
      <c r="C882" s="40" t="s">
        <v>104</v>
      </c>
      <c r="D882" s="45">
        <v>1767</v>
      </c>
      <c r="E882" s="51"/>
      <c r="F882" s="2"/>
      <c r="G882" s="71"/>
    </row>
    <row r="883" spans="1:7" s="10" customFormat="1" ht="15.75" customHeight="1" x14ac:dyDescent="0.25">
      <c r="A883" s="1"/>
      <c r="B883" s="3"/>
      <c r="C883" s="40" t="s">
        <v>94</v>
      </c>
      <c r="D883" s="45">
        <v>2558</v>
      </c>
      <c r="E883" s="51"/>
      <c r="F883" s="2"/>
      <c r="G883" s="71"/>
    </row>
    <row r="884" spans="1:7" s="10" customFormat="1" ht="15.75" customHeight="1" x14ac:dyDescent="0.25">
      <c r="A884" s="1"/>
      <c r="B884" s="3"/>
      <c r="C884" s="40"/>
      <c r="D884" s="46"/>
      <c r="E884" s="51"/>
      <c r="F884" s="2"/>
      <c r="G884" s="71"/>
    </row>
    <row r="885" spans="1:7" s="10" customFormat="1" ht="15.75" customHeight="1" x14ac:dyDescent="0.25">
      <c r="A885" s="1"/>
      <c r="B885" s="3"/>
      <c r="C885" s="39" t="s">
        <v>1576</v>
      </c>
      <c r="D885" s="57">
        <f>SUM(D886:D900)</f>
        <v>59236</v>
      </c>
      <c r="E885" s="51"/>
      <c r="F885" s="2"/>
      <c r="G885" s="71"/>
    </row>
    <row r="886" spans="1:7" s="10" customFormat="1" ht="15.75" customHeight="1" x14ac:dyDescent="0.25">
      <c r="A886" s="1"/>
      <c r="B886" s="3"/>
      <c r="C886" s="40" t="s">
        <v>1577</v>
      </c>
      <c r="D886" s="45">
        <v>1517</v>
      </c>
      <c r="E886" s="51"/>
      <c r="F886" s="2"/>
      <c r="G886" s="71"/>
    </row>
    <row r="887" spans="1:7" s="10" customFormat="1" ht="15.75" customHeight="1" x14ac:dyDescent="0.25">
      <c r="A887" s="1"/>
      <c r="B887" s="3"/>
      <c r="C887" s="40" t="s">
        <v>148</v>
      </c>
      <c r="D887" s="45">
        <v>2334</v>
      </c>
      <c r="E887" s="51"/>
      <c r="F887" s="2"/>
      <c r="G887" s="71"/>
    </row>
    <row r="888" spans="1:7" s="10" customFormat="1" ht="15.75" customHeight="1" x14ac:dyDescent="0.25">
      <c r="A888" s="1"/>
      <c r="B888" s="3"/>
      <c r="C888" s="40" t="s">
        <v>1578</v>
      </c>
      <c r="D888" s="45">
        <v>3207</v>
      </c>
      <c r="E888" s="51"/>
      <c r="F888" s="2"/>
      <c r="G888" s="71"/>
    </row>
    <row r="889" spans="1:7" s="10" customFormat="1" ht="15.75" customHeight="1" x14ac:dyDescent="0.25">
      <c r="A889" s="1"/>
      <c r="B889" s="3"/>
      <c r="C889" s="40" t="s">
        <v>237</v>
      </c>
      <c r="D889" s="45">
        <v>6260</v>
      </c>
      <c r="E889" s="51"/>
      <c r="F889" s="2"/>
      <c r="G889" s="71"/>
    </row>
    <row r="890" spans="1:7" s="10" customFormat="1" ht="15.75" customHeight="1" x14ac:dyDescent="0.25">
      <c r="A890" s="1"/>
      <c r="B890" s="3"/>
      <c r="C890" s="65" t="s">
        <v>114</v>
      </c>
      <c r="D890" s="45">
        <v>6544</v>
      </c>
      <c r="E890" s="51"/>
      <c r="F890" s="2"/>
      <c r="G890" s="71"/>
    </row>
    <row r="891" spans="1:7" s="10" customFormat="1" ht="15.75" customHeight="1" x14ac:dyDescent="0.25">
      <c r="A891" s="1"/>
      <c r="B891" s="3"/>
      <c r="C891" s="40" t="s">
        <v>1579</v>
      </c>
      <c r="D891" s="45">
        <v>2486</v>
      </c>
      <c r="E891" s="51"/>
      <c r="F891" s="2"/>
      <c r="G891" s="71"/>
    </row>
    <row r="892" spans="1:7" s="10" customFormat="1" ht="15.75" customHeight="1" x14ac:dyDescent="0.25">
      <c r="A892" s="1"/>
      <c r="B892" s="3"/>
      <c r="C892" s="40" t="s">
        <v>1580</v>
      </c>
      <c r="D892" s="45">
        <v>5334</v>
      </c>
      <c r="E892" s="51"/>
      <c r="F892" s="2"/>
      <c r="G892" s="71"/>
    </row>
    <row r="893" spans="1:7" s="10" customFormat="1" ht="15.75" customHeight="1" x14ac:dyDescent="0.25">
      <c r="A893" s="1"/>
      <c r="B893" s="3"/>
      <c r="C893" s="40" t="s">
        <v>5</v>
      </c>
      <c r="D893" s="45">
        <v>4474</v>
      </c>
      <c r="E893" s="51"/>
      <c r="F893" s="2"/>
      <c r="G893" s="71"/>
    </row>
    <row r="894" spans="1:7" s="10" customFormat="1" ht="15.75" customHeight="1" x14ac:dyDescent="0.25">
      <c r="A894" s="1"/>
      <c r="B894" s="3"/>
      <c r="C894" s="40" t="s">
        <v>13</v>
      </c>
      <c r="D894" s="45">
        <v>6035</v>
      </c>
      <c r="E894" s="51"/>
      <c r="F894" s="2"/>
      <c r="G894" s="71"/>
    </row>
    <row r="895" spans="1:7" s="10" customFormat="1" ht="15.75" customHeight="1" x14ac:dyDescent="0.25">
      <c r="A895" s="1"/>
      <c r="B895" s="3"/>
      <c r="C895" s="40" t="s">
        <v>14</v>
      </c>
      <c r="D895" s="45">
        <v>2384</v>
      </c>
      <c r="E895" s="51"/>
      <c r="F895" s="2"/>
      <c r="G895" s="71"/>
    </row>
    <row r="896" spans="1:7" s="10" customFormat="1" ht="15.75" customHeight="1" x14ac:dyDescent="0.25">
      <c r="A896" s="1"/>
      <c r="B896" s="3"/>
      <c r="C896" s="40" t="s">
        <v>1581</v>
      </c>
      <c r="D896" s="45">
        <v>4004</v>
      </c>
      <c r="E896" s="51"/>
      <c r="F896" s="2"/>
      <c r="G896" s="71"/>
    </row>
    <row r="897" spans="1:7" s="10" customFormat="1" ht="15.75" customHeight="1" x14ac:dyDescent="0.25">
      <c r="A897" s="1"/>
      <c r="B897" s="3"/>
      <c r="C897" s="40" t="s">
        <v>1582</v>
      </c>
      <c r="D897" s="45">
        <v>4618</v>
      </c>
      <c r="E897" s="51"/>
      <c r="F897" s="2"/>
      <c r="G897" s="71"/>
    </row>
    <row r="898" spans="1:7" s="10" customFormat="1" ht="15.75" customHeight="1" x14ac:dyDescent="0.25">
      <c r="A898" s="1"/>
      <c r="B898" s="3"/>
      <c r="C898" s="40" t="s">
        <v>133</v>
      </c>
      <c r="D898" s="45">
        <v>964</v>
      </c>
      <c r="E898" s="51"/>
      <c r="F898" s="2"/>
      <c r="G898" s="71"/>
    </row>
    <row r="899" spans="1:7" s="10" customFormat="1" ht="15.75" customHeight="1" x14ac:dyDescent="0.25">
      <c r="A899" s="1"/>
      <c r="B899" s="3"/>
      <c r="C899" s="40" t="s">
        <v>85</v>
      </c>
      <c r="D899" s="45">
        <v>6083</v>
      </c>
      <c r="E899" s="51"/>
      <c r="F899" s="2"/>
      <c r="G899" s="71"/>
    </row>
    <row r="900" spans="1:7" s="10" customFormat="1" ht="15.75" customHeight="1" x14ac:dyDescent="0.25">
      <c r="A900" s="1"/>
      <c r="B900" s="3"/>
      <c r="C900" s="40" t="s">
        <v>1546</v>
      </c>
      <c r="D900" s="45">
        <v>2992</v>
      </c>
      <c r="E900" s="51"/>
      <c r="F900" s="2"/>
      <c r="G900" s="71"/>
    </row>
    <row r="901" spans="1:7" s="10" customFormat="1" ht="15.75" customHeight="1" x14ac:dyDescent="0.25">
      <c r="A901" s="1"/>
      <c r="B901" s="3"/>
      <c r="C901" s="40"/>
      <c r="D901" s="45"/>
      <c r="E901" s="51"/>
      <c r="F901" s="2"/>
      <c r="G901" s="71"/>
    </row>
    <row r="902" spans="1:7" s="10" customFormat="1" ht="15.75" customHeight="1" x14ac:dyDescent="0.25">
      <c r="A902" s="1"/>
      <c r="B902" s="3"/>
      <c r="C902" s="39" t="s">
        <v>147</v>
      </c>
      <c r="D902" s="57">
        <f>SUM(D903:D929)</f>
        <v>65744</v>
      </c>
      <c r="E902" s="51"/>
      <c r="F902" s="2"/>
      <c r="G902" s="71"/>
    </row>
    <row r="903" spans="1:7" s="10" customFormat="1" ht="15.75" customHeight="1" x14ac:dyDescent="0.25">
      <c r="A903" s="1"/>
      <c r="B903" s="3"/>
      <c r="C903" s="40" t="s">
        <v>1275</v>
      </c>
      <c r="D903" s="45">
        <v>2445</v>
      </c>
      <c r="E903" s="51"/>
      <c r="F903" s="2"/>
      <c r="G903" s="71"/>
    </row>
    <row r="904" spans="1:7" s="10" customFormat="1" ht="15.75" customHeight="1" x14ac:dyDescent="0.25">
      <c r="A904" s="1"/>
      <c r="B904" s="3"/>
      <c r="C904" s="40" t="s">
        <v>1583</v>
      </c>
      <c r="D904" s="45">
        <v>4738</v>
      </c>
      <c r="E904" s="51"/>
      <c r="F904" s="2"/>
      <c r="G904" s="71"/>
    </row>
    <row r="905" spans="1:7" s="10" customFormat="1" ht="15.75" customHeight="1" x14ac:dyDescent="0.25">
      <c r="A905" s="1"/>
      <c r="B905" s="3"/>
      <c r="C905" s="40" t="s">
        <v>243</v>
      </c>
      <c r="D905" s="45">
        <v>1328</v>
      </c>
      <c r="E905" s="51"/>
      <c r="F905" s="2"/>
      <c r="G905" s="71"/>
    </row>
    <row r="906" spans="1:7" s="10" customFormat="1" ht="15.75" customHeight="1" x14ac:dyDescent="0.25">
      <c r="A906" s="1"/>
      <c r="B906" s="3"/>
      <c r="C906" s="40" t="s">
        <v>1584</v>
      </c>
      <c r="D906" s="45">
        <v>1774</v>
      </c>
      <c r="E906" s="51"/>
      <c r="F906" s="2"/>
      <c r="G906" s="71"/>
    </row>
    <row r="907" spans="1:7" s="10" customFormat="1" ht="15.75" customHeight="1" x14ac:dyDescent="0.25">
      <c r="A907" s="1"/>
      <c r="B907" s="3"/>
      <c r="C907" s="40" t="s">
        <v>1585</v>
      </c>
      <c r="D907" s="45">
        <v>1839</v>
      </c>
      <c r="E907" s="51"/>
      <c r="F907" s="2"/>
      <c r="G907" s="71"/>
    </row>
    <row r="908" spans="1:7" s="10" customFormat="1" ht="15.75" customHeight="1" x14ac:dyDescent="0.25">
      <c r="A908" s="1"/>
      <c r="B908" s="3"/>
      <c r="C908" s="40" t="s">
        <v>1586</v>
      </c>
      <c r="D908" s="45">
        <v>1795</v>
      </c>
      <c r="E908" s="51"/>
      <c r="F908" s="2"/>
      <c r="G908" s="71"/>
    </row>
    <row r="909" spans="1:7" s="10" customFormat="1" ht="15.75" customHeight="1" x14ac:dyDescent="0.25">
      <c r="A909" s="1"/>
      <c r="B909" s="3"/>
      <c r="C909" s="40" t="s">
        <v>1587</v>
      </c>
      <c r="D909" s="45">
        <v>1628</v>
      </c>
      <c r="E909" s="51"/>
      <c r="F909" s="2"/>
      <c r="G909" s="71"/>
    </row>
    <row r="910" spans="1:7" s="10" customFormat="1" ht="15.75" customHeight="1" x14ac:dyDescent="0.25">
      <c r="A910" s="1"/>
      <c r="B910" s="3"/>
      <c r="C910" s="40" t="s">
        <v>1588</v>
      </c>
      <c r="D910" s="45">
        <v>1746</v>
      </c>
      <c r="E910" s="51"/>
      <c r="F910" s="2"/>
      <c r="G910" s="71"/>
    </row>
    <row r="911" spans="1:7" s="10" customFormat="1" ht="15.75" customHeight="1" x14ac:dyDescent="0.25">
      <c r="A911" s="1"/>
      <c r="B911" s="3"/>
      <c r="C911" s="40" t="s">
        <v>106</v>
      </c>
      <c r="D911" s="45">
        <v>1985</v>
      </c>
      <c r="E911" s="51"/>
      <c r="F911" s="2"/>
      <c r="G911" s="71"/>
    </row>
    <row r="912" spans="1:7" s="10" customFormat="1" ht="15.75" customHeight="1" x14ac:dyDescent="0.25">
      <c r="A912" s="1"/>
      <c r="B912" s="3"/>
      <c r="C912" s="40" t="s">
        <v>1589</v>
      </c>
      <c r="D912" s="45">
        <v>1764</v>
      </c>
      <c r="E912" s="51"/>
      <c r="F912" s="2"/>
      <c r="G912" s="71"/>
    </row>
    <row r="913" spans="1:7" s="10" customFormat="1" ht="15.75" customHeight="1" x14ac:dyDescent="0.25">
      <c r="A913" s="1"/>
      <c r="B913" s="3"/>
      <c r="C913" s="40" t="s">
        <v>1265</v>
      </c>
      <c r="D913" s="45">
        <v>4222</v>
      </c>
      <c r="E913" s="51"/>
      <c r="F913" s="2"/>
      <c r="G913" s="71"/>
    </row>
    <row r="914" spans="1:7" s="10" customFormat="1" ht="15.75" customHeight="1" x14ac:dyDescent="0.25">
      <c r="A914" s="1"/>
      <c r="B914" s="3"/>
      <c r="C914" s="40" t="s">
        <v>1590</v>
      </c>
      <c r="D914" s="45">
        <v>1604</v>
      </c>
      <c r="E914" s="51"/>
      <c r="F914" s="2"/>
      <c r="G914" s="71"/>
    </row>
    <row r="915" spans="1:7" s="10" customFormat="1" ht="15.75" customHeight="1" x14ac:dyDescent="0.25">
      <c r="A915" s="1"/>
      <c r="B915" s="3"/>
      <c r="C915" s="40" t="s">
        <v>1591</v>
      </c>
      <c r="D915" s="45">
        <v>1198</v>
      </c>
      <c r="E915" s="51"/>
      <c r="F915" s="2"/>
      <c r="G915" s="71"/>
    </row>
    <row r="916" spans="1:7" s="10" customFormat="1" ht="15.75" customHeight="1" x14ac:dyDescent="0.25">
      <c r="A916" s="1"/>
      <c r="B916" s="3"/>
      <c r="C916" s="40" t="s">
        <v>1592</v>
      </c>
      <c r="D916" s="45">
        <v>2732</v>
      </c>
      <c r="E916" s="51"/>
      <c r="F916" s="2"/>
      <c r="G916" s="71"/>
    </row>
    <row r="917" spans="1:7" s="10" customFormat="1" ht="15.75" customHeight="1" x14ac:dyDescent="0.25">
      <c r="A917" s="1"/>
      <c r="B917" s="3"/>
      <c r="C917" s="40" t="s">
        <v>175</v>
      </c>
      <c r="D917" s="45">
        <v>1629</v>
      </c>
      <c r="E917" s="51"/>
      <c r="F917" s="2"/>
      <c r="G917" s="71"/>
    </row>
    <row r="918" spans="1:7" s="10" customFormat="1" ht="15.75" customHeight="1" x14ac:dyDescent="0.25">
      <c r="A918" s="1"/>
      <c r="B918" s="3"/>
      <c r="C918" s="40" t="s">
        <v>832</v>
      </c>
      <c r="D918" s="45">
        <v>1367</v>
      </c>
      <c r="E918" s="51"/>
      <c r="F918" s="2"/>
      <c r="G918" s="71"/>
    </row>
    <row r="919" spans="1:7" s="10" customFormat="1" ht="15.75" customHeight="1" x14ac:dyDescent="0.25">
      <c r="A919" s="1"/>
      <c r="B919" s="3"/>
      <c r="C919" s="40" t="s">
        <v>663</v>
      </c>
      <c r="D919" s="45">
        <v>2369</v>
      </c>
      <c r="E919" s="51"/>
      <c r="F919" s="2"/>
      <c r="G919" s="71"/>
    </row>
    <row r="920" spans="1:7" s="10" customFormat="1" ht="15.75" customHeight="1" x14ac:dyDescent="0.25">
      <c r="A920" s="1"/>
      <c r="B920" s="3"/>
      <c r="C920" s="40" t="s">
        <v>150</v>
      </c>
      <c r="D920" s="45">
        <v>2561</v>
      </c>
      <c r="E920" s="51"/>
      <c r="F920" s="2"/>
      <c r="G920" s="71"/>
    </row>
    <row r="921" spans="1:7" s="10" customFormat="1" ht="15.75" customHeight="1" x14ac:dyDescent="0.25">
      <c r="A921" s="1"/>
      <c r="B921" s="3"/>
      <c r="C921" s="40" t="s">
        <v>1593</v>
      </c>
      <c r="D921" s="45">
        <v>4340</v>
      </c>
      <c r="E921" s="51"/>
      <c r="F921" s="2"/>
      <c r="G921" s="71"/>
    </row>
    <row r="922" spans="1:7" s="10" customFormat="1" ht="15.75" customHeight="1" x14ac:dyDescent="0.25">
      <c r="A922" s="1"/>
      <c r="B922" s="3"/>
      <c r="C922" s="40" t="s">
        <v>2</v>
      </c>
      <c r="D922" s="45">
        <v>5739</v>
      </c>
      <c r="E922" s="51"/>
      <c r="F922" s="2"/>
      <c r="G922" s="71"/>
    </row>
    <row r="923" spans="1:7" s="10" customFormat="1" ht="15.75" customHeight="1" x14ac:dyDescent="0.25">
      <c r="A923" s="1"/>
      <c r="B923" s="3"/>
      <c r="C923" s="40" t="s">
        <v>1594</v>
      </c>
      <c r="D923" s="45">
        <v>3272</v>
      </c>
      <c r="E923" s="51"/>
      <c r="F923" s="2"/>
      <c r="G923" s="71"/>
    </row>
    <row r="924" spans="1:7" s="10" customFormat="1" ht="15.75" customHeight="1" x14ac:dyDescent="0.25">
      <c r="A924" s="1"/>
      <c r="B924" s="3"/>
      <c r="C924" s="40" t="s">
        <v>1595</v>
      </c>
      <c r="D924" s="45">
        <v>1451</v>
      </c>
      <c r="E924" s="51"/>
      <c r="F924" s="2"/>
      <c r="G924" s="71"/>
    </row>
    <row r="925" spans="1:7" s="10" customFormat="1" ht="15.75" customHeight="1" x14ac:dyDescent="0.25">
      <c r="A925" s="1"/>
      <c r="B925" s="3"/>
      <c r="C925" s="40" t="s">
        <v>4</v>
      </c>
      <c r="D925" s="45">
        <v>2391</v>
      </c>
      <c r="E925" s="51"/>
      <c r="F925" s="2"/>
      <c r="G925" s="71"/>
    </row>
    <row r="926" spans="1:7" s="10" customFormat="1" ht="15.75" customHeight="1" x14ac:dyDescent="0.25">
      <c r="A926" s="1"/>
      <c r="B926" s="3"/>
      <c r="C926" s="40" t="s">
        <v>1596</v>
      </c>
      <c r="D926" s="45">
        <v>2913</v>
      </c>
      <c r="E926" s="51"/>
      <c r="F926" s="2"/>
      <c r="G926" s="71"/>
    </row>
    <row r="927" spans="1:7" s="10" customFormat="1" ht="15.75" customHeight="1" x14ac:dyDescent="0.25">
      <c r="A927" s="1"/>
      <c r="B927" s="3"/>
      <c r="C927" s="40" t="s">
        <v>1597</v>
      </c>
      <c r="D927" s="45">
        <v>3346</v>
      </c>
      <c r="E927" s="51"/>
      <c r="F927" s="2"/>
      <c r="G927" s="71"/>
    </row>
    <row r="928" spans="1:7" s="10" customFormat="1" ht="15.75" customHeight="1" x14ac:dyDescent="0.25">
      <c r="A928" s="1"/>
      <c r="B928" s="3"/>
      <c r="C928" s="40" t="s">
        <v>1598</v>
      </c>
      <c r="D928" s="45">
        <v>1360</v>
      </c>
      <c r="E928" s="51"/>
      <c r="F928" s="2"/>
      <c r="G928" s="71"/>
    </row>
    <row r="929" spans="1:7" s="10" customFormat="1" ht="15.75" customHeight="1" x14ac:dyDescent="0.25">
      <c r="A929" s="1"/>
      <c r="B929" s="3"/>
      <c r="C929" s="40" t="s">
        <v>216</v>
      </c>
      <c r="D929" s="45">
        <v>2208</v>
      </c>
      <c r="E929" s="51"/>
      <c r="F929" s="2"/>
      <c r="G929" s="71"/>
    </row>
    <row r="930" spans="1:7" s="10" customFormat="1" ht="15.75" customHeight="1" x14ac:dyDescent="0.25">
      <c r="A930" s="1"/>
      <c r="B930" s="3"/>
      <c r="C930" s="40"/>
      <c r="D930" s="46"/>
      <c r="E930" s="51"/>
      <c r="F930" s="2"/>
      <c r="G930" s="71"/>
    </row>
    <row r="931" spans="1:7" s="10" customFormat="1" ht="15.75" customHeight="1" x14ac:dyDescent="0.25">
      <c r="A931" s="1"/>
      <c r="B931" s="3"/>
      <c r="C931" s="39" t="s">
        <v>1599</v>
      </c>
      <c r="D931" s="57">
        <f>SUM(D932:D941)</f>
        <v>34471</v>
      </c>
      <c r="E931" s="51"/>
      <c r="F931" s="2"/>
      <c r="G931" s="71"/>
    </row>
    <row r="932" spans="1:7" s="10" customFormat="1" ht="15.75" customHeight="1" x14ac:dyDescent="0.25">
      <c r="A932" s="1"/>
      <c r="B932" s="3"/>
      <c r="C932" s="40" t="s">
        <v>1513</v>
      </c>
      <c r="D932" s="45">
        <v>3957</v>
      </c>
      <c r="E932" s="51"/>
      <c r="F932" s="2"/>
      <c r="G932" s="71"/>
    </row>
    <row r="933" spans="1:7" s="10" customFormat="1" ht="15.75" customHeight="1" x14ac:dyDescent="0.25">
      <c r="A933" s="1"/>
      <c r="B933" s="3"/>
      <c r="C933" s="40" t="s">
        <v>1600</v>
      </c>
      <c r="D933" s="45">
        <v>4318</v>
      </c>
      <c r="E933" s="51"/>
      <c r="F933" s="2"/>
      <c r="G933" s="71"/>
    </row>
    <row r="934" spans="1:7" s="10" customFormat="1" ht="15.75" customHeight="1" x14ac:dyDescent="0.25">
      <c r="A934" s="1"/>
      <c r="B934" s="3"/>
      <c r="C934" s="40" t="s">
        <v>1601</v>
      </c>
      <c r="D934" s="45">
        <v>2124</v>
      </c>
      <c r="E934" s="51"/>
      <c r="F934" s="2"/>
      <c r="G934" s="71"/>
    </row>
    <row r="935" spans="1:7" s="10" customFormat="1" ht="15.75" customHeight="1" x14ac:dyDescent="0.25">
      <c r="A935" s="1"/>
      <c r="B935" s="3"/>
      <c r="C935" s="40" t="s">
        <v>235</v>
      </c>
      <c r="D935" s="45">
        <v>2532</v>
      </c>
      <c r="E935" s="51"/>
      <c r="F935" s="2"/>
      <c r="G935" s="71"/>
    </row>
    <row r="936" spans="1:7" s="10" customFormat="1" ht="15.75" customHeight="1" x14ac:dyDescent="0.25">
      <c r="A936" s="1"/>
      <c r="B936" s="3"/>
      <c r="C936" s="40" t="s">
        <v>1602</v>
      </c>
      <c r="D936" s="45">
        <v>5771</v>
      </c>
      <c r="E936" s="51"/>
      <c r="F936" s="2"/>
      <c r="G936" s="71"/>
    </row>
    <row r="937" spans="1:7" s="10" customFormat="1" ht="15.75" customHeight="1" x14ac:dyDescent="0.25">
      <c r="A937" s="1"/>
      <c r="B937" s="3"/>
      <c r="C937" s="40" t="s">
        <v>1603</v>
      </c>
      <c r="D937" s="45">
        <v>4692</v>
      </c>
      <c r="E937" s="51"/>
      <c r="F937" s="2"/>
      <c r="G937" s="71"/>
    </row>
    <row r="938" spans="1:7" s="10" customFormat="1" ht="15.75" customHeight="1" x14ac:dyDescent="0.25">
      <c r="A938" s="1"/>
      <c r="B938" s="3"/>
      <c r="C938" s="40" t="s">
        <v>2</v>
      </c>
      <c r="D938" s="45">
        <v>2487</v>
      </c>
      <c r="E938" s="51"/>
      <c r="F938" s="2"/>
      <c r="G938" s="71"/>
    </row>
    <row r="939" spans="1:7" s="10" customFormat="1" ht="15.75" customHeight="1" x14ac:dyDescent="0.25">
      <c r="A939" s="1"/>
      <c r="B939" s="3"/>
      <c r="C939" s="40" t="s">
        <v>1604</v>
      </c>
      <c r="D939" s="45">
        <v>2006</v>
      </c>
      <c r="E939" s="51"/>
      <c r="F939" s="2"/>
      <c r="G939" s="71"/>
    </row>
    <row r="940" spans="1:7" s="10" customFormat="1" ht="15.75" customHeight="1" x14ac:dyDescent="0.25">
      <c r="A940" s="1"/>
      <c r="B940" s="3"/>
      <c r="C940" s="40" t="s">
        <v>1605</v>
      </c>
      <c r="D940" s="45">
        <v>3423</v>
      </c>
      <c r="E940" s="51"/>
      <c r="F940" s="2"/>
      <c r="G940" s="71"/>
    </row>
    <row r="941" spans="1:7" s="10" customFormat="1" ht="15.75" customHeight="1" x14ac:dyDescent="0.25">
      <c r="A941" s="1"/>
      <c r="B941" s="3"/>
      <c r="C941" s="40" t="s">
        <v>33</v>
      </c>
      <c r="D941" s="45">
        <v>3161</v>
      </c>
      <c r="E941" s="51"/>
      <c r="F941" s="2"/>
      <c r="G941" s="71"/>
    </row>
    <row r="942" spans="1:7" s="10" customFormat="1" ht="15.75" customHeight="1" x14ac:dyDescent="0.25">
      <c r="A942" s="1"/>
      <c r="B942" s="3"/>
      <c r="C942" s="40"/>
      <c r="D942" s="46"/>
      <c r="E942" s="51"/>
      <c r="F942" s="2"/>
      <c r="G942" s="71"/>
    </row>
    <row r="943" spans="1:7" s="10" customFormat="1" ht="15.75" customHeight="1" x14ac:dyDescent="0.25">
      <c r="A943" s="1"/>
      <c r="B943" s="3"/>
      <c r="C943" s="39" t="s">
        <v>1606</v>
      </c>
      <c r="D943" s="57">
        <f>SUM(D944:D953)</f>
        <v>18527</v>
      </c>
      <c r="E943" s="51"/>
      <c r="F943" s="2"/>
      <c r="G943" s="71"/>
    </row>
    <row r="944" spans="1:7" s="10" customFormat="1" ht="15.75" customHeight="1" x14ac:dyDescent="0.25">
      <c r="A944" s="1"/>
      <c r="B944" s="3"/>
      <c r="C944" s="40" t="s">
        <v>1607</v>
      </c>
      <c r="D944" s="45">
        <v>2296</v>
      </c>
      <c r="E944" s="51"/>
      <c r="F944" s="2"/>
      <c r="G944" s="71"/>
    </row>
    <row r="945" spans="1:7" s="10" customFormat="1" ht="15.75" customHeight="1" x14ac:dyDescent="0.25">
      <c r="A945" s="1"/>
      <c r="B945" s="3"/>
      <c r="C945" s="40" t="s">
        <v>201</v>
      </c>
      <c r="D945" s="45">
        <v>1310</v>
      </c>
      <c r="E945" s="51"/>
      <c r="F945" s="2"/>
      <c r="G945" s="71"/>
    </row>
    <row r="946" spans="1:7" s="10" customFormat="1" ht="15.75" customHeight="1" x14ac:dyDescent="0.25">
      <c r="A946" s="1"/>
      <c r="B946" s="3"/>
      <c r="C946" s="40" t="s">
        <v>1608</v>
      </c>
      <c r="D946" s="45">
        <v>1151</v>
      </c>
      <c r="E946" s="51"/>
      <c r="F946" s="2"/>
      <c r="G946" s="71"/>
    </row>
    <row r="947" spans="1:7" s="10" customFormat="1" ht="15.75" customHeight="1" x14ac:dyDescent="0.25">
      <c r="A947" s="1"/>
      <c r="B947" s="3"/>
      <c r="C947" s="40" t="s">
        <v>1609</v>
      </c>
      <c r="D947" s="45">
        <v>2330</v>
      </c>
      <c r="E947" s="51"/>
      <c r="F947" s="2"/>
      <c r="G947" s="71"/>
    </row>
    <row r="948" spans="1:7" s="10" customFormat="1" ht="15.75" customHeight="1" x14ac:dyDescent="0.25">
      <c r="A948" s="1"/>
      <c r="B948" s="3"/>
      <c r="C948" s="40" t="s">
        <v>1610</v>
      </c>
      <c r="D948" s="45">
        <v>1337</v>
      </c>
      <c r="E948" s="51"/>
      <c r="F948" s="2"/>
      <c r="G948" s="71"/>
    </row>
    <row r="949" spans="1:7" s="10" customFormat="1" ht="15.75" customHeight="1" x14ac:dyDescent="0.25">
      <c r="A949" s="1"/>
      <c r="B949" s="3"/>
      <c r="C949" s="40" t="s">
        <v>663</v>
      </c>
      <c r="D949" s="45">
        <v>2190</v>
      </c>
      <c r="E949" s="51"/>
      <c r="F949" s="2"/>
      <c r="G949" s="71"/>
    </row>
    <row r="950" spans="1:7" s="10" customFormat="1" ht="15.75" customHeight="1" x14ac:dyDescent="0.25">
      <c r="A950" s="1"/>
      <c r="B950" s="3"/>
      <c r="C950" s="40" t="s">
        <v>207</v>
      </c>
      <c r="D950" s="45">
        <v>1603</v>
      </c>
      <c r="E950" s="51"/>
      <c r="F950" s="2"/>
      <c r="G950" s="71"/>
    </row>
    <row r="951" spans="1:7" s="10" customFormat="1" ht="15.75" customHeight="1" x14ac:dyDescent="0.25">
      <c r="A951" s="1"/>
      <c r="B951" s="3"/>
      <c r="C951" s="40" t="s">
        <v>2</v>
      </c>
      <c r="D951" s="45">
        <v>2902</v>
      </c>
      <c r="E951" s="51"/>
      <c r="F951" s="2"/>
      <c r="G951" s="71"/>
    </row>
    <row r="952" spans="1:7" s="10" customFormat="1" ht="15.75" customHeight="1" x14ac:dyDescent="0.25">
      <c r="A952" s="1"/>
      <c r="B952" s="3"/>
      <c r="C952" s="40" t="s">
        <v>33</v>
      </c>
      <c r="D952" s="45">
        <v>2533</v>
      </c>
      <c r="E952" s="51"/>
      <c r="F952" s="2"/>
      <c r="G952" s="71"/>
    </row>
    <row r="953" spans="1:7" s="10" customFormat="1" ht="15.75" customHeight="1" x14ac:dyDescent="0.25">
      <c r="A953" s="1"/>
      <c r="B953" s="3"/>
      <c r="C953" s="40" t="s">
        <v>1611</v>
      </c>
      <c r="D953" s="45">
        <v>875</v>
      </c>
      <c r="E953" s="51"/>
      <c r="F953" s="2"/>
      <c r="G953" s="71"/>
    </row>
    <row r="954" spans="1:7" s="10" customFormat="1" ht="15.75" customHeight="1" x14ac:dyDescent="0.25">
      <c r="A954" s="1"/>
      <c r="B954" s="3"/>
      <c r="C954" s="40"/>
      <c r="D954" s="46"/>
      <c r="E954" s="51"/>
      <c r="F954" s="2"/>
      <c r="G954" s="71"/>
    </row>
    <row r="955" spans="1:7" s="10" customFormat="1" ht="15.75" customHeight="1" x14ac:dyDescent="0.25">
      <c r="A955" s="1"/>
      <c r="B955" s="3"/>
      <c r="C955" s="39" t="s">
        <v>1612</v>
      </c>
      <c r="D955" s="57">
        <f>SUM(D956:D980)</f>
        <v>53424</v>
      </c>
      <c r="E955" s="51"/>
      <c r="F955" s="2"/>
      <c r="G955" s="71"/>
    </row>
    <row r="956" spans="1:7" s="10" customFormat="1" ht="15.75" customHeight="1" x14ac:dyDescent="0.25">
      <c r="A956" s="1"/>
      <c r="B956" s="3"/>
      <c r="C956" s="40" t="s">
        <v>1613</v>
      </c>
      <c r="D956" s="45">
        <v>2208</v>
      </c>
      <c r="E956" s="51"/>
      <c r="F956" s="2"/>
      <c r="G956" s="71"/>
    </row>
    <row r="957" spans="1:7" s="10" customFormat="1" ht="15.75" customHeight="1" x14ac:dyDescent="0.25">
      <c r="A957" s="1"/>
      <c r="B957" s="3"/>
      <c r="C957" s="40" t="s">
        <v>1614</v>
      </c>
      <c r="D957" s="45">
        <v>1375</v>
      </c>
      <c r="E957" s="51"/>
      <c r="F957" s="2"/>
      <c r="G957" s="71"/>
    </row>
    <row r="958" spans="1:7" s="10" customFormat="1" ht="15.75" customHeight="1" x14ac:dyDescent="0.25">
      <c r="A958" s="1"/>
      <c r="B958" s="3"/>
      <c r="C958" s="40" t="s">
        <v>42</v>
      </c>
      <c r="D958" s="45">
        <v>2805</v>
      </c>
      <c r="E958" s="51"/>
      <c r="F958" s="2"/>
      <c r="G958" s="71"/>
    </row>
    <row r="959" spans="1:7" s="10" customFormat="1" ht="15.75" customHeight="1" x14ac:dyDescent="0.25">
      <c r="A959" s="1"/>
      <c r="B959" s="3"/>
      <c r="C959" s="40" t="s">
        <v>1615</v>
      </c>
      <c r="D959" s="45">
        <v>5646</v>
      </c>
      <c r="E959" s="51"/>
      <c r="F959" s="2"/>
      <c r="G959" s="71"/>
    </row>
    <row r="960" spans="1:7" s="10" customFormat="1" ht="15.75" customHeight="1" x14ac:dyDescent="0.25">
      <c r="A960" s="1"/>
      <c r="B960" s="3"/>
      <c r="C960" s="40" t="s">
        <v>1616</v>
      </c>
      <c r="D960" s="45">
        <v>1980</v>
      </c>
      <c r="E960" s="51"/>
      <c r="F960" s="2"/>
      <c r="G960" s="71"/>
    </row>
    <row r="961" spans="1:7" s="10" customFormat="1" ht="15.75" customHeight="1" x14ac:dyDescent="0.25">
      <c r="A961" s="1"/>
      <c r="B961" s="3"/>
      <c r="C961" s="40" t="s">
        <v>229</v>
      </c>
      <c r="D961" s="45">
        <v>1195</v>
      </c>
      <c r="E961" s="51"/>
      <c r="F961" s="2"/>
      <c r="G961" s="71"/>
    </row>
    <row r="962" spans="1:7" s="10" customFormat="1" ht="15.75" customHeight="1" x14ac:dyDescent="0.25">
      <c r="A962" s="1"/>
      <c r="B962" s="3"/>
      <c r="C962" s="40" t="s">
        <v>160</v>
      </c>
      <c r="D962" s="45">
        <v>1531</v>
      </c>
      <c r="E962" s="51"/>
      <c r="F962" s="2"/>
      <c r="G962" s="71"/>
    </row>
    <row r="963" spans="1:7" s="10" customFormat="1" ht="15.75" customHeight="1" x14ac:dyDescent="0.25">
      <c r="A963" s="1"/>
      <c r="B963" s="3"/>
      <c r="C963" s="40" t="s">
        <v>100</v>
      </c>
      <c r="D963" s="45">
        <v>1021</v>
      </c>
      <c r="E963" s="51"/>
      <c r="F963" s="2"/>
      <c r="G963" s="71"/>
    </row>
    <row r="964" spans="1:7" s="10" customFormat="1" ht="15.75" customHeight="1" x14ac:dyDescent="0.25">
      <c r="A964" s="1"/>
      <c r="B964" s="3"/>
      <c r="C964" s="40" t="s">
        <v>1617</v>
      </c>
      <c r="D964" s="45">
        <v>1037</v>
      </c>
      <c r="E964" s="51"/>
      <c r="F964" s="2"/>
      <c r="G964" s="71"/>
    </row>
    <row r="965" spans="1:7" s="10" customFormat="1" ht="15.75" customHeight="1" x14ac:dyDescent="0.25">
      <c r="A965" s="1"/>
      <c r="B965" s="3"/>
      <c r="C965" s="40" t="s">
        <v>1618</v>
      </c>
      <c r="D965" s="45">
        <v>2513</v>
      </c>
      <c r="E965" s="51"/>
      <c r="F965" s="2"/>
      <c r="G965" s="71"/>
    </row>
    <row r="966" spans="1:7" s="10" customFormat="1" ht="15.75" customHeight="1" x14ac:dyDescent="0.25">
      <c r="A966" s="1"/>
      <c r="B966" s="3"/>
      <c r="C966" s="40" t="s">
        <v>1619</v>
      </c>
      <c r="D966" s="45">
        <v>729</v>
      </c>
      <c r="E966" s="51"/>
      <c r="F966" s="2"/>
      <c r="G966" s="71"/>
    </row>
    <row r="967" spans="1:7" s="10" customFormat="1" ht="15.75" customHeight="1" x14ac:dyDescent="0.25">
      <c r="A967" s="1"/>
      <c r="B967" s="3"/>
      <c r="C967" s="40" t="s">
        <v>1620</v>
      </c>
      <c r="D967" s="45">
        <v>841</v>
      </c>
      <c r="E967" s="51"/>
      <c r="F967" s="2"/>
      <c r="G967" s="71"/>
    </row>
    <row r="968" spans="1:7" s="10" customFormat="1" ht="15.75" customHeight="1" x14ac:dyDescent="0.25">
      <c r="A968" s="1"/>
      <c r="B968" s="3"/>
      <c r="C968" s="40" t="s">
        <v>1621</v>
      </c>
      <c r="D968" s="45">
        <v>1109</v>
      </c>
      <c r="E968" s="51"/>
      <c r="F968" s="2"/>
      <c r="G968" s="71"/>
    </row>
    <row r="969" spans="1:7" s="10" customFormat="1" ht="15.75" customHeight="1" x14ac:dyDescent="0.25">
      <c r="A969" s="1"/>
      <c r="B969" s="3"/>
      <c r="C969" s="40" t="s">
        <v>1084</v>
      </c>
      <c r="D969" s="45">
        <v>1889</v>
      </c>
      <c r="E969" s="51"/>
      <c r="F969" s="2"/>
      <c r="G969" s="71"/>
    </row>
    <row r="970" spans="1:7" s="10" customFormat="1" ht="15.75" customHeight="1" x14ac:dyDescent="0.25">
      <c r="A970" s="1"/>
      <c r="B970" s="3"/>
      <c r="C970" s="40" t="s">
        <v>1622</v>
      </c>
      <c r="D970" s="45">
        <v>1191</v>
      </c>
      <c r="E970" s="51"/>
      <c r="F970" s="2"/>
      <c r="G970" s="71"/>
    </row>
    <row r="971" spans="1:7" s="10" customFormat="1" ht="15.75" customHeight="1" x14ac:dyDescent="0.25">
      <c r="A971" s="1"/>
      <c r="B971" s="3"/>
      <c r="C971" s="40" t="s">
        <v>1623</v>
      </c>
      <c r="D971" s="45">
        <v>1931</v>
      </c>
      <c r="E971" s="51"/>
      <c r="F971" s="2"/>
      <c r="G971" s="71"/>
    </row>
    <row r="972" spans="1:7" s="10" customFormat="1" ht="15.75" customHeight="1" x14ac:dyDescent="0.25">
      <c r="A972" s="1"/>
      <c r="B972" s="3"/>
      <c r="C972" s="40" t="s">
        <v>1624</v>
      </c>
      <c r="D972" s="45">
        <v>1191</v>
      </c>
      <c r="E972" s="51"/>
      <c r="F972" s="2"/>
      <c r="G972" s="71"/>
    </row>
    <row r="973" spans="1:7" s="10" customFormat="1" ht="15.75" customHeight="1" x14ac:dyDescent="0.25">
      <c r="A973" s="1"/>
      <c r="B973" s="3"/>
      <c r="C973" s="40" t="s">
        <v>1625</v>
      </c>
      <c r="D973" s="45">
        <v>1928</v>
      </c>
      <c r="E973" s="51"/>
      <c r="F973" s="2"/>
      <c r="G973" s="71"/>
    </row>
    <row r="974" spans="1:7" s="10" customFormat="1" ht="15.75" customHeight="1" x14ac:dyDescent="0.25">
      <c r="A974" s="1"/>
      <c r="B974" s="3"/>
      <c r="C974" s="40" t="s">
        <v>1626</v>
      </c>
      <c r="D974" s="45">
        <v>2369</v>
      </c>
      <c r="E974" s="51"/>
      <c r="F974" s="2"/>
      <c r="G974" s="71"/>
    </row>
    <row r="975" spans="1:7" s="10" customFormat="1" ht="15.75" customHeight="1" x14ac:dyDescent="0.25">
      <c r="A975" s="1"/>
      <c r="B975" s="3"/>
      <c r="C975" s="40" t="s">
        <v>1627</v>
      </c>
      <c r="D975" s="45">
        <v>917</v>
      </c>
      <c r="E975" s="51"/>
      <c r="F975" s="2"/>
      <c r="G975" s="71"/>
    </row>
    <row r="976" spans="1:7" s="10" customFormat="1" ht="15.75" customHeight="1" x14ac:dyDescent="0.25">
      <c r="A976" s="1"/>
      <c r="B976" s="3"/>
      <c r="C976" s="40" t="s">
        <v>2</v>
      </c>
      <c r="D976" s="45">
        <v>7257</v>
      </c>
      <c r="E976" s="51"/>
      <c r="F976" s="2"/>
      <c r="G976" s="71"/>
    </row>
    <row r="977" spans="1:7" s="10" customFormat="1" ht="15.75" customHeight="1" x14ac:dyDescent="0.25">
      <c r="A977" s="1"/>
      <c r="B977" s="3"/>
      <c r="C977" s="40" t="s">
        <v>32</v>
      </c>
      <c r="D977" s="45">
        <v>2912</v>
      </c>
      <c r="E977" s="51"/>
      <c r="F977" s="2"/>
      <c r="G977" s="71"/>
    </row>
    <row r="978" spans="1:7" s="10" customFormat="1" ht="15.75" customHeight="1" x14ac:dyDescent="0.25">
      <c r="A978" s="1"/>
      <c r="B978" s="3"/>
      <c r="C978" s="40" t="s">
        <v>1628</v>
      </c>
      <c r="D978" s="45">
        <v>2020</v>
      </c>
      <c r="E978" s="51"/>
      <c r="F978" s="2"/>
      <c r="G978" s="71"/>
    </row>
    <row r="979" spans="1:7" s="10" customFormat="1" ht="15.75" customHeight="1" x14ac:dyDescent="0.25">
      <c r="A979" s="1"/>
      <c r="B979" s="3"/>
      <c r="C979" s="40" t="s">
        <v>1629</v>
      </c>
      <c r="D979" s="45">
        <v>3388</v>
      </c>
      <c r="E979" s="51"/>
      <c r="F979" s="2"/>
      <c r="G979" s="71"/>
    </row>
    <row r="980" spans="1:7" s="10" customFormat="1" ht="15.75" customHeight="1" x14ac:dyDescent="0.25">
      <c r="A980" s="1"/>
      <c r="B980" s="3"/>
      <c r="C980" s="40" t="s">
        <v>104</v>
      </c>
      <c r="D980" s="45">
        <v>2441</v>
      </c>
      <c r="E980" s="51"/>
      <c r="F980" s="2"/>
      <c r="G980" s="71"/>
    </row>
    <row r="981" spans="1:7" s="10" customFormat="1" ht="15.75" customHeight="1" x14ac:dyDescent="0.25">
      <c r="A981" s="1"/>
      <c r="B981" s="3"/>
      <c r="C981" s="40"/>
      <c r="D981" s="46"/>
      <c r="E981" s="51"/>
      <c r="F981" s="2"/>
      <c r="G981" s="71"/>
    </row>
    <row r="982" spans="1:7" s="10" customFormat="1" ht="15.75" customHeight="1" x14ac:dyDescent="0.25">
      <c r="A982" s="1"/>
      <c r="B982" s="3"/>
      <c r="C982" s="39" t="s">
        <v>1630</v>
      </c>
      <c r="D982" s="57">
        <f>SUM(D983:D1000)</f>
        <v>39447</v>
      </c>
      <c r="E982" s="51"/>
      <c r="F982" s="2"/>
      <c r="G982" s="71"/>
    </row>
    <row r="983" spans="1:7" s="10" customFormat="1" ht="15.75" customHeight="1" x14ac:dyDescent="0.25">
      <c r="A983" s="1"/>
      <c r="B983" s="3"/>
      <c r="C983" s="40" t="s">
        <v>1631</v>
      </c>
      <c r="D983" s="45">
        <v>967</v>
      </c>
      <c r="E983" s="51"/>
      <c r="F983" s="2"/>
      <c r="G983" s="71"/>
    </row>
    <row r="984" spans="1:7" s="10" customFormat="1" ht="15.75" customHeight="1" x14ac:dyDescent="0.25">
      <c r="A984" s="1"/>
      <c r="B984" s="3"/>
      <c r="C984" s="40" t="s">
        <v>1181</v>
      </c>
      <c r="D984" s="45">
        <v>916</v>
      </c>
      <c r="E984" s="51"/>
      <c r="F984" s="2"/>
      <c r="G984" s="71"/>
    </row>
    <row r="985" spans="1:7" s="10" customFormat="1" ht="15.75" customHeight="1" x14ac:dyDescent="0.25">
      <c r="A985" s="1"/>
      <c r="B985" s="3"/>
      <c r="C985" s="40" t="s">
        <v>1632</v>
      </c>
      <c r="D985" s="45">
        <v>2838</v>
      </c>
      <c r="E985" s="51"/>
      <c r="F985" s="2"/>
      <c r="G985" s="71"/>
    </row>
    <row r="986" spans="1:7" s="10" customFormat="1" ht="15.75" customHeight="1" x14ac:dyDescent="0.25">
      <c r="A986" s="1"/>
      <c r="B986" s="3"/>
      <c r="C986" s="40" t="s">
        <v>1633</v>
      </c>
      <c r="D986" s="45">
        <v>2820</v>
      </c>
      <c r="E986" s="51"/>
      <c r="F986" s="2"/>
      <c r="G986" s="71"/>
    </row>
    <row r="987" spans="1:7" s="10" customFormat="1" ht="15.75" customHeight="1" x14ac:dyDescent="0.25">
      <c r="A987" s="1"/>
      <c r="B987" s="3"/>
      <c r="C987" s="40" t="s">
        <v>1634</v>
      </c>
      <c r="D987" s="45">
        <v>2995</v>
      </c>
      <c r="E987" s="51"/>
      <c r="F987" s="2"/>
      <c r="G987" s="71"/>
    </row>
    <row r="988" spans="1:7" s="10" customFormat="1" ht="15.75" customHeight="1" x14ac:dyDescent="0.25">
      <c r="A988" s="1"/>
      <c r="B988" s="3"/>
      <c r="C988" s="40" t="s">
        <v>126</v>
      </c>
      <c r="D988" s="45">
        <v>1104</v>
      </c>
      <c r="E988" s="51"/>
      <c r="F988" s="2"/>
      <c r="G988" s="71"/>
    </row>
    <row r="989" spans="1:7" s="10" customFormat="1" ht="15.75" customHeight="1" x14ac:dyDescent="0.25">
      <c r="A989" s="1"/>
      <c r="B989" s="3"/>
      <c r="C989" s="40" t="s">
        <v>1635</v>
      </c>
      <c r="D989" s="45">
        <v>3286</v>
      </c>
      <c r="E989" s="51"/>
      <c r="F989" s="2"/>
      <c r="G989" s="71"/>
    </row>
    <row r="990" spans="1:7" s="10" customFormat="1" ht="15.75" customHeight="1" x14ac:dyDescent="0.25">
      <c r="A990" s="1"/>
      <c r="B990" s="3"/>
      <c r="C990" s="40" t="s">
        <v>1188</v>
      </c>
      <c r="D990" s="45">
        <v>1226</v>
      </c>
      <c r="E990" s="51"/>
      <c r="F990" s="2"/>
      <c r="G990" s="71"/>
    </row>
    <row r="991" spans="1:7" s="10" customFormat="1" ht="15.75" customHeight="1" x14ac:dyDescent="0.25">
      <c r="A991" s="1"/>
      <c r="B991" s="3"/>
      <c r="C991" s="40" t="s">
        <v>1636</v>
      </c>
      <c r="D991" s="45">
        <v>3899</v>
      </c>
      <c r="E991" s="51"/>
      <c r="F991" s="2"/>
      <c r="G991" s="71"/>
    </row>
    <row r="992" spans="1:7" s="10" customFormat="1" ht="15.75" customHeight="1" x14ac:dyDescent="0.25">
      <c r="A992" s="1"/>
      <c r="B992" s="3"/>
      <c r="C992" s="40" t="s">
        <v>1319</v>
      </c>
      <c r="D992" s="45">
        <v>2814</v>
      </c>
      <c r="E992" s="51"/>
      <c r="F992" s="2"/>
      <c r="G992" s="71"/>
    </row>
    <row r="993" spans="1:7" s="10" customFormat="1" ht="15.75" customHeight="1" x14ac:dyDescent="0.25">
      <c r="A993" s="1"/>
      <c r="B993" s="3"/>
      <c r="C993" s="40" t="s">
        <v>1150</v>
      </c>
      <c r="D993" s="45">
        <v>2090</v>
      </c>
      <c r="E993" s="51"/>
      <c r="F993" s="2"/>
      <c r="G993" s="71"/>
    </row>
    <row r="994" spans="1:7" s="10" customFormat="1" ht="15.75" customHeight="1" x14ac:dyDescent="0.25">
      <c r="A994" s="1"/>
      <c r="B994" s="3"/>
      <c r="C994" s="40" t="s">
        <v>1637</v>
      </c>
      <c r="D994" s="45">
        <v>1105</v>
      </c>
      <c r="E994" s="51"/>
      <c r="F994" s="2"/>
      <c r="G994" s="71"/>
    </row>
    <row r="995" spans="1:7" s="10" customFormat="1" ht="15.75" customHeight="1" x14ac:dyDescent="0.25">
      <c r="A995" s="1"/>
      <c r="B995" s="3"/>
      <c r="C995" s="40" t="s">
        <v>221</v>
      </c>
      <c r="D995" s="45">
        <v>1305</v>
      </c>
      <c r="E995" s="51"/>
      <c r="F995" s="2"/>
      <c r="G995" s="71"/>
    </row>
    <row r="996" spans="1:7" s="10" customFormat="1" ht="15.75" customHeight="1" x14ac:dyDescent="0.25">
      <c r="A996" s="1"/>
      <c r="B996" s="3"/>
      <c r="C996" s="40" t="s">
        <v>1638</v>
      </c>
      <c r="D996" s="45">
        <v>1181</v>
      </c>
      <c r="E996" s="51"/>
      <c r="F996" s="2"/>
      <c r="G996" s="71"/>
    </row>
    <row r="997" spans="1:7" s="10" customFormat="1" ht="15.75" customHeight="1" x14ac:dyDescent="0.25">
      <c r="A997" s="1"/>
      <c r="B997" s="3"/>
      <c r="C997" s="40" t="s">
        <v>2</v>
      </c>
      <c r="D997" s="45">
        <v>3557</v>
      </c>
      <c r="E997" s="51"/>
      <c r="F997" s="2"/>
      <c r="G997" s="71"/>
    </row>
    <row r="998" spans="1:7" s="10" customFormat="1" ht="15.75" customHeight="1" x14ac:dyDescent="0.25">
      <c r="A998" s="1"/>
      <c r="B998" s="3"/>
      <c r="C998" s="40" t="s">
        <v>620</v>
      </c>
      <c r="D998" s="45">
        <v>4064</v>
      </c>
      <c r="E998" s="51"/>
      <c r="F998" s="2"/>
      <c r="G998" s="71"/>
    </row>
    <row r="999" spans="1:7" s="10" customFormat="1" ht="15.75" customHeight="1" x14ac:dyDescent="0.25">
      <c r="A999" s="1"/>
      <c r="B999" s="3"/>
      <c r="C999" s="40" t="s">
        <v>1639</v>
      </c>
      <c r="D999" s="45">
        <v>1323</v>
      </c>
      <c r="E999" s="51"/>
      <c r="F999" s="2"/>
      <c r="G999" s="71"/>
    </row>
    <row r="1000" spans="1:7" s="10" customFormat="1" ht="15.75" customHeight="1" x14ac:dyDescent="0.25">
      <c r="A1000" s="1"/>
      <c r="B1000" s="3"/>
      <c r="C1000" s="40" t="s">
        <v>1640</v>
      </c>
      <c r="D1000" s="45">
        <v>1957</v>
      </c>
      <c r="E1000" s="51"/>
      <c r="F1000" s="2"/>
      <c r="G1000" s="71"/>
    </row>
    <row r="1001" spans="1:7" s="10" customFormat="1" ht="15.75" customHeight="1" x14ac:dyDescent="0.25">
      <c r="A1001" s="1"/>
      <c r="B1001" s="3"/>
      <c r="C1001" s="40"/>
      <c r="D1001" s="46"/>
      <c r="E1001" s="51"/>
      <c r="F1001" s="2"/>
      <c r="G1001" s="71"/>
    </row>
    <row r="1002" spans="1:7" s="10" customFormat="1" ht="15.75" customHeight="1" x14ac:dyDescent="0.25">
      <c r="A1002" s="1"/>
      <c r="B1002" s="3"/>
      <c r="C1002" s="39" t="s">
        <v>1641</v>
      </c>
      <c r="D1002" s="57">
        <f>SUM(D1003:D1027)</f>
        <v>41432</v>
      </c>
      <c r="E1002" s="51"/>
      <c r="F1002" s="2"/>
      <c r="G1002" s="71"/>
    </row>
    <row r="1003" spans="1:7" s="10" customFormat="1" ht="15.75" customHeight="1" x14ac:dyDescent="0.25">
      <c r="A1003" s="1"/>
      <c r="B1003" s="3"/>
      <c r="C1003" s="40" t="s">
        <v>1642</v>
      </c>
      <c r="D1003" s="45">
        <v>767</v>
      </c>
      <c r="E1003" s="51"/>
      <c r="F1003" s="2"/>
      <c r="G1003" s="71"/>
    </row>
    <row r="1004" spans="1:7" s="10" customFormat="1" ht="15.75" customHeight="1" x14ac:dyDescent="0.25">
      <c r="A1004" s="1"/>
      <c r="B1004" s="3"/>
      <c r="C1004" s="40" t="s">
        <v>1643</v>
      </c>
      <c r="D1004" s="45">
        <v>3016</v>
      </c>
      <c r="E1004" s="51"/>
      <c r="F1004" s="2"/>
      <c r="G1004" s="71"/>
    </row>
    <row r="1005" spans="1:7" s="10" customFormat="1" ht="15.75" customHeight="1" x14ac:dyDescent="0.25">
      <c r="A1005" s="1"/>
      <c r="B1005" s="3"/>
      <c r="C1005" s="40" t="s">
        <v>1644</v>
      </c>
      <c r="D1005" s="45">
        <v>913</v>
      </c>
      <c r="E1005" s="51"/>
      <c r="F1005" s="2"/>
      <c r="G1005" s="71"/>
    </row>
    <row r="1006" spans="1:7" s="10" customFormat="1" ht="15.75" customHeight="1" x14ac:dyDescent="0.25">
      <c r="A1006" s="1"/>
      <c r="B1006" s="3"/>
      <c r="C1006" s="40" t="s">
        <v>1645</v>
      </c>
      <c r="D1006" s="45">
        <v>1900</v>
      </c>
      <c r="E1006" s="51"/>
      <c r="F1006" s="2"/>
      <c r="G1006" s="71"/>
    </row>
    <row r="1007" spans="1:7" s="10" customFormat="1" ht="15.75" customHeight="1" x14ac:dyDescent="0.25">
      <c r="A1007" s="1"/>
      <c r="B1007" s="3"/>
      <c r="C1007" s="40" t="s">
        <v>1646</v>
      </c>
      <c r="D1007" s="45">
        <v>1856</v>
      </c>
      <c r="E1007" s="51"/>
      <c r="F1007" s="2"/>
      <c r="G1007" s="71"/>
    </row>
    <row r="1008" spans="1:7" s="10" customFormat="1" ht="15.75" customHeight="1" x14ac:dyDescent="0.25">
      <c r="A1008" s="1"/>
      <c r="B1008" s="3"/>
      <c r="C1008" s="40" t="s">
        <v>1647</v>
      </c>
      <c r="D1008" s="45">
        <v>744</v>
      </c>
      <c r="E1008" s="51"/>
      <c r="F1008" s="2"/>
      <c r="G1008" s="71"/>
    </row>
    <row r="1009" spans="1:7" s="10" customFormat="1" ht="15.75" customHeight="1" x14ac:dyDescent="0.25">
      <c r="A1009" s="1"/>
      <c r="B1009" s="3"/>
      <c r="C1009" s="40" t="s">
        <v>1648</v>
      </c>
      <c r="D1009" s="45">
        <v>1606</v>
      </c>
      <c r="E1009" s="51"/>
      <c r="F1009" s="2"/>
      <c r="G1009" s="71"/>
    </row>
    <row r="1010" spans="1:7" s="10" customFormat="1" ht="15.75" customHeight="1" x14ac:dyDescent="0.25">
      <c r="A1010" s="1"/>
      <c r="B1010" s="3"/>
      <c r="C1010" s="40" t="s">
        <v>632</v>
      </c>
      <c r="D1010" s="45">
        <v>3818</v>
      </c>
      <c r="E1010" s="51"/>
      <c r="F1010" s="2"/>
      <c r="G1010" s="71"/>
    </row>
    <row r="1011" spans="1:7" s="10" customFormat="1" ht="15.75" customHeight="1" x14ac:dyDescent="0.25">
      <c r="A1011" s="1"/>
      <c r="B1011" s="3"/>
      <c r="C1011" s="40" t="s">
        <v>1649</v>
      </c>
      <c r="D1011" s="45">
        <v>2183</v>
      </c>
      <c r="E1011" s="51"/>
      <c r="F1011" s="2"/>
      <c r="G1011" s="71"/>
    </row>
    <row r="1012" spans="1:7" s="10" customFormat="1" ht="15.75" customHeight="1" x14ac:dyDescent="0.25">
      <c r="A1012" s="1"/>
      <c r="B1012" s="3"/>
      <c r="C1012" s="40" t="s">
        <v>920</v>
      </c>
      <c r="D1012" s="45">
        <v>2881</v>
      </c>
      <c r="E1012" s="51"/>
      <c r="F1012" s="2"/>
      <c r="G1012" s="71"/>
    </row>
    <row r="1013" spans="1:7" s="10" customFormat="1" ht="15.75" customHeight="1" x14ac:dyDescent="0.25">
      <c r="A1013" s="1"/>
      <c r="B1013" s="3"/>
      <c r="C1013" s="40" t="s">
        <v>1650</v>
      </c>
      <c r="D1013" s="45">
        <v>1354</v>
      </c>
      <c r="E1013" s="51"/>
      <c r="F1013" s="2"/>
      <c r="G1013" s="71"/>
    </row>
    <row r="1014" spans="1:7" s="10" customFormat="1" ht="15.75" customHeight="1" x14ac:dyDescent="0.25">
      <c r="A1014" s="1"/>
      <c r="B1014" s="3"/>
      <c r="C1014" s="40" t="s">
        <v>1651</v>
      </c>
      <c r="D1014" s="45">
        <v>1674</v>
      </c>
      <c r="E1014" s="51"/>
      <c r="F1014" s="2"/>
      <c r="G1014" s="71"/>
    </row>
    <row r="1015" spans="1:7" s="10" customFormat="1" ht="15.75" customHeight="1" x14ac:dyDescent="0.25">
      <c r="A1015" s="1"/>
      <c r="B1015" s="3"/>
      <c r="C1015" s="40" t="s">
        <v>1249</v>
      </c>
      <c r="D1015" s="45">
        <v>1543</v>
      </c>
      <c r="E1015" s="51"/>
      <c r="F1015" s="2"/>
      <c r="G1015" s="71"/>
    </row>
    <row r="1016" spans="1:7" s="10" customFormat="1" ht="15.75" customHeight="1" x14ac:dyDescent="0.25">
      <c r="A1016" s="1"/>
      <c r="B1016" s="3"/>
      <c r="C1016" s="40" t="s">
        <v>1652</v>
      </c>
      <c r="D1016" s="45">
        <v>1538</v>
      </c>
      <c r="E1016" s="51"/>
      <c r="F1016" s="2"/>
      <c r="G1016" s="71"/>
    </row>
    <row r="1017" spans="1:7" s="10" customFormat="1" ht="15.75" customHeight="1" x14ac:dyDescent="0.25">
      <c r="A1017" s="1"/>
      <c r="B1017" s="3"/>
      <c r="C1017" s="40" t="s">
        <v>337</v>
      </c>
      <c r="D1017" s="45">
        <v>1464</v>
      </c>
      <c r="E1017" s="51"/>
      <c r="F1017" s="2"/>
      <c r="G1017" s="71"/>
    </row>
    <row r="1018" spans="1:7" s="10" customFormat="1" ht="15.75" customHeight="1" x14ac:dyDescent="0.25">
      <c r="A1018" s="1"/>
      <c r="B1018" s="3"/>
      <c r="C1018" s="40" t="s">
        <v>1653</v>
      </c>
      <c r="D1018" s="45">
        <v>2553</v>
      </c>
      <c r="E1018" s="51"/>
      <c r="F1018" s="2"/>
      <c r="G1018" s="71"/>
    </row>
    <row r="1019" spans="1:7" s="10" customFormat="1" ht="15.75" customHeight="1" x14ac:dyDescent="0.25">
      <c r="A1019" s="1"/>
      <c r="B1019" s="3"/>
      <c r="C1019" s="40" t="s">
        <v>1654</v>
      </c>
      <c r="D1019" s="45">
        <v>949</v>
      </c>
      <c r="E1019" s="51"/>
      <c r="F1019" s="2"/>
      <c r="G1019" s="71"/>
    </row>
    <row r="1020" spans="1:7" s="10" customFormat="1" ht="15.75" customHeight="1" x14ac:dyDescent="0.25">
      <c r="A1020" s="1"/>
      <c r="B1020" s="3"/>
      <c r="C1020" s="40" t="s">
        <v>2</v>
      </c>
      <c r="D1020" s="45">
        <v>1595</v>
      </c>
      <c r="E1020" s="51"/>
      <c r="F1020" s="2"/>
      <c r="G1020" s="71"/>
    </row>
    <row r="1021" spans="1:7" s="10" customFormat="1" ht="15.75" customHeight="1" x14ac:dyDescent="0.25">
      <c r="A1021" s="1"/>
      <c r="B1021" s="3"/>
      <c r="C1021" s="40" t="s">
        <v>1655</v>
      </c>
      <c r="D1021" s="45">
        <v>1569</v>
      </c>
      <c r="E1021" s="51"/>
      <c r="F1021" s="2"/>
      <c r="G1021" s="71"/>
    </row>
    <row r="1022" spans="1:7" s="10" customFormat="1" ht="15.75" customHeight="1" x14ac:dyDescent="0.25">
      <c r="A1022" s="1"/>
      <c r="B1022" s="3"/>
      <c r="C1022" s="40" t="s">
        <v>219</v>
      </c>
      <c r="D1022" s="45">
        <v>953</v>
      </c>
      <c r="E1022" s="51"/>
      <c r="F1022" s="2"/>
      <c r="G1022" s="71"/>
    </row>
    <row r="1023" spans="1:7" s="10" customFormat="1" ht="15.75" customHeight="1" x14ac:dyDescent="0.25">
      <c r="A1023" s="1"/>
      <c r="B1023" s="3"/>
      <c r="C1023" s="40" t="s">
        <v>5</v>
      </c>
      <c r="D1023" s="45">
        <v>829</v>
      </c>
      <c r="E1023" s="51"/>
      <c r="F1023" s="2"/>
      <c r="G1023" s="71"/>
    </row>
    <row r="1024" spans="1:7" s="10" customFormat="1" ht="15.75" customHeight="1" x14ac:dyDescent="0.25">
      <c r="A1024" s="1"/>
      <c r="B1024" s="3"/>
      <c r="C1024" s="40" t="s">
        <v>10</v>
      </c>
      <c r="D1024" s="45">
        <v>856</v>
      </c>
      <c r="E1024" s="51"/>
      <c r="F1024" s="2"/>
      <c r="G1024" s="71"/>
    </row>
    <row r="1025" spans="1:7" s="10" customFormat="1" ht="15.75" customHeight="1" x14ac:dyDescent="0.25">
      <c r="A1025" s="1"/>
      <c r="B1025" s="3"/>
      <c r="C1025" s="40" t="s">
        <v>1656</v>
      </c>
      <c r="D1025" s="45">
        <v>2319</v>
      </c>
      <c r="E1025" s="51"/>
      <c r="F1025" s="2"/>
      <c r="G1025" s="71"/>
    </row>
    <row r="1026" spans="1:7" s="10" customFormat="1" ht="15.75" customHeight="1" x14ac:dyDescent="0.25">
      <c r="A1026" s="1"/>
      <c r="B1026" s="3"/>
      <c r="C1026" s="40" t="s">
        <v>120</v>
      </c>
      <c r="D1026" s="45">
        <v>1344</v>
      </c>
      <c r="E1026" s="51"/>
      <c r="F1026" s="2"/>
      <c r="G1026" s="71"/>
    </row>
    <row r="1027" spans="1:7" s="10" customFormat="1" ht="15.75" customHeight="1" x14ac:dyDescent="0.25">
      <c r="A1027" s="1"/>
      <c r="B1027" s="3"/>
      <c r="C1027" s="40" t="s">
        <v>1657</v>
      </c>
      <c r="D1027" s="45">
        <v>1208</v>
      </c>
      <c r="E1027" s="51"/>
      <c r="F1027" s="2"/>
      <c r="G1027" s="71"/>
    </row>
    <row r="1028" spans="1:7" s="10" customFormat="1" ht="15.75" customHeight="1" x14ac:dyDescent="0.25">
      <c r="A1028" s="1"/>
      <c r="B1028" s="3"/>
      <c r="C1028" s="40"/>
      <c r="D1028" s="46"/>
      <c r="E1028" s="51"/>
      <c r="F1028" s="2"/>
      <c r="G1028" s="71"/>
    </row>
    <row r="1029" spans="1:7" s="10" customFormat="1" ht="15.75" customHeight="1" x14ac:dyDescent="0.25">
      <c r="A1029" s="1"/>
      <c r="B1029" s="3"/>
      <c r="C1029" s="39" t="s">
        <v>1658</v>
      </c>
      <c r="D1029" s="57">
        <f>SUM(D1030:D1041)</f>
        <v>28907</v>
      </c>
      <c r="E1029" s="51"/>
      <c r="F1029" s="2"/>
      <c r="G1029" s="71"/>
    </row>
    <row r="1030" spans="1:7" s="10" customFormat="1" ht="15.75" customHeight="1" x14ac:dyDescent="0.25">
      <c r="A1030" s="1"/>
      <c r="B1030" s="3"/>
      <c r="C1030" s="40" t="s">
        <v>1659</v>
      </c>
      <c r="D1030" s="45">
        <v>4171</v>
      </c>
      <c r="E1030" s="51"/>
      <c r="F1030" s="2"/>
      <c r="G1030" s="71"/>
    </row>
    <row r="1031" spans="1:7" s="10" customFormat="1" ht="15.75" customHeight="1" x14ac:dyDescent="0.25">
      <c r="A1031" s="1"/>
      <c r="B1031" s="3"/>
      <c r="C1031" s="40" t="s">
        <v>1660</v>
      </c>
      <c r="D1031" s="45">
        <v>1054</v>
      </c>
      <c r="E1031" s="51"/>
      <c r="F1031" s="2"/>
      <c r="G1031" s="71"/>
    </row>
    <row r="1032" spans="1:7" s="10" customFormat="1" ht="15.75" customHeight="1" x14ac:dyDescent="0.25">
      <c r="A1032" s="1"/>
      <c r="B1032" s="3"/>
      <c r="C1032" s="40" t="s">
        <v>1661</v>
      </c>
      <c r="D1032" s="45">
        <v>1001</v>
      </c>
      <c r="E1032" s="51"/>
      <c r="F1032" s="2"/>
      <c r="G1032" s="71"/>
    </row>
    <row r="1033" spans="1:7" s="10" customFormat="1" ht="15.75" customHeight="1" x14ac:dyDescent="0.25">
      <c r="A1033" s="1"/>
      <c r="B1033" s="3"/>
      <c r="C1033" s="40" t="s">
        <v>1662</v>
      </c>
      <c r="D1033" s="45">
        <v>1970</v>
      </c>
      <c r="E1033" s="51"/>
      <c r="F1033" s="2"/>
      <c r="G1033" s="71"/>
    </row>
    <row r="1034" spans="1:7" s="10" customFormat="1" ht="15.75" customHeight="1" x14ac:dyDescent="0.25">
      <c r="A1034" s="1"/>
      <c r="B1034" s="3"/>
      <c r="C1034" s="40" t="s">
        <v>173</v>
      </c>
      <c r="D1034" s="45">
        <v>1732</v>
      </c>
      <c r="E1034" s="51"/>
      <c r="F1034" s="2"/>
      <c r="G1034" s="71"/>
    </row>
    <row r="1035" spans="1:7" s="10" customFormat="1" ht="15.75" customHeight="1" x14ac:dyDescent="0.25">
      <c r="A1035" s="1"/>
      <c r="B1035" s="3"/>
      <c r="C1035" s="40" t="s">
        <v>1663</v>
      </c>
      <c r="D1035" s="45">
        <v>1033</v>
      </c>
      <c r="E1035" s="51"/>
      <c r="F1035" s="2"/>
      <c r="G1035" s="71"/>
    </row>
    <row r="1036" spans="1:7" s="10" customFormat="1" ht="15.75" customHeight="1" x14ac:dyDescent="0.25">
      <c r="A1036" s="1"/>
      <c r="B1036" s="3"/>
      <c r="C1036" s="40" t="s">
        <v>1664</v>
      </c>
      <c r="D1036" s="45">
        <v>2881</v>
      </c>
      <c r="E1036" s="51"/>
      <c r="F1036" s="2"/>
      <c r="G1036" s="71"/>
    </row>
    <row r="1037" spans="1:7" s="10" customFormat="1" ht="15.75" customHeight="1" x14ac:dyDescent="0.25">
      <c r="A1037" s="1"/>
      <c r="B1037" s="3"/>
      <c r="C1037" s="40" t="s">
        <v>1665</v>
      </c>
      <c r="D1037" s="45">
        <v>2787</v>
      </c>
      <c r="E1037" s="51"/>
      <c r="F1037" s="2"/>
      <c r="G1037" s="71"/>
    </row>
    <row r="1038" spans="1:7" s="10" customFormat="1" ht="15.75" customHeight="1" x14ac:dyDescent="0.25">
      <c r="A1038" s="1"/>
      <c r="B1038" s="3"/>
      <c r="C1038" s="40" t="s">
        <v>2</v>
      </c>
      <c r="D1038" s="45">
        <v>5416</v>
      </c>
      <c r="E1038" s="51"/>
      <c r="F1038" s="2"/>
      <c r="G1038" s="71"/>
    </row>
    <row r="1039" spans="1:7" s="10" customFormat="1" ht="15.75" customHeight="1" x14ac:dyDescent="0.25">
      <c r="A1039" s="1"/>
      <c r="B1039" s="3"/>
      <c r="C1039" s="40" t="s">
        <v>620</v>
      </c>
      <c r="D1039" s="45">
        <v>3979</v>
      </c>
      <c r="E1039" s="51"/>
      <c r="F1039" s="2"/>
      <c r="G1039" s="71"/>
    </row>
    <row r="1040" spans="1:7" s="10" customFormat="1" ht="15.75" customHeight="1" x14ac:dyDescent="0.25">
      <c r="A1040" s="1"/>
      <c r="B1040" s="3"/>
      <c r="C1040" s="40" t="s">
        <v>127</v>
      </c>
      <c r="D1040" s="45">
        <v>2237</v>
      </c>
      <c r="E1040" s="51"/>
      <c r="F1040" s="2"/>
      <c r="G1040" s="71"/>
    </row>
    <row r="1041" spans="1:7" s="10" customFormat="1" ht="15.75" customHeight="1" x14ac:dyDescent="0.25">
      <c r="A1041" s="1"/>
      <c r="B1041" s="3"/>
      <c r="C1041" s="40" t="s">
        <v>61</v>
      </c>
      <c r="D1041" s="45">
        <v>646</v>
      </c>
      <c r="E1041" s="51"/>
      <c r="F1041" s="2"/>
      <c r="G1041" s="71"/>
    </row>
    <row r="1042" spans="1:7" s="10" customFormat="1" ht="15.75" customHeight="1" x14ac:dyDescent="0.25">
      <c r="A1042" s="1"/>
      <c r="B1042" s="3"/>
      <c r="C1042" s="40"/>
      <c r="D1042" s="45"/>
      <c r="E1042" s="51"/>
      <c r="F1042" s="2"/>
      <c r="G1042" s="71"/>
    </row>
    <row r="1043" spans="1:7" s="10" customFormat="1" ht="15.75" customHeight="1" x14ac:dyDescent="0.25">
      <c r="A1043" s="1"/>
      <c r="B1043" s="3"/>
      <c r="C1043" s="39" t="s">
        <v>244</v>
      </c>
      <c r="D1043" s="57">
        <f>SUM(D1044:D1065)</f>
        <v>263048</v>
      </c>
      <c r="E1043" s="51"/>
      <c r="F1043" s="2"/>
      <c r="G1043" s="71"/>
    </row>
    <row r="1044" spans="1:7" s="10" customFormat="1" ht="15.75" customHeight="1" x14ac:dyDescent="0.25">
      <c r="A1044" s="1"/>
      <c r="B1044" s="3"/>
      <c r="C1044" s="40" t="s">
        <v>1666</v>
      </c>
      <c r="D1044" s="45">
        <v>12360</v>
      </c>
      <c r="E1044" s="51"/>
      <c r="F1044" s="2"/>
      <c r="G1044" s="71"/>
    </row>
    <row r="1045" spans="1:7" s="10" customFormat="1" ht="15.75" customHeight="1" x14ac:dyDescent="0.25">
      <c r="A1045" s="1"/>
      <c r="B1045" s="3"/>
      <c r="C1045" s="40" t="s">
        <v>1465</v>
      </c>
      <c r="D1045" s="45">
        <v>6291</v>
      </c>
      <c r="E1045" s="51"/>
      <c r="F1045" s="2"/>
      <c r="G1045" s="71"/>
    </row>
    <row r="1046" spans="1:7" s="10" customFormat="1" ht="15.75" customHeight="1" x14ac:dyDescent="0.25">
      <c r="A1046" s="1"/>
      <c r="B1046" s="3"/>
      <c r="C1046" s="40" t="s">
        <v>1667</v>
      </c>
      <c r="D1046" s="45">
        <v>17364</v>
      </c>
      <c r="E1046" s="51"/>
      <c r="F1046" s="2"/>
      <c r="G1046" s="71"/>
    </row>
    <row r="1047" spans="1:7" s="10" customFormat="1" ht="15.75" customHeight="1" x14ac:dyDescent="0.25">
      <c r="A1047" s="1"/>
      <c r="B1047" s="3"/>
      <c r="C1047" s="40" t="s">
        <v>130</v>
      </c>
      <c r="D1047" s="45">
        <v>21706</v>
      </c>
      <c r="E1047" s="51"/>
      <c r="F1047" s="2"/>
      <c r="G1047" s="71"/>
    </row>
    <row r="1048" spans="1:7" s="10" customFormat="1" ht="15.75" customHeight="1" x14ac:dyDescent="0.25">
      <c r="A1048" s="1"/>
      <c r="B1048" s="3"/>
      <c r="C1048" s="40" t="s">
        <v>1668</v>
      </c>
      <c r="D1048" s="45">
        <v>10934</v>
      </c>
      <c r="E1048" s="51"/>
      <c r="F1048" s="2"/>
      <c r="G1048" s="71"/>
    </row>
    <row r="1049" spans="1:7" s="10" customFormat="1" ht="15.75" customHeight="1" x14ac:dyDescent="0.25">
      <c r="A1049" s="1"/>
      <c r="B1049" s="3"/>
      <c r="C1049" s="40" t="s">
        <v>1669</v>
      </c>
      <c r="D1049" s="45">
        <v>15813</v>
      </c>
      <c r="E1049" s="51"/>
      <c r="F1049" s="2"/>
      <c r="G1049" s="71"/>
    </row>
    <row r="1050" spans="1:7" s="10" customFormat="1" ht="15.75" customHeight="1" x14ac:dyDescent="0.25">
      <c r="A1050" s="1"/>
      <c r="B1050" s="3"/>
      <c r="C1050" s="40" t="s">
        <v>1670</v>
      </c>
      <c r="D1050" s="45">
        <v>10693</v>
      </c>
      <c r="E1050" s="51"/>
      <c r="F1050" s="2"/>
      <c r="G1050" s="71"/>
    </row>
    <row r="1051" spans="1:7" s="10" customFormat="1" ht="15.75" customHeight="1" x14ac:dyDescent="0.25">
      <c r="A1051" s="1"/>
      <c r="B1051" s="3"/>
      <c r="C1051" s="40" t="s">
        <v>55</v>
      </c>
      <c r="D1051" s="45">
        <v>14480</v>
      </c>
      <c r="E1051" s="51"/>
      <c r="F1051" s="2"/>
      <c r="G1051" s="71"/>
    </row>
    <row r="1052" spans="1:7" s="10" customFormat="1" ht="15.75" customHeight="1" x14ac:dyDescent="0.25">
      <c r="A1052" s="1"/>
      <c r="B1052" s="3"/>
      <c r="C1052" s="40" t="s">
        <v>1671</v>
      </c>
      <c r="D1052" s="45">
        <v>7119</v>
      </c>
      <c r="E1052" s="51"/>
      <c r="F1052" s="2"/>
      <c r="G1052" s="71"/>
    </row>
    <row r="1053" spans="1:7" s="10" customFormat="1" ht="15.75" customHeight="1" x14ac:dyDescent="0.25">
      <c r="A1053" s="1"/>
      <c r="B1053" s="3"/>
      <c r="C1053" s="40" t="s">
        <v>1672</v>
      </c>
      <c r="D1053" s="45">
        <v>2624</v>
      </c>
      <c r="E1053" s="51"/>
      <c r="F1053" s="2"/>
      <c r="G1053" s="71"/>
    </row>
    <row r="1054" spans="1:7" s="10" customFormat="1" ht="15.75" customHeight="1" x14ac:dyDescent="0.25">
      <c r="A1054" s="1"/>
      <c r="B1054" s="3"/>
      <c r="C1054" s="40" t="s">
        <v>221</v>
      </c>
      <c r="D1054" s="45">
        <v>11290</v>
      </c>
      <c r="E1054" s="51"/>
      <c r="F1054" s="2"/>
      <c r="G1054" s="71"/>
    </row>
    <row r="1055" spans="1:7" s="10" customFormat="1" ht="15.75" customHeight="1" x14ac:dyDescent="0.25">
      <c r="A1055" s="1"/>
      <c r="B1055" s="3"/>
      <c r="C1055" s="40" t="s">
        <v>2</v>
      </c>
      <c r="D1055" s="45">
        <v>10323</v>
      </c>
      <c r="E1055" s="51"/>
      <c r="F1055" s="2"/>
      <c r="G1055" s="71"/>
    </row>
    <row r="1056" spans="1:7" s="10" customFormat="1" ht="15.75" customHeight="1" x14ac:dyDescent="0.25">
      <c r="A1056" s="1"/>
      <c r="B1056" s="3"/>
      <c r="C1056" s="40" t="s">
        <v>1605</v>
      </c>
      <c r="D1056" s="45">
        <v>12925</v>
      </c>
      <c r="E1056" s="51"/>
      <c r="F1056" s="2"/>
      <c r="G1056" s="71"/>
    </row>
    <row r="1057" spans="1:7" s="10" customFormat="1" ht="15.75" customHeight="1" x14ac:dyDescent="0.25">
      <c r="A1057" s="1"/>
      <c r="B1057" s="3"/>
      <c r="C1057" s="40" t="s">
        <v>5</v>
      </c>
      <c r="D1057" s="45">
        <v>17645</v>
      </c>
      <c r="E1057" s="51"/>
      <c r="F1057" s="2"/>
      <c r="G1057" s="71"/>
    </row>
    <row r="1058" spans="1:7" s="10" customFormat="1" ht="15.75" customHeight="1" x14ac:dyDescent="0.25">
      <c r="A1058" s="1"/>
      <c r="B1058" s="3"/>
      <c r="C1058" s="40" t="s">
        <v>17</v>
      </c>
      <c r="D1058" s="45">
        <v>22015</v>
      </c>
      <c r="E1058" s="51"/>
      <c r="F1058" s="2"/>
      <c r="G1058" s="71"/>
    </row>
    <row r="1059" spans="1:7" s="10" customFormat="1" ht="15.75" customHeight="1" x14ac:dyDescent="0.25">
      <c r="A1059" s="1"/>
      <c r="B1059" s="3"/>
      <c r="C1059" s="40" t="s">
        <v>1673</v>
      </c>
      <c r="D1059" s="45">
        <v>17522</v>
      </c>
      <c r="E1059" s="51"/>
      <c r="F1059" s="2"/>
      <c r="G1059" s="71"/>
    </row>
    <row r="1060" spans="1:7" s="10" customFormat="1" ht="15.75" customHeight="1" x14ac:dyDescent="0.25">
      <c r="A1060" s="1"/>
      <c r="B1060" s="3"/>
      <c r="C1060" s="40" t="s">
        <v>1502</v>
      </c>
      <c r="D1060" s="45">
        <v>14058</v>
      </c>
      <c r="E1060" s="51"/>
      <c r="F1060" s="2"/>
      <c r="G1060" s="71"/>
    </row>
    <row r="1061" spans="1:7" s="10" customFormat="1" ht="15.75" customHeight="1" x14ac:dyDescent="0.25">
      <c r="A1061" s="1"/>
      <c r="B1061" s="3"/>
      <c r="C1061" s="40" t="s">
        <v>1657</v>
      </c>
      <c r="D1061" s="45">
        <v>2329</v>
      </c>
      <c r="E1061" s="51"/>
      <c r="F1061" s="2"/>
      <c r="G1061" s="71"/>
    </row>
    <row r="1062" spans="1:7" s="10" customFormat="1" ht="15.75" customHeight="1" x14ac:dyDescent="0.25">
      <c r="A1062" s="1"/>
      <c r="B1062" s="3"/>
      <c r="C1062" s="40" t="s">
        <v>752</v>
      </c>
      <c r="D1062" s="45">
        <v>10418</v>
      </c>
      <c r="E1062" s="51"/>
      <c r="F1062" s="2"/>
      <c r="G1062" s="71"/>
    </row>
    <row r="1063" spans="1:7" s="10" customFormat="1" ht="15.75" customHeight="1" x14ac:dyDescent="0.25">
      <c r="A1063" s="1"/>
      <c r="B1063" s="3"/>
      <c r="C1063" s="40" t="s">
        <v>1674</v>
      </c>
      <c r="D1063" s="45">
        <v>3878</v>
      </c>
      <c r="E1063" s="51"/>
      <c r="F1063" s="2"/>
      <c r="G1063" s="71"/>
    </row>
    <row r="1064" spans="1:7" s="10" customFormat="1" ht="15.75" customHeight="1" x14ac:dyDescent="0.25">
      <c r="A1064" s="1"/>
      <c r="B1064" s="3"/>
      <c r="C1064" s="40" t="s">
        <v>1675</v>
      </c>
      <c r="D1064" s="45">
        <v>6848</v>
      </c>
      <c r="E1064" s="51"/>
      <c r="F1064" s="2"/>
      <c r="G1064" s="71"/>
    </row>
    <row r="1065" spans="1:7" s="10" customFormat="1" ht="15.75" customHeight="1" x14ac:dyDescent="0.25">
      <c r="A1065" s="1"/>
      <c r="B1065" s="3"/>
      <c r="C1065" s="40" t="s">
        <v>1676</v>
      </c>
      <c r="D1065" s="45">
        <v>14413</v>
      </c>
      <c r="E1065" s="51"/>
      <c r="F1065" s="2"/>
      <c r="G1065" s="71"/>
    </row>
    <row r="1066" spans="1:7" s="10" customFormat="1" ht="15.75" customHeight="1" x14ac:dyDescent="0.25">
      <c r="A1066" s="1"/>
      <c r="B1066" s="3"/>
      <c r="C1066" s="40"/>
      <c r="D1066" s="46"/>
      <c r="E1066" s="51"/>
      <c r="F1066" s="2"/>
      <c r="G1066" s="71"/>
    </row>
    <row r="1067" spans="1:7" s="10" customFormat="1" ht="15.75" customHeight="1" x14ac:dyDescent="0.25">
      <c r="A1067" s="1"/>
      <c r="B1067" s="3"/>
      <c r="C1067" s="39" t="s">
        <v>2400</v>
      </c>
      <c r="D1067" s="57">
        <f>SUM(D1068:D1105)</f>
        <v>207314</v>
      </c>
      <c r="E1067" s="51"/>
      <c r="F1067" s="2"/>
      <c r="G1067" s="71"/>
    </row>
    <row r="1068" spans="1:7" s="10" customFormat="1" ht="15.75" customHeight="1" x14ac:dyDescent="0.25">
      <c r="A1068" s="1"/>
      <c r="B1068" s="3"/>
      <c r="C1068" s="40" t="s">
        <v>1677</v>
      </c>
      <c r="D1068" s="45">
        <v>5062</v>
      </c>
      <c r="E1068" s="51"/>
      <c r="F1068" s="2"/>
      <c r="G1068" s="71"/>
    </row>
    <row r="1069" spans="1:7" s="10" customFormat="1" ht="15.75" customHeight="1" x14ac:dyDescent="0.25">
      <c r="A1069" s="1"/>
      <c r="B1069" s="3"/>
      <c r="C1069" s="40" t="s">
        <v>1181</v>
      </c>
      <c r="D1069" s="45">
        <v>2298</v>
      </c>
      <c r="E1069" s="51"/>
      <c r="F1069" s="2"/>
      <c r="G1069" s="71"/>
    </row>
    <row r="1070" spans="1:7" s="10" customFormat="1" ht="15.75" customHeight="1" x14ac:dyDescent="0.25">
      <c r="A1070" s="1"/>
      <c r="B1070" s="3"/>
      <c r="C1070" s="40" t="s">
        <v>160</v>
      </c>
      <c r="D1070" s="45">
        <v>9041</v>
      </c>
      <c r="E1070" s="51"/>
      <c r="F1070" s="2"/>
      <c r="G1070" s="71"/>
    </row>
    <row r="1071" spans="1:7" s="10" customFormat="1" ht="15.75" customHeight="1" x14ac:dyDescent="0.25">
      <c r="A1071" s="1"/>
      <c r="B1071" s="3"/>
      <c r="C1071" s="40" t="s">
        <v>1678</v>
      </c>
      <c r="D1071" s="45">
        <v>3983</v>
      </c>
      <c r="E1071" s="51"/>
      <c r="F1071" s="2"/>
      <c r="G1071" s="71"/>
    </row>
    <row r="1072" spans="1:7" s="10" customFormat="1" ht="15.75" customHeight="1" x14ac:dyDescent="0.25">
      <c r="A1072" s="1"/>
      <c r="B1072" s="3"/>
      <c r="C1072" s="40" t="s">
        <v>1679</v>
      </c>
      <c r="D1072" s="45">
        <v>2624</v>
      </c>
      <c r="E1072" s="51"/>
      <c r="F1072" s="2"/>
      <c r="G1072" s="71"/>
    </row>
    <row r="1073" spans="1:7" s="10" customFormat="1" ht="15.75" customHeight="1" x14ac:dyDescent="0.25">
      <c r="A1073" s="1"/>
      <c r="B1073" s="3"/>
      <c r="C1073" s="40" t="s">
        <v>158</v>
      </c>
      <c r="D1073" s="45">
        <v>5361</v>
      </c>
      <c r="E1073" s="51"/>
      <c r="F1073" s="2"/>
      <c r="G1073" s="71"/>
    </row>
    <row r="1074" spans="1:7" s="10" customFormat="1" ht="15.75" customHeight="1" x14ac:dyDescent="0.25">
      <c r="A1074" s="1"/>
      <c r="B1074" s="3"/>
      <c r="C1074" s="40" t="s">
        <v>1680</v>
      </c>
      <c r="D1074" s="45">
        <v>5483</v>
      </c>
      <c r="E1074" s="51"/>
      <c r="F1074" s="2"/>
      <c r="G1074" s="71"/>
    </row>
    <row r="1075" spans="1:7" s="10" customFormat="1" ht="15.75" customHeight="1" x14ac:dyDescent="0.25">
      <c r="A1075" s="1"/>
      <c r="B1075" s="3"/>
      <c r="C1075" s="40" t="s">
        <v>1681</v>
      </c>
      <c r="D1075" s="45">
        <v>1525</v>
      </c>
      <c r="E1075" s="51"/>
      <c r="F1075" s="2"/>
      <c r="G1075" s="71"/>
    </row>
    <row r="1076" spans="1:7" s="10" customFormat="1" ht="15.75" customHeight="1" x14ac:dyDescent="0.25">
      <c r="A1076" s="1"/>
      <c r="B1076" s="3"/>
      <c r="C1076" s="40" t="s">
        <v>1682</v>
      </c>
      <c r="D1076" s="45">
        <v>4125</v>
      </c>
      <c r="E1076" s="51"/>
      <c r="F1076" s="2"/>
      <c r="G1076" s="71"/>
    </row>
    <row r="1077" spans="1:7" s="10" customFormat="1" ht="15.75" customHeight="1" x14ac:dyDescent="0.25">
      <c r="A1077" s="1"/>
      <c r="B1077" s="3"/>
      <c r="C1077" s="40" t="s">
        <v>1468</v>
      </c>
      <c r="D1077" s="45">
        <v>2237</v>
      </c>
      <c r="E1077" s="51"/>
      <c r="F1077" s="2"/>
      <c r="G1077" s="71"/>
    </row>
    <row r="1078" spans="1:7" s="10" customFormat="1" ht="15.75" customHeight="1" x14ac:dyDescent="0.25">
      <c r="A1078" s="1"/>
      <c r="B1078" s="3"/>
      <c r="C1078" s="40" t="s">
        <v>1683</v>
      </c>
      <c r="D1078" s="45">
        <v>5029</v>
      </c>
      <c r="E1078" s="51"/>
      <c r="F1078" s="2"/>
      <c r="G1078" s="71"/>
    </row>
    <row r="1079" spans="1:7" s="10" customFormat="1" ht="15.75" customHeight="1" x14ac:dyDescent="0.25">
      <c r="A1079" s="1"/>
      <c r="B1079" s="3"/>
      <c r="C1079" s="40" t="s">
        <v>1684</v>
      </c>
      <c r="D1079" s="45">
        <v>9426</v>
      </c>
      <c r="E1079" s="51"/>
      <c r="F1079" s="2"/>
      <c r="G1079" s="71"/>
    </row>
    <row r="1080" spans="1:7" s="10" customFormat="1" ht="15.75" customHeight="1" x14ac:dyDescent="0.25">
      <c r="A1080" s="1"/>
      <c r="B1080" s="3"/>
      <c r="C1080" s="40" t="s">
        <v>1685</v>
      </c>
      <c r="D1080" s="45">
        <v>5069</v>
      </c>
      <c r="E1080" s="51"/>
      <c r="F1080" s="2"/>
      <c r="G1080" s="71"/>
    </row>
    <row r="1081" spans="1:7" s="10" customFormat="1" ht="15.75" customHeight="1" x14ac:dyDescent="0.25">
      <c r="A1081" s="1"/>
      <c r="B1081" s="3"/>
      <c r="C1081" s="40" t="s">
        <v>144</v>
      </c>
      <c r="D1081" s="45">
        <v>4857</v>
      </c>
      <c r="E1081" s="51"/>
      <c r="F1081" s="2"/>
      <c r="G1081" s="71"/>
    </row>
    <row r="1082" spans="1:7" s="10" customFormat="1" ht="15.75" customHeight="1" x14ac:dyDescent="0.25">
      <c r="A1082" s="1"/>
      <c r="B1082" s="3"/>
      <c r="C1082" s="40" t="s">
        <v>1686</v>
      </c>
      <c r="D1082" s="45">
        <v>3786</v>
      </c>
      <c r="E1082" s="51"/>
      <c r="F1082" s="2"/>
      <c r="G1082" s="71"/>
    </row>
    <row r="1083" spans="1:7" s="10" customFormat="1" ht="15.75" customHeight="1" x14ac:dyDescent="0.25">
      <c r="A1083" s="1"/>
      <c r="B1083" s="3"/>
      <c r="C1083" s="40" t="s">
        <v>1687</v>
      </c>
      <c r="D1083" s="45">
        <v>18948</v>
      </c>
      <c r="E1083" s="51"/>
      <c r="F1083" s="2"/>
      <c r="G1083" s="71"/>
    </row>
    <row r="1084" spans="1:7" s="10" customFormat="1" ht="15.75" customHeight="1" x14ac:dyDescent="0.25">
      <c r="A1084" s="1"/>
      <c r="B1084" s="3"/>
      <c r="C1084" s="40" t="s">
        <v>130</v>
      </c>
      <c r="D1084" s="45">
        <v>6594</v>
      </c>
      <c r="E1084" s="51"/>
      <c r="F1084" s="2"/>
      <c r="G1084" s="71"/>
    </row>
    <row r="1085" spans="1:7" s="10" customFormat="1" ht="15.75" customHeight="1" x14ac:dyDescent="0.25">
      <c r="A1085" s="1"/>
      <c r="B1085" s="3"/>
      <c r="C1085" s="40" t="s">
        <v>1370</v>
      </c>
      <c r="D1085" s="45">
        <v>4727</v>
      </c>
      <c r="E1085" s="51"/>
      <c r="F1085" s="2"/>
      <c r="G1085" s="71"/>
    </row>
    <row r="1086" spans="1:7" s="10" customFormat="1" ht="15.75" customHeight="1" x14ac:dyDescent="0.25">
      <c r="A1086" s="1"/>
      <c r="B1086" s="3"/>
      <c r="C1086" s="40" t="s">
        <v>632</v>
      </c>
      <c r="D1086" s="45">
        <v>4422</v>
      </c>
      <c r="E1086" s="51"/>
      <c r="F1086" s="2"/>
      <c r="G1086" s="71"/>
    </row>
    <row r="1087" spans="1:7" s="10" customFormat="1" ht="15.75" customHeight="1" x14ac:dyDescent="0.25">
      <c r="A1087" s="1"/>
      <c r="B1087" s="3"/>
      <c r="C1087" s="40" t="s">
        <v>1688</v>
      </c>
      <c r="D1087" s="45">
        <v>1776</v>
      </c>
      <c r="E1087" s="51"/>
      <c r="F1087" s="2"/>
      <c r="G1087" s="71"/>
    </row>
    <row r="1088" spans="1:7" s="10" customFormat="1" ht="15.75" customHeight="1" x14ac:dyDescent="0.25">
      <c r="A1088" s="1"/>
      <c r="B1088" s="3"/>
      <c r="C1088" s="40" t="s">
        <v>1689</v>
      </c>
      <c r="D1088" s="45">
        <v>1807</v>
      </c>
      <c r="E1088" s="51"/>
      <c r="F1088" s="2"/>
      <c r="G1088" s="71"/>
    </row>
    <row r="1089" spans="1:7" s="10" customFormat="1" ht="15.75" customHeight="1" x14ac:dyDescent="0.25">
      <c r="A1089" s="1"/>
      <c r="B1089" s="3"/>
      <c r="C1089" s="40" t="s">
        <v>1690</v>
      </c>
      <c r="D1089" s="45">
        <v>4740</v>
      </c>
      <c r="E1089" s="51"/>
      <c r="F1089" s="2"/>
      <c r="G1089" s="71"/>
    </row>
    <row r="1090" spans="1:7" s="10" customFormat="1" ht="15.75" customHeight="1" x14ac:dyDescent="0.25">
      <c r="A1090" s="1"/>
      <c r="B1090" s="3"/>
      <c r="C1090" s="40" t="s">
        <v>1691</v>
      </c>
      <c r="D1090" s="45">
        <v>8581</v>
      </c>
      <c r="E1090" s="51"/>
      <c r="F1090" s="2"/>
      <c r="G1090" s="71"/>
    </row>
    <row r="1091" spans="1:7" s="10" customFormat="1" ht="15.75" customHeight="1" x14ac:dyDescent="0.25">
      <c r="A1091" s="1"/>
      <c r="B1091" s="3"/>
      <c r="C1091" s="40" t="s">
        <v>1692</v>
      </c>
      <c r="D1091" s="45">
        <v>6356</v>
      </c>
      <c r="E1091" s="51"/>
      <c r="F1091" s="2"/>
      <c r="G1091" s="71"/>
    </row>
    <row r="1092" spans="1:7" s="10" customFormat="1" ht="15.75" customHeight="1" x14ac:dyDescent="0.25">
      <c r="A1092" s="1"/>
      <c r="B1092" s="3"/>
      <c r="C1092" s="40" t="s">
        <v>245</v>
      </c>
      <c r="D1092" s="45">
        <v>11538</v>
      </c>
      <c r="E1092" s="51"/>
      <c r="F1092" s="2"/>
      <c r="G1092" s="71"/>
    </row>
    <row r="1093" spans="1:7" s="10" customFormat="1" ht="15.75" customHeight="1" x14ac:dyDescent="0.25">
      <c r="A1093" s="1"/>
      <c r="B1093" s="3"/>
      <c r="C1093" s="40" t="s">
        <v>1693</v>
      </c>
      <c r="D1093" s="45">
        <v>9298</v>
      </c>
      <c r="E1093" s="51"/>
      <c r="F1093" s="2"/>
      <c r="G1093" s="71"/>
    </row>
    <row r="1094" spans="1:7" s="10" customFormat="1" ht="15.75" customHeight="1" x14ac:dyDescent="0.25">
      <c r="A1094" s="1"/>
      <c r="B1094" s="3"/>
      <c r="C1094" s="40" t="s">
        <v>1694</v>
      </c>
      <c r="D1094" s="45">
        <v>2492</v>
      </c>
      <c r="E1094" s="51"/>
      <c r="F1094" s="2"/>
      <c r="G1094" s="71"/>
    </row>
    <row r="1095" spans="1:7" s="10" customFormat="1" ht="15.75" customHeight="1" x14ac:dyDescent="0.25">
      <c r="A1095" s="1"/>
      <c r="B1095" s="3"/>
      <c r="C1095" s="40" t="s">
        <v>2</v>
      </c>
      <c r="D1095" s="45">
        <v>15572</v>
      </c>
      <c r="E1095" s="51"/>
      <c r="F1095" s="2"/>
      <c r="G1095" s="71"/>
    </row>
    <row r="1096" spans="1:7" s="10" customFormat="1" ht="15.75" customHeight="1" x14ac:dyDescent="0.25">
      <c r="A1096" s="1"/>
      <c r="B1096" s="3"/>
      <c r="C1096" s="40" t="s">
        <v>1695</v>
      </c>
      <c r="D1096" s="45">
        <v>7082</v>
      </c>
      <c r="E1096" s="51"/>
      <c r="F1096" s="2"/>
      <c r="G1096" s="71"/>
    </row>
    <row r="1097" spans="1:7" s="10" customFormat="1" ht="15.75" customHeight="1" x14ac:dyDescent="0.25">
      <c r="A1097" s="1"/>
      <c r="B1097" s="3"/>
      <c r="C1097" s="40" t="s">
        <v>1696</v>
      </c>
      <c r="D1097" s="45">
        <v>1693</v>
      </c>
      <c r="E1097" s="51"/>
      <c r="F1097" s="2"/>
      <c r="G1097" s="71"/>
    </row>
    <row r="1098" spans="1:7" s="10" customFormat="1" ht="15.75" customHeight="1" x14ac:dyDescent="0.25">
      <c r="A1098" s="1"/>
      <c r="B1098" s="3"/>
      <c r="C1098" s="40" t="s">
        <v>1250</v>
      </c>
      <c r="D1098" s="45">
        <v>1591</v>
      </c>
      <c r="E1098" s="51"/>
      <c r="F1098" s="2"/>
      <c r="G1098" s="71"/>
    </row>
    <row r="1099" spans="1:7" s="10" customFormat="1" ht="15.75" customHeight="1" x14ac:dyDescent="0.25">
      <c r="A1099" s="1"/>
      <c r="B1099" s="3"/>
      <c r="C1099" s="40" t="s">
        <v>1697</v>
      </c>
      <c r="D1099" s="45">
        <v>2264</v>
      </c>
      <c r="E1099" s="51"/>
      <c r="F1099" s="2"/>
      <c r="G1099" s="71"/>
    </row>
    <row r="1100" spans="1:7" s="10" customFormat="1" ht="15.75" customHeight="1" x14ac:dyDescent="0.25">
      <c r="A1100" s="1"/>
      <c r="B1100" s="3"/>
      <c r="C1100" s="40" t="s">
        <v>1698</v>
      </c>
      <c r="D1100" s="45">
        <v>5376</v>
      </c>
      <c r="E1100" s="51"/>
      <c r="F1100" s="2"/>
      <c r="G1100" s="71"/>
    </row>
    <row r="1101" spans="1:7" s="10" customFormat="1" ht="15.75" customHeight="1" x14ac:dyDescent="0.25">
      <c r="A1101" s="1"/>
      <c r="B1101" s="3"/>
      <c r="C1101" s="40" t="s">
        <v>1699</v>
      </c>
      <c r="D1101" s="45">
        <v>7049</v>
      </c>
      <c r="E1101" s="51"/>
      <c r="F1101" s="2"/>
      <c r="G1101" s="71"/>
    </row>
    <row r="1102" spans="1:7" s="10" customFormat="1" ht="15.75" customHeight="1" x14ac:dyDescent="0.25">
      <c r="A1102" s="1"/>
      <c r="B1102" s="3"/>
      <c r="C1102" s="40" t="s">
        <v>358</v>
      </c>
      <c r="D1102" s="45">
        <v>1007</v>
      </c>
      <c r="E1102" s="51"/>
      <c r="F1102" s="2"/>
      <c r="G1102" s="71"/>
    </row>
    <row r="1103" spans="1:7" s="10" customFormat="1" ht="15.75" customHeight="1" x14ac:dyDescent="0.25">
      <c r="A1103" s="1"/>
      <c r="B1103" s="3"/>
      <c r="C1103" s="40" t="s">
        <v>1700</v>
      </c>
      <c r="D1103" s="45">
        <v>7731</v>
      </c>
      <c r="E1103" s="51"/>
      <c r="F1103" s="2"/>
      <c r="G1103" s="71"/>
    </row>
    <row r="1104" spans="1:7" s="10" customFormat="1" ht="15.75" customHeight="1" x14ac:dyDescent="0.25">
      <c r="A1104" s="1"/>
      <c r="B1104" s="3"/>
      <c r="C1104" s="40" t="s">
        <v>1701</v>
      </c>
      <c r="D1104" s="45">
        <v>1394</v>
      </c>
      <c r="E1104" s="51"/>
      <c r="F1104" s="2"/>
      <c r="G1104" s="71"/>
    </row>
    <row r="1105" spans="1:7" s="10" customFormat="1" ht="15.75" customHeight="1" x14ac:dyDescent="0.25">
      <c r="A1105" s="1"/>
      <c r="B1105" s="3"/>
      <c r="C1105" s="40" t="s">
        <v>104</v>
      </c>
      <c r="D1105" s="45">
        <v>5370</v>
      </c>
      <c r="E1105" s="51"/>
      <c r="F1105" s="2"/>
      <c r="G1105" s="71"/>
    </row>
    <row r="1106" spans="1:7" s="10" customFormat="1" ht="15.75" customHeight="1" x14ac:dyDescent="0.25">
      <c r="A1106" s="1"/>
      <c r="B1106" s="3"/>
      <c r="C1106" s="40"/>
      <c r="D1106" s="46"/>
      <c r="E1106" s="51"/>
      <c r="F1106" s="2"/>
      <c r="G1106" s="71"/>
    </row>
    <row r="1107" spans="1:7" s="10" customFormat="1" ht="15.75" customHeight="1" x14ac:dyDescent="0.25">
      <c r="A1107" s="1"/>
      <c r="B1107" s="3"/>
      <c r="C1107" s="39" t="s">
        <v>1702</v>
      </c>
      <c r="D1107" s="57">
        <f>SUM(D1108:D1161)</f>
        <v>68167</v>
      </c>
      <c r="E1107" s="51"/>
      <c r="F1107" s="2"/>
      <c r="G1107" s="71"/>
    </row>
    <row r="1108" spans="1:7" s="10" customFormat="1" ht="15.75" customHeight="1" x14ac:dyDescent="0.25">
      <c r="A1108" s="1"/>
      <c r="B1108" s="3"/>
      <c r="C1108" s="40" t="s">
        <v>56</v>
      </c>
      <c r="D1108" s="45">
        <v>1189</v>
      </c>
      <c r="E1108" s="51"/>
      <c r="F1108" s="2"/>
      <c r="G1108" s="71"/>
    </row>
    <row r="1109" spans="1:7" s="10" customFormat="1" ht="15.75" customHeight="1" x14ac:dyDescent="0.25">
      <c r="A1109" s="1"/>
      <c r="B1109" s="3"/>
      <c r="C1109" s="40" t="s">
        <v>1703</v>
      </c>
      <c r="D1109" s="45">
        <v>932</v>
      </c>
      <c r="E1109" s="51"/>
      <c r="F1109" s="2"/>
      <c r="G1109" s="71"/>
    </row>
    <row r="1110" spans="1:7" s="10" customFormat="1" ht="15.75" customHeight="1" x14ac:dyDescent="0.25">
      <c r="A1110" s="1"/>
      <c r="B1110" s="3"/>
      <c r="C1110" s="40" t="s">
        <v>35</v>
      </c>
      <c r="D1110" s="45">
        <v>1423</v>
      </c>
      <c r="E1110" s="51"/>
      <c r="F1110" s="2"/>
      <c r="G1110" s="71"/>
    </row>
    <row r="1111" spans="1:7" s="10" customFormat="1" ht="15.75" customHeight="1" x14ac:dyDescent="0.25">
      <c r="A1111" s="1"/>
      <c r="B1111" s="3"/>
      <c r="C1111" s="40" t="s">
        <v>1704</v>
      </c>
      <c r="D1111" s="45">
        <v>2024</v>
      </c>
      <c r="E1111" s="51"/>
      <c r="F1111" s="2"/>
      <c r="G1111" s="71"/>
    </row>
    <row r="1112" spans="1:7" s="10" customFormat="1" ht="15.75" customHeight="1" x14ac:dyDescent="0.25">
      <c r="A1112" s="1"/>
      <c r="B1112" s="3"/>
      <c r="C1112" s="40" t="s">
        <v>1705</v>
      </c>
      <c r="D1112" s="45">
        <v>1823</v>
      </c>
      <c r="E1112" s="51"/>
      <c r="F1112" s="2"/>
      <c r="G1112" s="71"/>
    </row>
    <row r="1113" spans="1:7" s="10" customFormat="1" ht="15.75" customHeight="1" x14ac:dyDescent="0.25">
      <c r="A1113" s="1"/>
      <c r="B1113" s="3"/>
      <c r="C1113" s="40" t="s">
        <v>1706</v>
      </c>
      <c r="D1113" s="45">
        <v>890</v>
      </c>
      <c r="E1113" s="51"/>
      <c r="F1113" s="2"/>
      <c r="G1113" s="71"/>
    </row>
    <row r="1114" spans="1:7" s="10" customFormat="1" ht="15.75" customHeight="1" x14ac:dyDescent="0.25">
      <c r="A1114" s="1"/>
      <c r="B1114" s="3"/>
      <c r="C1114" s="40" t="s">
        <v>1707</v>
      </c>
      <c r="D1114" s="45">
        <v>277</v>
      </c>
      <c r="E1114" s="51"/>
      <c r="F1114" s="2"/>
      <c r="G1114" s="71"/>
    </row>
    <row r="1115" spans="1:7" s="10" customFormat="1" ht="15.75" customHeight="1" x14ac:dyDescent="0.25">
      <c r="A1115" s="1"/>
      <c r="B1115" s="3"/>
      <c r="C1115" s="40" t="s">
        <v>134</v>
      </c>
      <c r="D1115" s="45">
        <v>639</v>
      </c>
      <c r="E1115" s="51"/>
      <c r="F1115" s="2"/>
      <c r="G1115" s="71"/>
    </row>
    <row r="1116" spans="1:7" s="10" customFormat="1" ht="15.75" customHeight="1" x14ac:dyDescent="0.25">
      <c r="A1116" s="1"/>
      <c r="B1116" s="3"/>
      <c r="C1116" s="40" t="s">
        <v>850</v>
      </c>
      <c r="D1116" s="45">
        <v>819</v>
      </c>
      <c r="E1116" s="51"/>
      <c r="F1116" s="2"/>
      <c r="G1116" s="71"/>
    </row>
    <row r="1117" spans="1:7" s="10" customFormat="1" ht="15.75" customHeight="1" x14ac:dyDescent="0.25">
      <c r="A1117" s="1"/>
      <c r="B1117" s="3"/>
      <c r="C1117" s="40" t="s">
        <v>1708</v>
      </c>
      <c r="D1117" s="45">
        <v>1396</v>
      </c>
      <c r="E1117" s="51"/>
      <c r="F1117" s="2"/>
      <c r="G1117" s="71"/>
    </row>
    <row r="1118" spans="1:7" s="10" customFormat="1" ht="15.75" customHeight="1" x14ac:dyDescent="0.25">
      <c r="A1118" s="1"/>
      <c r="B1118" s="3"/>
      <c r="C1118" s="40" t="s">
        <v>1709</v>
      </c>
      <c r="D1118" s="45">
        <v>565</v>
      </c>
      <c r="E1118" s="51"/>
      <c r="F1118" s="2"/>
      <c r="G1118" s="71"/>
    </row>
    <row r="1119" spans="1:7" s="10" customFormat="1" ht="15.75" customHeight="1" x14ac:dyDescent="0.25">
      <c r="A1119" s="1"/>
      <c r="B1119" s="3"/>
      <c r="C1119" s="40" t="s">
        <v>1710</v>
      </c>
      <c r="D1119" s="45">
        <v>244</v>
      </c>
      <c r="E1119" s="51"/>
      <c r="F1119" s="2"/>
      <c r="G1119" s="71"/>
    </row>
    <row r="1120" spans="1:7" s="10" customFormat="1" ht="15.75" customHeight="1" x14ac:dyDescent="0.25">
      <c r="A1120" s="1"/>
      <c r="B1120" s="3"/>
      <c r="C1120" s="40" t="s">
        <v>1711</v>
      </c>
      <c r="D1120" s="45">
        <v>197</v>
      </c>
      <c r="E1120" s="51"/>
      <c r="F1120" s="2"/>
      <c r="G1120" s="71"/>
    </row>
    <row r="1121" spans="1:7" s="10" customFormat="1" ht="15.75" customHeight="1" x14ac:dyDescent="0.25">
      <c r="A1121" s="1"/>
      <c r="B1121" s="3"/>
      <c r="C1121" s="40" t="s">
        <v>1712</v>
      </c>
      <c r="D1121" s="45">
        <v>1148</v>
      </c>
      <c r="E1121" s="51"/>
      <c r="F1121" s="2"/>
      <c r="G1121" s="71"/>
    </row>
    <row r="1122" spans="1:7" s="10" customFormat="1" ht="15.75" customHeight="1" x14ac:dyDescent="0.25">
      <c r="A1122" s="1"/>
      <c r="B1122" s="3"/>
      <c r="C1122" s="40" t="s">
        <v>137</v>
      </c>
      <c r="D1122" s="45">
        <v>1705</v>
      </c>
      <c r="E1122" s="51"/>
      <c r="F1122" s="2"/>
      <c r="G1122" s="71"/>
    </row>
    <row r="1123" spans="1:7" s="10" customFormat="1" ht="15.75" customHeight="1" x14ac:dyDescent="0.25">
      <c r="A1123" s="1"/>
      <c r="B1123" s="3"/>
      <c r="C1123" s="40" t="s">
        <v>178</v>
      </c>
      <c r="D1123" s="45">
        <v>2394</v>
      </c>
      <c r="E1123" s="51"/>
      <c r="F1123" s="2"/>
      <c r="G1123" s="71"/>
    </row>
    <row r="1124" spans="1:7" s="10" customFormat="1" ht="15.75" customHeight="1" x14ac:dyDescent="0.25">
      <c r="A1124" s="1"/>
      <c r="B1124" s="3"/>
      <c r="C1124" s="65" t="s">
        <v>107</v>
      </c>
      <c r="D1124" s="45">
        <v>4296</v>
      </c>
      <c r="E1124" s="51"/>
      <c r="F1124" s="2"/>
      <c r="G1124" s="71"/>
    </row>
    <row r="1125" spans="1:7" s="10" customFormat="1" ht="15.75" customHeight="1" x14ac:dyDescent="0.25">
      <c r="A1125" s="1"/>
      <c r="B1125" s="3"/>
      <c r="C1125" s="65" t="s">
        <v>1713</v>
      </c>
      <c r="D1125" s="45">
        <v>3059</v>
      </c>
      <c r="E1125" s="51"/>
      <c r="F1125" s="2"/>
      <c r="G1125" s="71"/>
    </row>
    <row r="1126" spans="1:7" s="10" customFormat="1" ht="15.75" customHeight="1" x14ac:dyDescent="0.25">
      <c r="A1126" s="1"/>
      <c r="B1126" s="3"/>
      <c r="C1126" s="65" t="s">
        <v>1714</v>
      </c>
      <c r="D1126" s="45">
        <v>2649</v>
      </c>
      <c r="E1126" s="51"/>
      <c r="F1126" s="2"/>
      <c r="G1126" s="71"/>
    </row>
    <row r="1127" spans="1:7" s="10" customFormat="1" ht="15.75" customHeight="1" x14ac:dyDescent="0.25">
      <c r="A1127" s="1"/>
      <c r="B1127" s="3"/>
      <c r="C1127" s="65" t="s">
        <v>1715</v>
      </c>
      <c r="D1127" s="45">
        <v>1347</v>
      </c>
      <c r="E1127" s="51"/>
      <c r="F1127" s="2"/>
      <c r="G1127" s="71"/>
    </row>
    <row r="1128" spans="1:7" s="10" customFormat="1" ht="15.75" customHeight="1" x14ac:dyDescent="0.25">
      <c r="A1128" s="1"/>
      <c r="B1128" s="3"/>
      <c r="C1128" s="65" t="s">
        <v>1716</v>
      </c>
      <c r="D1128" s="45">
        <v>618</v>
      </c>
      <c r="E1128" s="51"/>
      <c r="F1128" s="2"/>
      <c r="G1128" s="71"/>
    </row>
    <row r="1129" spans="1:7" s="10" customFormat="1" ht="15.75" customHeight="1" x14ac:dyDescent="0.25">
      <c r="A1129" s="1"/>
      <c r="B1129" s="3"/>
      <c r="C1129" s="40" t="s">
        <v>1717</v>
      </c>
      <c r="D1129" s="45">
        <v>1572</v>
      </c>
      <c r="E1129" s="51"/>
      <c r="F1129" s="2"/>
      <c r="G1129" s="71"/>
    </row>
    <row r="1130" spans="1:7" s="10" customFormat="1" ht="15.75" customHeight="1" x14ac:dyDescent="0.25">
      <c r="A1130" s="1"/>
      <c r="B1130" s="3"/>
      <c r="C1130" s="40" t="s">
        <v>1718</v>
      </c>
      <c r="D1130" s="45">
        <v>1657</v>
      </c>
      <c r="E1130" s="51"/>
      <c r="F1130" s="2"/>
      <c r="G1130" s="71"/>
    </row>
    <row r="1131" spans="1:7" s="10" customFormat="1" ht="15.75" customHeight="1" x14ac:dyDescent="0.25">
      <c r="A1131" s="1"/>
      <c r="B1131" s="3"/>
      <c r="C1131" s="40" t="s">
        <v>1719</v>
      </c>
      <c r="D1131" s="45">
        <v>528</v>
      </c>
      <c r="E1131" s="51"/>
      <c r="F1131" s="2"/>
      <c r="G1131" s="71"/>
    </row>
    <row r="1132" spans="1:7" s="10" customFormat="1" ht="15.75" customHeight="1" x14ac:dyDescent="0.25">
      <c r="A1132" s="1"/>
      <c r="B1132" s="3"/>
      <c r="C1132" s="40" t="s">
        <v>1720</v>
      </c>
      <c r="D1132" s="45">
        <v>471</v>
      </c>
      <c r="E1132" s="51"/>
      <c r="F1132" s="2"/>
      <c r="G1132" s="71"/>
    </row>
    <row r="1133" spans="1:7" s="10" customFormat="1" ht="15.75" customHeight="1" x14ac:dyDescent="0.25">
      <c r="A1133" s="1"/>
      <c r="B1133" s="3"/>
      <c r="C1133" s="40" t="s">
        <v>1721</v>
      </c>
      <c r="D1133" s="45">
        <v>526</v>
      </c>
      <c r="E1133" s="51"/>
      <c r="F1133" s="2"/>
      <c r="G1133" s="71"/>
    </row>
    <row r="1134" spans="1:7" s="10" customFormat="1" ht="15.75" customHeight="1" x14ac:dyDescent="0.25">
      <c r="A1134" s="1"/>
      <c r="B1134" s="3"/>
      <c r="C1134" s="40" t="s">
        <v>1722</v>
      </c>
      <c r="D1134" s="45">
        <v>232</v>
      </c>
      <c r="E1134" s="51"/>
      <c r="F1134" s="2"/>
      <c r="G1134" s="71"/>
    </row>
    <row r="1135" spans="1:7" s="10" customFormat="1" ht="15.75" customHeight="1" x14ac:dyDescent="0.25">
      <c r="A1135" s="1"/>
      <c r="B1135" s="3"/>
      <c r="C1135" s="40" t="s">
        <v>1622</v>
      </c>
      <c r="D1135" s="45">
        <v>261</v>
      </c>
      <c r="E1135" s="51"/>
      <c r="F1135" s="2"/>
      <c r="G1135" s="71"/>
    </row>
    <row r="1136" spans="1:7" s="10" customFormat="1" ht="15.75" customHeight="1" x14ac:dyDescent="0.25">
      <c r="A1136" s="1"/>
      <c r="B1136" s="3"/>
      <c r="C1136" s="40" t="s">
        <v>1723</v>
      </c>
      <c r="D1136" s="45">
        <v>905</v>
      </c>
      <c r="E1136" s="51"/>
      <c r="F1136" s="2"/>
      <c r="G1136" s="71"/>
    </row>
    <row r="1137" spans="1:7" s="10" customFormat="1" ht="15.75" customHeight="1" x14ac:dyDescent="0.25">
      <c r="A1137" s="1"/>
      <c r="B1137" s="3"/>
      <c r="C1137" s="40" t="s">
        <v>1724</v>
      </c>
      <c r="D1137" s="45">
        <v>349</v>
      </c>
      <c r="E1137" s="51"/>
      <c r="F1137" s="2"/>
      <c r="G1137" s="71"/>
    </row>
    <row r="1138" spans="1:7" s="10" customFormat="1" ht="15.75" customHeight="1" x14ac:dyDescent="0.25">
      <c r="A1138" s="1"/>
      <c r="B1138" s="3"/>
      <c r="C1138" s="40" t="s">
        <v>1725</v>
      </c>
      <c r="D1138" s="45">
        <v>658</v>
      </c>
      <c r="E1138" s="51"/>
      <c r="F1138" s="2"/>
      <c r="G1138" s="71"/>
    </row>
    <row r="1139" spans="1:7" s="10" customFormat="1" ht="15.75" customHeight="1" x14ac:dyDescent="0.25">
      <c r="A1139" s="1"/>
      <c r="B1139" s="3"/>
      <c r="C1139" s="40" t="s">
        <v>1726</v>
      </c>
      <c r="D1139" s="45">
        <v>616</v>
      </c>
      <c r="E1139" s="51"/>
      <c r="F1139" s="2"/>
      <c r="G1139" s="71"/>
    </row>
    <row r="1140" spans="1:7" s="10" customFormat="1" ht="15.75" customHeight="1" x14ac:dyDescent="0.25">
      <c r="A1140" s="1"/>
      <c r="B1140" s="3"/>
      <c r="C1140" s="40" t="s">
        <v>1727</v>
      </c>
      <c r="D1140" s="45">
        <v>998</v>
      </c>
      <c r="E1140" s="51"/>
      <c r="F1140" s="2"/>
      <c r="G1140" s="71"/>
    </row>
    <row r="1141" spans="1:7" s="10" customFormat="1" ht="15.75" customHeight="1" x14ac:dyDescent="0.25">
      <c r="A1141" s="1"/>
      <c r="B1141" s="3"/>
      <c r="C1141" s="40" t="s">
        <v>1728</v>
      </c>
      <c r="D1141" s="45">
        <v>688</v>
      </c>
      <c r="E1141" s="51"/>
      <c r="F1141" s="2"/>
      <c r="G1141" s="71"/>
    </row>
    <row r="1142" spans="1:7" s="10" customFormat="1" ht="15.75" customHeight="1" x14ac:dyDescent="0.25">
      <c r="A1142" s="1"/>
      <c r="B1142" s="3"/>
      <c r="C1142" s="40" t="s">
        <v>1729</v>
      </c>
      <c r="D1142" s="45">
        <v>3104</v>
      </c>
      <c r="E1142" s="51"/>
      <c r="F1142" s="2"/>
      <c r="G1142" s="71"/>
    </row>
    <row r="1143" spans="1:7" s="10" customFormat="1" ht="15.75" customHeight="1" x14ac:dyDescent="0.25">
      <c r="A1143" s="1"/>
      <c r="B1143" s="3"/>
      <c r="C1143" s="40" t="s">
        <v>1730</v>
      </c>
      <c r="D1143" s="45">
        <v>1550</v>
      </c>
      <c r="E1143" s="51"/>
      <c r="F1143" s="2"/>
      <c r="G1143" s="71"/>
    </row>
    <row r="1144" spans="1:7" s="10" customFormat="1" ht="15.75" customHeight="1" x14ac:dyDescent="0.25">
      <c r="A1144" s="1"/>
      <c r="B1144" s="3"/>
      <c r="C1144" s="40" t="s">
        <v>231</v>
      </c>
      <c r="D1144" s="45">
        <v>718</v>
      </c>
      <c r="E1144" s="51"/>
      <c r="F1144" s="2"/>
      <c r="G1144" s="71"/>
    </row>
    <row r="1145" spans="1:7" s="10" customFormat="1" ht="15.75" customHeight="1" x14ac:dyDescent="0.25">
      <c r="A1145" s="1"/>
      <c r="B1145" s="3"/>
      <c r="C1145" s="40" t="s">
        <v>1577</v>
      </c>
      <c r="D1145" s="45">
        <v>1775</v>
      </c>
      <c r="E1145" s="51"/>
      <c r="F1145" s="2"/>
      <c r="G1145" s="71"/>
    </row>
    <row r="1146" spans="1:7" s="10" customFormat="1" ht="15.75" customHeight="1" x14ac:dyDescent="0.25">
      <c r="A1146" s="1"/>
      <c r="B1146" s="3"/>
      <c r="C1146" s="40" t="s">
        <v>1731</v>
      </c>
      <c r="D1146" s="45">
        <v>4868</v>
      </c>
      <c r="E1146" s="51"/>
      <c r="F1146" s="2"/>
      <c r="G1146" s="71"/>
    </row>
    <row r="1147" spans="1:7" s="10" customFormat="1" ht="15.75" customHeight="1" x14ac:dyDescent="0.25">
      <c r="A1147" s="1"/>
      <c r="B1147" s="3"/>
      <c r="C1147" s="40" t="s">
        <v>9</v>
      </c>
      <c r="D1147" s="45">
        <v>948</v>
      </c>
      <c r="E1147" s="51"/>
      <c r="F1147" s="2"/>
      <c r="G1147" s="71"/>
    </row>
    <row r="1148" spans="1:7" s="10" customFormat="1" ht="15.75" customHeight="1" x14ac:dyDescent="0.25">
      <c r="A1148" s="1"/>
      <c r="B1148" s="3"/>
      <c r="C1148" s="40" t="s">
        <v>1732</v>
      </c>
      <c r="D1148" s="45">
        <v>1164</v>
      </c>
      <c r="E1148" s="51"/>
      <c r="F1148" s="2"/>
      <c r="G1148" s="71"/>
    </row>
    <row r="1149" spans="1:7" s="10" customFormat="1" ht="15.75" customHeight="1" x14ac:dyDescent="0.25">
      <c r="A1149" s="1"/>
      <c r="B1149" s="3"/>
      <c r="C1149" s="40" t="s">
        <v>15</v>
      </c>
      <c r="D1149" s="45">
        <v>468</v>
      </c>
      <c r="E1149" s="51"/>
      <c r="F1149" s="2"/>
      <c r="G1149" s="71"/>
    </row>
    <row r="1150" spans="1:7" s="10" customFormat="1" ht="15.75" customHeight="1" x14ac:dyDescent="0.25">
      <c r="A1150" s="1"/>
      <c r="B1150" s="3"/>
      <c r="C1150" s="40" t="s">
        <v>1733</v>
      </c>
      <c r="D1150" s="45">
        <v>411</v>
      </c>
      <c r="E1150" s="51"/>
      <c r="F1150" s="2"/>
      <c r="G1150" s="71"/>
    </row>
    <row r="1151" spans="1:7" s="10" customFormat="1" ht="15.75" customHeight="1" x14ac:dyDescent="0.25">
      <c r="A1151" s="1"/>
      <c r="B1151" s="3"/>
      <c r="C1151" s="40" t="s">
        <v>1734</v>
      </c>
      <c r="D1151" s="45">
        <v>1008</v>
      </c>
      <c r="E1151" s="51"/>
      <c r="F1151" s="2"/>
      <c r="G1151" s="71"/>
    </row>
    <row r="1152" spans="1:7" s="10" customFormat="1" ht="15.75" customHeight="1" x14ac:dyDescent="0.25">
      <c r="A1152" s="1"/>
      <c r="B1152" s="3"/>
      <c r="C1152" s="40" t="s">
        <v>1334</v>
      </c>
      <c r="D1152" s="45">
        <v>1185</v>
      </c>
      <c r="E1152" s="51"/>
      <c r="F1152" s="2"/>
      <c r="G1152" s="71"/>
    </row>
    <row r="1153" spans="1:7" s="10" customFormat="1" ht="15.75" customHeight="1" x14ac:dyDescent="0.25">
      <c r="A1153" s="1"/>
      <c r="B1153" s="3"/>
      <c r="C1153" s="40" t="s">
        <v>1735</v>
      </c>
      <c r="D1153" s="45">
        <v>287</v>
      </c>
      <c r="E1153" s="51"/>
      <c r="F1153" s="2"/>
      <c r="G1153" s="71"/>
    </row>
    <row r="1154" spans="1:7" s="10" customFormat="1" ht="15.75" customHeight="1" x14ac:dyDescent="0.25">
      <c r="A1154" s="1"/>
      <c r="B1154" s="3"/>
      <c r="C1154" s="40" t="s">
        <v>21</v>
      </c>
      <c r="D1154" s="45">
        <v>1641</v>
      </c>
      <c r="E1154" s="51"/>
      <c r="F1154" s="2"/>
      <c r="G1154" s="71"/>
    </row>
    <row r="1155" spans="1:7" s="10" customFormat="1" ht="15.75" customHeight="1" x14ac:dyDescent="0.25">
      <c r="A1155" s="1"/>
      <c r="B1155" s="3"/>
      <c r="C1155" s="40" t="s">
        <v>22</v>
      </c>
      <c r="D1155" s="45">
        <v>2110</v>
      </c>
      <c r="E1155" s="51"/>
      <c r="F1155" s="2"/>
      <c r="G1155" s="71"/>
    </row>
    <row r="1156" spans="1:7" s="10" customFormat="1" ht="15.75" customHeight="1" x14ac:dyDescent="0.25">
      <c r="A1156" s="1"/>
      <c r="B1156" s="3"/>
      <c r="C1156" s="40" t="s">
        <v>23</v>
      </c>
      <c r="D1156" s="45">
        <v>215</v>
      </c>
      <c r="E1156" s="51"/>
      <c r="F1156" s="2"/>
      <c r="G1156" s="71"/>
    </row>
    <row r="1157" spans="1:7" s="10" customFormat="1" ht="15.75" customHeight="1" x14ac:dyDescent="0.25">
      <c r="A1157" s="1"/>
      <c r="B1157" s="3"/>
      <c r="C1157" s="40" t="s">
        <v>24</v>
      </c>
      <c r="D1157" s="45">
        <v>219</v>
      </c>
      <c r="E1157" s="51"/>
      <c r="F1157" s="2"/>
      <c r="G1157" s="71"/>
    </row>
    <row r="1158" spans="1:7" s="10" customFormat="1" ht="15.75" customHeight="1" x14ac:dyDescent="0.25">
      <c r="A1158" s="1"/>
      <c r="B1158" s="3"/>
      <c r="C1158" s="40" t="s">
        <v>31</v>
      </c>
      <c r="D1158" s="45">
        <v>1034</v>
      </c>
      <c r="E1158" s="51"/>
      <c r="F1158" s="2"/>
      <c r="G1158" s="71"/>
    </row>
    <row r="1159" spans="1:7" s="10" customFormat="1" ht="15.75" customHeight="1" x14ac:dyDescent="0.25">
      <c r="A1159" s="1"/>
      <c r="B1159" s="3"/>
      <c r="C1159" s="40" t="s">
        <v>41</v>
      </c>
      <c r="D1159" s="45">
        <v>2178</v>
      </c>
      <c r="E1159" s="51"/>
      <c r="F1159" s="2"/>
      <c r="G1159" s="71"/>
    </row>
    <row r="1160" spans="1:7" s="10" customFormat="1" ht="15.75" customHeight="1" x14ac:dyDescent="0.25">
      <c r="A1160" s="1"/>
      <c r="B1160" s="3"/>
      <c r="C1160" s="40" t="s">
        <v>66</v>
      </c>
      <c r="D1160" s="45">
        <v>1397</v>
      </c>
      <c r="E1160" s="51"/>
      <c r="F1160" s="2"/>
      <c r="G1160" s="71"/>
    </row>
    <row r="1161" spans="1:7" s="10" customFormat="1" ht="15.75" customHeight="1" x14ac:dyDescent="0.25">
      <c r="A1161" s="1"/>
      <c r="B1161" s="3"/>
      <c r="C1161" s="40" t="s">
        <v>67</v>
      </c>
      <c r="D1161" s="45">
        <v>2792</v>
      </c>
      <c r="E1161" s="51"/>
      <c r="F1161" s="2"/>
      <c r="G1161" s="71"/>
    </row>
    <row r="1162" spans="1:7" s="10" customFormat="1" ht="15.75" customHeight="1" x14ac:dyDescent="0.25">
      <c r="A1162" s="1"/>
      <c r="B1162" s="3"/>
      <c r="C1162" s="40"/>
      <c r="D1162" s="46"/>
      <c r="E1162" s="51"/>
      <c r="F1162" s="2"/>
      <c r="G1162" s="71"/>
    </row>
    <row r="1163" spans="1:7" s="10" customFormat="1" ht="15.75" customHeight="1" x14ac:dyDescent="0.25">
      <c r="A1163" s="1"/>
      <c r="B1163" s="3"/>
      <c r="C1163" s="39" t="s">
        <v>1736</v>
      </c>
      <c r="D1163" s="57">
        <f>SUM(D1164:D1174)</f>
        <v>11304</v>
      </c>
      <c r="E1163" s="51"/>
      <c r="F1163" s="2"/>
      <c r="G1163" s="71"/>
    </row>
    <row r="1164" spans="1:7" s="10" customFormat="1" ht="15.75" customHeight="1" x14ac:dyDescent="0.25">
      <c r="A1164" s="1"/>
      <c r="B1164" s="3"/>
      <c r="C1164" s="40" t="s">
        <v>26</v>
      </c>
      <c r="D1164" s="45">
        <v>452</v>
      </c>
      <c r="E1164" s="51"/>
      <c r="F1164" s="2"/>
      <c r="G1164" s="71"/>
    </row>
    <row r="1165" spans="1:7" s="10" customFormat="1" ht="15.75" customHeight="1" x14ac:dyDescent="0.25">
      <c r="A1165" s="1"/>
      <c r="B1165" s="3"/>
      <c r="C1165" s="40" t="s">
        <v>1737</v>
      </c>
      <c r="D1165" s="45">
        <v>1426</v>
      </c>
      <c r="E1165" s="51"/>
      <c r="F1165" s="2"/>
      <c r="G1165" s="71"/>
    </row>
    <row r="1166" spans="1:7" s="10" customFormat="1" ht="15.75" customHeight="1" x14ac:dyDescent="0.25">
      <c r="A1166" s="1"/>
      <c r="B1166" s="3"/>
      <c r="C1166" s="40" t="s">
        <v>1738</v>
      </c>
      <c r="D1166" s="45">
        <v>441</v>
      </c>
      <c r="E1166" s="51"/>
      <c r="F1166" s="2"/>
      <c r="G1166" s="71"/>
    </row>
    <row r="1167" spans="1:7" s="10" customFormat="1" ht="15.75" customHeight="1" x14ac:dyDescent="0.25">
      <c r="A1167" s="1"/>
      <c r="B1167" s="3"/>
      <c r="C1167" s="40" t="s">
        <v>1739</v>
      </c>
      <c r="D1167" s="45">
        <v>1249</v>
      </c>
      <c r="E1167" s="51"/>
      <c r="F1167" s="2"/>
      <c r="G1167" s="71"/>
    </row>
    <row r="1168" spans="1:7" s="10" customFormat="1" ht="15.75" customHeight="1" x14ac:dyDescent="0.25">
      <c r="A1168" s="1"/>
      <c r="B1168" s="3"/>
      <c r="C1168" s="40" t="s">
        <v>1740</v>
      </c>
      <c r="D1168" s="45">
        <v>1533</v>
      </c>
      <c r="E1168" s="51"/>
      <c r="F1168" s="2"/>
      <c r="G1168" s="71"/>
    </row>
    <row r="1169" spans="1:7" s="10" customFormat="1" ht="15.75" customHeight="1" x14ac:dyDescent="0.25">
      <c r="A1169" s="1"/>
      <c r="B1169" s="3"/>
      <c r="C1169" s="40" t="s">
        <v>1580</v>
      </c>
      <c r="D1169" s="45">
        <v>422</v>
      </c>
      <c r="E1169" s="51"/>
      <c r="F1169" s="2"/>
      <c r="G1169" s="71"/>
    </row>
    <row r="1170" spans="1:7" s="10" customFormat="1" ht="15.75" customHeight="1" x14ac:dyDescent="0.25">
      <c r="A1170" s="1"/>
      <c r="B1170" s="3"/>
      <c r="C1170" s="40" t="s">
        <v>1741</v>
      </c>
      <c r="D1170" s="45">
        <v>2702</v>
      </c>
      <c r="E1170" s="51"/>
      <c r="F1170" s="2"/>
      <c r="G1170" s="71"/>
    </row>
    <row r="1171" spans="1:7" s="10" customFormat="1" ht="15.75" customHeight="1" x14ac:dyDescent="0.25">
      <c r="A1171" s="1"/>
      <c r="B1171" s="3"/>
      <c r="C1171" s="40" t="s">
        <v>124</v>
      </c>
      <c r="D1171" s="45">
        <v>602</v>
      </c>
      <c r="E1171" s="51"/>
      <c r="F1171" s="2"/>
      <c r="G1171" s="71"/>
    </row>
    <row r="1172" spans="1:7" s="10" customFormat="1" ht="15.75" customHeight="1" x14ac:dyDescent="0.25">
      <c r="A1172" s="1"/>
      <c r="B1172" s="3"/>
      <c r="C1172" s="40" t="s">
        <v>1742</v>
      </c>
      <c r="D1172" s="45">
        <v>646</v>
      </c>
      <c r="E1172" s="51"/>
      <c r="F1172" s="2"/>
      <c r="G1172" s="71"/>
    </row>
    <row r="1173" spans="1:7" s="10" customFormat="1" ht="15.75" customHeight="1" x14ac:dyDescent="0.25">
      <c r="A1173" s="1"/>
      <c r="B1173" s="3"/>
      <c r="C1173" s="40" t="s">
        <v>1582</v>
      </c>
      <c r="D1173" s="45">
        <v>745</v>
      </c>
      <c r="E1173" s="51"/>
      <c r="F1173" s="2"/>
      <c r="G1173" s="71"/>
    </row>
    <row r="1174" spans="1:7" s="10" customFormat="1" ht="15.75" customHeight="1" x14ac:dyDescent="0.25">
      <c r="A1174" s="1"/>
      <c r="B1174" s="3"/>
      <c r="C1174" s="40" t="s">
        <v>61</v>
      </c>
      <c r="D1174" s="45">
        <v>1086</v>
      </c>
      <c r="E1174" s="51"/>
      <c r="F1174" s="2"/>
      <c r="G1174" s="71"/>
    </row>
    <row r="1175" spans="1:7" s="10" customFormat="1" ht="15.75" customHeight="1" x14ac:dyDescent="0.25">
      <c r="A1175" s="1"/>
      <c r="B1175" s="3"/>
      <c r="C1175" s="25"/>
      <c r="D1175" s="25"/>
      <c r="E1175" s="18"/>
      <c r="F1175" s="2"/>
      <c r="G1175" s="71"/>
    </row>
    <row r="1176" spans="1:7" s="14" customFormat="1" ht="15.75" customHeight="1" x14ac:dyDescent="0.25">
      <c r="A1176" s="1"/>
      <c r="B1176" s="3"/>
      <c r="C1176" s="13"/>
      <c r="D1176" s="13"/>
      <c r="E1176" s="18"/>
      <c r="F1176" s="2"/>
      <c r="G1176" s="71"/>
    </row>
    <row r="1177" spans="1:7" s="14" customFormat="1" ht="15.75" customHeight="1" x14ac:dyDescent="0.25">
      <c r="A1177" s="1"/>
      <c r="B1177" s="3"/>
      <c r="C1177" s="26" t="s">
        <v>1973</v>
      </c>
      <c r="D1177" s="13"/>
      <c r="E1177" s="18"/>
      <c r="F1177" s="2"/>
      <c r="G1177" s="71"/>
    </row>
    <row r="1178" spans="1:7" s="10" customFormat="1" ht="15.75" customHeight="1" x14ac:dyDescent="0.25">
      <c r="A1178" s="1"/>
      <c r="B1178" s="3"/>
      <c r="C1178" s="19" t="s">
        <v>2414</v>
      </c>
      <c r="D1178" s="15"/>
      <c r="E1178" s="18"/>
      <c r="F1178" s="2"/>
      <c r="G1178" s="71"/>
    </row>
    <row r="1179" spans="1:7" s="10" customFormat="1" ht="15.75" customHeight="1" x14ac:dyDescent="0.25">
      <c r="A1179" s="1"/>
      <c r="B1179" s="3"/>
      <c r="C1179" s="73" t="s">
        <v>2416</v>
      </c>
      <c r="D1179" s="15"/>
      <c r="E1179" s="18"/>
      <c r="F1179" s="2"/>
      <c r="G1179" s="71"/>
    </row>
    <row r="1180" spans="1:7" ht="15.75" customHeight="1" x14ac:dyDescent="0.25">
      <c r="A1180" s="1"/>
      <c r="B1180" s="3"/>
      <c r="C1180" s="22"/>
    </row>
    <row r="1181" spans="1:7" ht="15.75" customHeight="1" x14ac:dyDescent="0.25">
      <c r="A1181" s="1"/>
      <c r="B1181" s="3"/>
      <c r="C1181" s="26" t="s">
        <v>1974</v>
      </c>
    </row>
    <row r="1182" spans="1:7" ht="15.75" customHeight="1" x14ac:dyDescent="0.25">
      <c r="A1182" s="1"/>
      <c r="B1182" s="3"/>
      <c r="C1182" s="28" t="s">
        <v>1978</v>
      </c>
    </row>
  </sheetData>
  <mergeCells count="2">
    <mergeCell ref="C1:D1"/>
    <mergeCell ref="C2:D2"/>
  </mergeCells>
  <printOptions horizontalCentered="1"/>
  <pageMargins left="0.98425196850393704" right="0.98425196850393704" top="0.98425196850393704" bottom="0.98425196850393704" header="0.51181102362204722" footer="0.51181102362204722"/>
  <pageSetup firstPageNumber="40" orientation="portrait" useFirstPageNumber="1" r:id="rId1"/>
  <headerFooter differentOddEven="1">
    <oddHeader>&amp;L&amp;"Arial,Bold Italic"&amp;10Cebu&amp;R&amp;"Arial,Bold Italic"&amp;10 2020 Census of Population and Housing</oddHeader>
    <oddFooter>&amp;L&amp;"Arial,Bold"&amp;10&amp;P&amp;R&amp;"Arial,Bold Italic"&amp;10Philippine Statistics Authority</oddFooter>
    <evenHeader>&amp;L&amp;"Arial,Bold Italic"&amp;10 2020 Census of Population and Housing&amp;R&amp;"Arial,Bold Italic"&amp;10 Cebu</evenHeader>
    <evenFooter>&amp;L&amp;"Arial,Bold Italic"&amp;10Philippine Statistics Authority&amp;R&amp;"Arial,Bold"&amp;10&amp;P</even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92"/>
  <sheetViews>
    <sheetView view="pageBreakPreview" zoomScaleSheetLayoutView="100" workbookViewId="0">
      <selection activeCell="G9" sqref="G9"/>
    </sheetView>
  </sheetViews>
  <sheetFormatPr defaultRowHeight="15.75" customHeight="1" x14ac:dyDescent="0.25"/>
  <cols>
    <col min="1" max="2" width="9.140625" style="2"/>
    <col min="3" max="3" width="56.7109375" style="2" customWidth="1"/>
    <col min="4" max="4" width="19.7109375" style="2" customWidth="1"/>
    <col min="5" max="5" width="9.140625" style="18"/>
    <col min="6" max="6" width="17.42578125" style="2" bestFit="1" customWidth="1"/>
    <col min="7" max="7" width="26.42578125" style="71" bestFit="1" customWidth="1"/>
    <col min="8" max="16384" width="9.140625" style="2"/>
  </cols>
  <sheetData>
    <row r="1" spans="1:7" s="1" customFormat="1" ht="15.75" customHeight="1" x14ac:dyDescent="0.25">
      <c r="C1" s="83" t="s">
        <v>1979</v>
      </c>
      <c r="D1" s="83"/>
      <c r="G1" s="70"/>
    </row>
    <row r="2" spans="1:7" s="1" customFormat="1" ht="15.75" customHeight="1" x14ac:dyDescent="0.25">
      <c r="C2" s="83" t="s">
        <v>1980</v>
      </c>
      <c r="D2" s="83"/>
      <c r="E2" s="16"/>
      <c r="G2" s="70"/>
    </row>
    <row r="3" spans="1:7" s="1" customFormat="1" ht="15.75" customHeight="1" thickBot="1" x14ac:dyDescent="0.3">
      <c r="E3" s="16"/>
      <c r="G3" s="70"/>
    </row>
    <row r="4" spans="1:7" s="1" customFormat="1" ht="15.75" customHeight="1" thickTop="1" x14ac:dyDescent="0.25">
      <c r="C4" s="49" t="s">
        <v>1972</v>
      </c>
      <c r="D4" s="33" t="s">
        <v>1977</v>
      </c>
      <c r="E4" s="16"/>
      <c r="G4" s="70"/>
    </row>
    <row r="5" spans="1:7" s="1" customFormat="1" ht="15.75" customHeight="1" thickBot="1" x14ac:dyDescent="0.3">
      <c r="C5" s="50" t="s">
        <v>0</v>
      </c>
      <c r="D5" s="34" t="s">
        <v>1</v>
      </c>
      <c r="E5" s="16"/>
      <c r="G5" s="70"/>
    </row>
    <row r="6" spans="1:7" s="1" customFormat="1" ht="15.75" customHeight="1" thickTop="1" x14ac:dyDescent="0.25">
      <c r="E6" s="16"/>
      <c r="G6" s="70"/>
    </row>
    <row r="7" spans="1:7" s="10" customFormat="1" ht="15.75" customHeight="1" x14ac:dyDescent="0.25">
      <c r="A7" s="1"/>
      <c r="B7" s="3"/>
      <c r="C7" s="39" t="s">
        <v>2401</v>
      </c>
      <c r="D7" s="57">
        <f>SUM(D8:D87)</f>
        <v>964169</v>
      </c>
      <c r="E7" s="51"/>
      <c r="F7" s="52"/>
      <c r="G7" s="52"/>
    </row>
    <row r="8" spans="1:7" s="12" customFormat="1" ht="15.75" customHeight="1" x14ac:dyDescent="0.25">
      <c r="A8" s="1"/>
      <c r="B8" s="3"/>
      <c r="C8" s="40" t="s">
        <v>1743</v>
      </c>
      <c r="D8" s="45">
        <v>4413</v>
      </c>
      <c r="E8" s="51"/>
      <c r="F8" s="52"/>
      <c r="G8" s="52"/>
    </row>
    <row r="9" spans="1:7" s="10" customFormat="1" ht="15.75" customHeight="1" x14ac:dyDescent="0.25">
      <c r="A9" s="1"/>
      <c r="B9" s="3"/>
      <c r="C9" s="40" t="s">
        <v>1744</v>
      </c>
      <c r="D9" s="45">
        <v>2772</v>
      </c>
      <c r="E9" s="51"/>
      <c r="F9" s="52"/>
      <c r="G9" s="52"/>
    </row>
    <row r="10" spans="1:7" s="10" customFormat="1" ht="15.75" customHeight="1" x14ac:dyDescent="0.25">
      <c r="A10" s="1"/>
      <c r="B10" s="3"/>
      <c r="C10" s="40" t="s">
        <v>1745</v>
      </c>
      <c r="D10" s="45">
        <v>24194</v>
      </c>
      <c r="E10" s="51"/>
      <c r="F10" s="52"/>
      <c r="G10" s="52"/>
    </row>
    <row r="11" spans="1:7" s="10" customFormat="1" ht="15.75" customHeight="1" x14ac:dyDescent="0.25">
      <c r="A11" s="1"/>
      <c r="B11" s="3"/>
      <c r="C11" s="40" t="s">
        <v>509</v>
      </c>
      <c r="D11" s="45">
        <v>5945</v>
      </c>
      <c r="E11" s="51"/>
      <c r="F11" s="52"/>
      <c r="G11" s="52"/>
    </row>
    <row r="12" spans="1:7" s="10" customFormat="1" ht="15.75" customHeight="1" x14ac:dyDescent="0.25">
      <c r="A12" s="1"/>
      <c r="B12" s="3"/>
      <c r="C12" s="40" t="s">
        <v>1746</v>
      </c>
      <c r="D12" s="45">
        <v>17854</v>
      </c>
      <c r="E12" s="51"/>
      <c r="F12" s="52"/>
      <c r="G12" s="52"/>
    </row>
    <row r="13" spans="1:7" s="10" customFormat="1" ht="15.75" customHeight="1" x14ac:dyDescent="0.25">
      <c r="A13" s="1"/>
      <c r="B13" s="3"/>
      <c r="C13" s="40" t="s">
        <v>1747</v>
      </c>
      <c r="D13" s="45">
        <v>14460</v>
      </c>
      <c r="E13" s="51"/>
      <c r="F13" s="52"/>
      <c r="G13" s="52"/>
    </row>
    <row r="14" spans="1:7" s="10" customFormat="1" ht="15.75" customHeight="1" x14ac:dyDescent="0.25">
      <c r="A14" s="1"/>
      <c r="B14" s="3"/>
      <c r="C14" s="40" t="s">
        <v>1748</v>
      </c>
      <c r="D14" s="45">
        <v>6336</v>
      </c>
      <c r="E14" s="51"/>
      <c r="F14" s="52"/>
      <c r="G14" s="52"/>
    </row>
    <row r="15" spans="1:7" s="10" customFormat="1" ht="15.75" customHeight="1" x14ac:dyDescent="0.25">
      <c r="A15" s="1"/>
      <c r="B15" s="3"/>
      <c r="C15" s="40" t="s">
        <v>1749</v>
      </c>
      <c r="D15" s="45">
        <v>38965</v>
      </c>
      <c r="E15" s="51"/>
      <c r="F15" s="52"/>
      <c r="G15" s="52"/>
    </row>
    <row r="16" spans="1:7" s="10" customFormat="1" ht="15.75" customHeight="1" x14ac:dyDescent="0.25">
      <c r="A16" s="1"/>
      <c r="B16" s="3"/>
      <c r="C16" s="40" t="s">
        <v>1360</v>
      </c>
      <c r="D16" s="45">
        <v>3493</v>
      </c>
      <c r="E16" s="51"/>
      <c r="F16" s="52"/>
      <c r="G16" s="52"/>
    </row>
    <row r="17" spans="1:7" s="10" customFormat="1" ht="15.75" customHeight="1" x14ac:dyDescent="0.25">
      <c r="A17" s="1"/>
      <c r="B17" s="3"/>
      <c r="C17" s="40" t="s">
        <v>43</v>
      </c>
      <c r="D17" s="45">
        <v>6108</v>
      </c>
      <c r="E17" s="51"/>
      <c r="F17" s="52"/>
      <c r="G17" s="52"/>
    </row>
    <row r="18" spans="1:7" s="10" customFormat="1" ht="15.75" customHeight="1" x14ac:dyDescent="0.25">
      <c r="A18" s="1"/>
      <c r="B18" s="3"/>
      <c r="C18" s="40" t="s">
        <v>1750</v>
      </c>
      <c r="D18" s="45">
        <v>8756</v>
      </c>
      <c r="E18" s="51"/>
      <c r="F18" s="52"/>
      <c r="G18" s="52"/>
    </row>
    <row r="19" spans="1:7" s="10" customFormat="1" ht="15.75" customHeight="1" x14ac:dyDescent="0.25">
      <c r="A19" s="1"/>
      <c r="B19" s="3"/>
      <c r="C19" s="40" t="s">
        <v>1751</v>
      </c>
      <c r="D19" s="45">
        <v>19088</v>
      </c>
      <c r="E19" s="51"/>
      <c r="F19" s="1"/>
      <c r="G19" s="52"/>
    </row>
    <row r="20" spans="1:7" s="10" customFormat="1" ht="15.75" customHeight="1" x14ac:dyDescent="0.25">
      <c r="A20" s="1"/>
      <c r="B20" s="3"/>
      <c r="C20" s="40" t="s">
        <v>1666</v>
      </c>
      <c r="D20" s="45">
        <v>28675</v>
      </c>
      <c r="E20" s="51"/>
      <c r="F20" s="2"/>
      <c r="G20" s="52"/>
    </row>
    <row r="21" spans="1:7" s="10" customFormat="1" ht="15.75" customHeight="1" x14ac:dyDescent="0.25">
      <c r="A21" s="1"/>
      <c r="B21" s="3"/>
      <c r="C21" s="40" t="s">
        <v>1752</v>
      </c>
      <c r="D21" s="45">
        <v>2927</v>
      </c>
      <c r="E21" s="51"/>
      <c r="F21" s="53"/>
      <c r="G21" s="52"/>
    </row>
    <row r="22" spans="1:7" s="10" customFormat="1" ht="15.75" customHeight="1" x14ac:dyDescent="0.25">
      <c r="A22" s="1"/>
      <c r="B22" s="3"/>
      <c r="C22" s="40" t="s">
        <v>1753</v>
      </c>
      <c r="D22" s="45">
        <v>17145</v>
      </c>
      <c r="E22" s="51"/>
      <c r="F22" s="53"/>
      <c r="G22" s="52"/>
    </row>
    <row r="23" spans="1:7" s="10" customFormat="1" ht="15.75" customHeight="1" x14ac:dyDescent="0.25">
      <c r="A23" s="1"/>
      <c r="B23" s="3"/>
      <c r="C23" s="40" t="s">
        <v>1754</v>
      </c>
      <c r="D23" s="45">
        <v>9834</v>
      </c>
      <c r="E23" s="51"/>
      <c r="F23" s="2"/>
      <c r="G23" s="52"/>
    </row>
    <row r="24" spans="1:7" s="10" customFormat="1" ht="15.75" customHeight="1" x14ac:dyDescent="0.25">
      <c r="A24" s="1"/>
      <c r="B24" s="3"/>
      <c r="C24" s="40" t="s">
        <v>1755</v>
      </c>
      <c r="D24" s="45">
        <v>3424</v>
      </c>
      <c r="E24" s="51"/>
      <c r="F24" s="2"/>
      <c r="G24" s="52"/>
    </row>
    <row r="25" spans="1:7" s="10" customFormat="1" ht="15.75" customHeight="1" x14ac:dyDescent="0.25">
      <c r="A25" s="1"/>
      <c r="B25" s="3"/>
      <c r="C25" s="40" t="s">
        <v>1756</v>
      </c>
      <c r="D25" s="45">
        <v>12604</v>
      </c>
      <c r="E25" s="51"/>
      <c r="F25" s="2"/>
      <c r="G25" s="52"/>
    </row>
    <row r="26" spans="1:7" s="10" customFormat="1" ht="15.75" customHeight="1" x14ac:dyDescent="0.25">
      <c r="A26" s="1"/>
      <c r="B26" s="3"/>
      <c r="C26" s="40" t="s">
        <v>1757</v>
      </c>
      <c r="D26" s="45">
        <v>11398</v>
      </c>
      <c r="E26" s="51"/>
      <c r="F26" s="2"/>
      <c r="G26" s="52"/>
    </row>
    <row r="27" spans="1:7" s="10" customFormat="1" ht="15.75" customHeight="1" x14ac:dyDescent="0.25">
      <c r="A27" s="1"/>
      <c r="B27" s="3"/>
      <c r="C27" s="40" t="s">
        <v>1758</v>
      </c>
      <c r="D27" s="45">
        <v>781</v>
      </c>
      <c r="E27" s="51"/>
      <c r="F27" s="2"/>
      <c r="G27" s="52"/>
    </row>
    <row r="28" spans="1:7" s="10" customFormat="1" ht="15.75" customHeight="1" x14ac:dyDescent="0.25">
      <c r="A28" s="1"/>
      <c r="B28" s="3"/>
      <c r="C28" s="40" t="s">
        <v>1759</v>
      </c>
      <c r="D28" s="45">
        <v>2693</v>
      </c>
      <c r="E28" s="51"/>
      <c r="F28" s="2"/>
      <c r="G28" s="52"/>
    </row>
    <row r="29" spans="1:7" s="10" customFormat="1" ht="15.75" customHeight="1" x14ac:dyDescent="0.25">
      <c r="A29" s="1"/>
      <c r="B29" s="3"/>
      <c r="C29" s="40" t="s">
        <v>1760</v>
      </c>
      <c r="D29" s="45">
        <v>23828</v>
      </c>
      <c r="E29" s="51"/>
      <c r="F29" s="2"/>
      <c r="G29" s="52"/>
    </row>
    <row r="30" spans="1:7" s="10" customFormat="1" ht="15.75" customHeight="1" x14ac:dyDescent="0.25">
      <c r="A30" s="1"/>
      <c r="B30" s="3"/>
      <c r="C30" s="40" t="s">
        <v>1317</v>
      </c>
      <c r="D30" s="45">
        <v>3815</v>
      </c>
      <c r="E30" s="51"/>
      <c r="F30" s="2"/>
      <c r="G30" s="52"/>
    </row>
    <row r="31" spans="1:7" s="10" customFormat="1" ht="15.75" customHeight="1" x14ac:dyDescent="0.25">
      <c r="A31" s="1"/>
      <c r="B31" s="3"/>
      <c r="C31" s="40" t="s">
        <v>1761</v>
      </c>
      <c r="D31" s="45">
        <v>15851</v>
      </c>
      <c r="E31" s="51"/>
      <c r="F31" s="2"/>
      <c r="G31" s="52"/>
    </row>
    <row r="32" spans="1:7" s="10" customFormat="1" ht="15.75" customHeight="1" x14ac:dyDescent="0.25">
      <c r="A32" s="1"/>
      <c r="B32" s="3"/>
      <c r="C32" s="40" t="s">
        <v>1762</v>
      </c>
      <c r="D32" s="45">
        <v>8541</v>
      </c>
      <c r="E32" s="51"/>
      <c r="F32" s="2"/>
      <c r="G32" s="52"/>
    </row>
    <row r="33" spans="1:7" s="10" customFormat="1" ht="15.75" customHeight="1" x14ac:dyDescent="0.25">
      <c r="A33" s="1"/>
      <c r="B33" s="3"/>
      <c r="C33" s="40" t="s">
        <v>53</v>
      </c>
      <c r="D33" s="45">
        <v>70039</v>
      </c>
      <c r="E33" s="51"/>
      <c r="F33" s="2"/>
      <c r="G33" s="52"/>
    </row>
    <row r="34" spans="1:7" s="10" customFormat="1" ht="15.75" customHeight="1" x14ac:dyDescent="0.25">
      <c r="A34" s="1"/>
      <c r="B34" s="3"/>
      <c r="C34" s="40" t="s">
        <v>162</v>
      </c>
      <c r="D34" s="45">
        <v>5732</v>
      </c>
      <c r="E34" s="51"/>
      <c r="F34" s="2"/>
      <c r="G34" s="52"/>
    </row>
    <row r="35" spans="1:7" s="10" customFormat="1" ht="15.75" customHeight="1" x14ac:dyDescent="0.25">
      <c r="A35" s="1"/>
      <c r="B35" s="3"/>
      <c r="C35" s="40" t="s">
        <v>1763</v>
      </c>
      <c r="D35" s="45">
        <v>9574</v>
      </c>
      <c r="E35" s="51"/>
      <c r="F35" s="2"/>
      <c r="G35" s="52"/>
    </row>
    <row r="36" spans="1:7" s="10" customFormat="1" ht="15.75" customHeight="1" x14ac:dyDescent="0.25">
      <c r="A36" s="1"/>
      <c r="B36" s="3"/>
      <c r="C36" s="40" t="s">
        <v>230</v>
      </c>
      <c r="D36" s="45">
        <v>32675</v>
      </c>
      <c r="E36" s="51"/>
      <c r="F36" s="2"/>
      <c r="G36" s="52"/>
    </row>
    <row r="37" spans="1:7" s="10" customFormat="1" ht="15.75" customHeight="1" x14ac:dyDescent="0.25">
      <c r="A37" s="1"/>
      <c r="B37" s="3"/>
      <c r="C37" s="40" t="s">
        <v>1764</v>
      </c>
      <c r="D37" s="45">
        <v>663</v>
      </c>
      <c r="E37" s="51"/>
      <c r="F37" s="2"/>
      <c r="G37" s="52"/>
    </row>
    <row r="38" spans="1:7" s="10" customFormat="1" ht="15.75" customHeight="1" x14ac:dyDescent="0.25">
      <c r="A38" s="1"/>
      <c r="B38" s="3"/>
      <c r="C38" s="40" t="s">
        <v>1765</v>
      </c>
      <c r="D38" s="45">
        <v>28230</v>
      </c>
      <c r="E38" s="51"/>
      <c r="F38" s="2"/>
      <c r="G38" s="52"/>
    </row>
    <row r="39" spans="1:7" s="10" customFormat="1" ht="15.75" customHeight="1" x14ac:dyDescent="0.25">
      <c r="A39" s="1"/>
      <c r="B39" s="3"/>
      <c r="C39" s="40" t="s">
        <v>1766</v>
      </c>
      <c r="D39" s="45">
        <v>2004</v>
      </c>
      <c r="E39" s="51"/>
      <c r="F39" s="2"/>
      <c r="G39" s="52"/>
    </row>
    <row r="40" spans="1:7" s="10" customFormat="1" ht="15.75" customHeight="1" x14ac:dyDescent="0.25">
      <c r="A40" s="1"/>
      <c r="B40" s="3"/>
      <c r="C40" s="40" t="s">
        <v>1767</v>
      </c>
      <c r="D40" s="45">
        <v>17664</v>
      </c>
      <c r="E40" s="51"/>
      <c r="F40" s="2"/>
      <c r="G40" s="70"/>
    </row>
    <row r="41" spans="1:7" s="10" customFormat="1" ht="15.75" customHeight="1" x14ac:dyDescent="0.25">
      <c r="A41" s="1"/>
      <c r="B41" s="3"/>
      <c r="C41" s="40" t="s">
        <v>1768</v>
      </c>
      <c r="D41" s="45">
        <v>7967</v>
      </c>
      <c r="E41" s="51"/>
      <c r="F41" s="2"/>
      <c r="G41" s="71"/>
    </row>
    <row r="42" spans="1:7" s="10" customFormat="1" ht="15.75" customHeight="1" x14ac:dyDescent="0.25">
      <c r="A42" s="1"/>
      <c r="B42" s="3"/>
      <c r="C42" s="40" t="s">
        <v>1769</v>
      </c>
      <c r="D42" s="45">
        <v>18756</v>
      </c>
      <c r="E42" s="51"/>
      <c r="F42" s="2"/>
      <c r="G42" s="72"/>
    </row>
    <row r="43" spans="1:7" s="10" customFormat="1" ht="15.75" customHeight="1" x14ac:dyDescent="0.25">
      <c r="A43" s="1"/>
      <c r="B43" s="3"/>
      <c r="C43" s="40" t="s">
        <v>1649</v>
      </c>
      <c r="D43" s="45">
        <v>32825</v>
      </c>
      <c r="E43" s="51"/>
      <c r="F43" s="2"/>
      <c r="G43" s="72"/>
    </row>
    <row r="44" spans="1:7" s="10" customFormat="1" ht="15.75" customHeight="1" x14ac:dyDescent="0.25">
      <c r="A44" s="1"/>
      <c r="B44" s="3"/>
      <c r="C44" s="40" t="s">
        <v>1770</v>
      </c>
      <c r="D44" s="45">
        <v>45853</v>
      </c>
      <c r="E44" s="51"/>
      <c r="F44" s="2"/>
      <c r="G44" s="71"/>
    </row>
    <row r="45" spans="1:7" s="10" customFormat="1" ht="15.75" customHeight="1" x14ac:dyDescent="0.25">
      <c r="A45" s="1"/>
      <c r="B45" s="3"/>
      <c r="C45" s="40" t="s">
        <v>1771</v>
      </c>
      <c r="D45" s="45">
        <v>12273</v>
      </c>
      <c r="E45" s="51"/>
      <c r="F45" s="2"/>
      <c r="G45" s="71"/>
    </row>
    <row r="46" spans="1:7" s="10" customFormat="1" ht="15.75" customHeight="1" x14ac:dyDescent="0.25">
      <c r="A46" s="1"/>
      <c r="B46" s="3"/>
      <c r="C46" s="40" t="s">
        <v>1772</v>
      </c>
      <c r="D46" s="45">
        <v>2595</v>
      </c>
      <c r="E46" s="51"/>
      <c r="F46" s="2"/>
      <c r="G46" s="71"/>
    </row>
    <row r="47" spans="1:7" s="10" customFormat="1" ht="15.75" customHeight="1" x14ac:dyDescent="0.25">
      <c r="A47" s="1"/>
      <c r="B47" s="3"/>
      <c r="C47" s="40" t="s">
        <v>1773</v>
      </c>
      <c r="D47" s="45">
        <v>16175</v>
      </c>
      <c r="E47" s="51"/>
      <c r="F47" s="2"/>
      <c r="G47" s="71"/>
    </row>
    <row r="48" spans="1:7" s="10" customFormat="1" ht="15.75" customHeight="1" x14ac:dyDescent="0.25">
      <c r="A48" s="1"/>
      <c r="B48" s="3"/>
      <c r="C48" s="40" t="s">
        <v>25</v>
      </c>
      <c r="D48" s="45">
        <v>2307</v>
      </c>
      <c r="E48" s="51"/>
      <c r="F48" s="2"/>
      <c r="G48" s="71"/>
    </row>
    <row r="49" spans="1:7" s="10" customFormat="1" ht="15.75" customHeight="1" x14ac:dyDescent="0.25">
      <c r="A49" s="1"/>
      <c r="B49" s="3"/>
      <c r="C49" s="40" t="s">
        <v>1774</v>
      </c>
      <c r="D49" s="45">
        <v>21616</v>
      </c>
      <c r="E49" s="51"/>
      <c r="F49" s="2"/>
      <c r="G49" s="71"/>
    </row>
    <row r="50" spans="1:7" s="10" customFormat="1" ht="15.75" customHeight="1" x14ac:dyDescent="0.25">
      <c r="A50" s="1"/>
      <c r="B50" s="3"/>
      <c r="C50" s="40" t="s">
        <v>1775</v>
      </c>
      <c r="D50" s="45">
        <v>3316</v>
      </c>
      <c r="E50" s="51"/>
      <c r="F50" s="2"/>
      <c r="G50" s="71"/>
    </row>
    <row r="51" spans="1:7" s="10" customFormat="1" ht="15.75" customHeight="1" x14ac:dyDescent="0.25">
      <c r="A51" s="1"/>
      <c r="B51" s="3"/>
      <c r="C51" s="40" t="s">
        <v>1776</v>
      </c>
      <c r="D51" s="45">
        <v>30459</v>
      </c>
      <c r="E51" s="51"/>
      <c r="F51" s="2"/>
      <c r="G51" s="71"/>
    </row>
    <row r="52" spans="1:7" s="10" customFormat="1" ht="15.75" customHeight="1" x14ac:dyDescent="0.25">
      <c r="A52" s="1"/>
      <c r="B52" s="3"/>
      <c r="C52" s="40" t="s">
        <v>1777</v>
      </c>
      <c r="D52" s="45">
        <v>5639</v>
      </c>
      <c r="E52" s="51"/>
      <c r="F52" s="2"/>
      <c r="G52" s="71"/>
    </row>
    <row r="53" spans="1:7" s="10" customFormat="1" ht="15.75" customHeight="1" x14ac:dyDescent="0.25">
      <c r="A53" s="1"/>
      <c r="B53" s="3"/>
      <c r="C53" s="40" t="s">
        <v>1778</v>
      </c>
      <c r="D53" s="45">
        <v>2743</v>
      </c>
      <c r="E53" s="51"/>
      <c r="F53" s="2"/>
      <c r="G53" s="71"/>
    </row>
    <row r="54" spans="1:7" s="10" customFormat="1" ht="15.75" customHeight="1" x14ac:dyDescent="0.25">
      <c r="A54" s="1"/>
      <c r="B54" s="3"/>
      <c r="C54" s="40" t="s">
        <v>1779</v>
      </c>
      <c r="D54" s="45">
        <v>1773</v>
      </c>
      <c r="E54" s="51"/>
      <c r="F54" s="2"/>
      <c r="G54" s="71"/>
    </row>
    <row r="55" spans="1:7" s="10" customFormat="1" ht="15.75" customHeight="1" x14ac:dyDescent="0.25">
      <c r="A55" s="1"/>
      <c r="B55" s="3"/>
      <c r="C55" s="40" t="s">
        <v>1780</v>
      </c>
      <c r="D55" s="45">
        <v>12016</v>
      </c>
      <c r="E55" s="51"/>
      <c r="F55" s="2"/>
      <c r="G55" s="71"/>
    </row>
    <row r="56" spans="1:7" s="10" customFormat="1" ht="15.75" customHeight="1" x14ac:dyDescent="0.25">
      <c r="A56" s="1"/>
      <c r="B56" s="3"/>
      <c r="C56" s="40" t="s">
        <v>1781</v>
      </c>
      <c r="D56" s="45">
        <v>1058</v>
      </c>
      <c r="E56" s="51"/>
      <c r="F56" s="2"/>
      <c r="G56" s="71"/>
    </row>
    <row r="57" spans="1:7" s="10" customFormat="1" ht="15.75" customHeight="1" x14ac:dyDescent="0.25">
      <c r="A57" s="1"/>
      <c r="B57" s="3"/>
      <c r="C57" s="40" t="s">
        <v>1205</v>
      </c>
      <c r="D57" s="45">
        <v>1847</v>
      </c>
      <c r="E57" s="51"/>
      <c r="F57" s="2"/>
      <c r="G57" s="71"/>
    </row>
    <row r="58" spans="1:7" s="10" customFormat="1" ht="15.75" customHeight="1" x14ac:dyDescent="0.25">
      <c r="A58" s="1"/>
      <c r="B58" s="3"/>
      <c r="C58" s="40" t="s">
        <v>207</v>
      </c>
      <c r="D58" s="45">
        <v>8395</v>
      </c>
      <c r="E58" s="51"/>
      <c r="F58" s="2"/>
      <c r="G58" s="71"/>
    </row>
    <row r="59" spans="1:7" s="10" customFormat="1" ht="15.75" customHeight="1" x14ac:dyDescent="0.25">
      <c r="A59" s="1"/>
      <c r="B59" s="3"/>
      <c r="C59" s="40" t="s">
        <v>1782</v>
      </c>
      <c r="D59" s="45">
        <v>7752</v>
      </c>
      <c r="E59" s="51"/>
      <c r="F59" s="2"/>
      <c r="G59" s="71"/>
    </row>
    <row r="60" spans="1:7" s="10" customFormat="1" ht="15.75" customHeight="1" x14ac:dyDescent="0.25">
      <c r="A60" s="1"/>
      <c r="B60" s="3"/>
      <c r="C60" s="40" t="s">
        <v>1783</v>
      </c>
      <c r="D60" s="45">
        <v>8037</v>
      </c>
      <c r="E60" s="51"/>
      <c r="F60" s="2"/>
      <c r="G60" s="71"/>
    </row>
    <row r="61" spans="1:7" s="10" customFormat="1" ht="15.75" customHeight="1" x14ac:dyDescent="0.25">
      <c r="A61" s="1"/>
      <c r="B61" s="3"/>
      <c r="C61" s="40" t="s">
        <v>1784</v>
      </c>
      <c r="D61" s="45">
        <v>2333</v>
      </c>
      <c r="E61" s="51"/>
      <c r="F61" s="2"/>
      <c r="G61" s="71"/>
    </row>
    <row r="62" spans="1:7" s="10" customFormat="1" ht="15.75" customHeight="1" x14ac:dyDescent="0.25">
      <c r="A62" s="1"/>
      <c r="B62" s="3"/>
      <c r="C62" s="40" t="s">
        <v>1785</v>
      </c>
      <c r="D62" s="45">
        <v>22658</v>
      </c>
      <c r="E62" s="51"/>
      <c r="F62" s="2"/>
      <c r="G62" s="71"/>
    </row>
    <row r="63" spans="1:7" s="10" customFormat="1" ht="15.75" customHeight="1" x14ac:dyDescent="0.25">
      <c r="A63" s="1"/>
      <c r="B63" s="3"/>
      <c r="C63" s="40" t="s">
        <v>1786</v>
      </c>
      <c r="D63" s="45">
        <v>27984</v>
      </c>
      <c r="E63" s="51"/>
      <c r="F63" s="2"/>
      <c r="G63" s="71"/>
    </row>
    <row r="64" spans="1:7" s="10" customFormat="1" ht="15.75" customHeight="1" x14ac:dyDescent="0.25">
      <c r="A64" s="1"/>
      <c r="B64" s="3"/>
      <c r="C64" s="40" t="s">
        <v>1787</v>
      </c>
      <c r="D64" s="45">
        <v>11526</v>
      </c>
      <c r="E64" s="51"/>
      <c r="F64" s="2"/>
      <c r="G64" s="71"/>
    </row>
    <row r="65" spans="1:7" s="10" customFormat="1" ht="15.75" customHeight="1" x14ac:dyDescent="0.25">
      <c r="A65" s="1"/>
      <c r="B65" s="3"/>
      <c r="C65" s="40" t="s">
        <v>1788</v>
      </c>
      <c r="D65" s="45">
        <v>12173</v>
      </c>
      <c r="E65" s="51"/>
      <c r="F65" s="2"/>
      <c r="G65" s="71"/>
    </row>
    <row r="66" spans="1:7" s="10" customFormat="1" ht="15.75" customHeight="1" x14ac:dyDescent="0.25">
      <c r="A66" s="1"/>
      <c r="B66" s="3"/>
      <c r="C66" s="40" t="s">
        <v>583</v>
      </c>
      <c r="D66" s="45">
        <v>2060</v>
      </c>
      <c r="E66" s="51"/>
      <c r="F66" s="2"/>
      <c r="G66" s="71"/>
    </row>
    <row r="67" spans="1:7" s="10" customFormat="1" ht="15.75" customHeight="1" x14ac:dyDescent="0.25">
      <c r="A67" s="1"/>
      <c r="B67" s="3"/>
      <c r="C67" s="40" t="s">
        <v>6</v>
      </c>
      <c r="D67" s="45">
        <v>8027</v>
      </c>
      <c r="E67" s="51"/>
      <c r="F67" s="2"/>
      <c r="G67" s="71"/>
    </row>
    <row r="68" spans="1:7" s="10" customFormat="1" ht="15.75" customHeight="1" x14ac:dyDescent="0.25">
      <c r="A68" s="1"/>
      <c r="B68" s="3"/>
      <c r="C68" s="40" t="s">
        <v>1789</v>
      </c>
      <c r="D68" s="45">
        <v>5327</v>
      </c>
      <c r="E68" s="51"/>
      <c r="F68" s="2"/>
      <c r="G68" s="71"/>
    </row>
    <row r="69" spans="1:7" s="10" customFormat="1" ht="15.75" customHeight="1" x14ac:dyDescent="0.25">
      <c r="A69" s="1"/>
      <c r="B69" s="3"/>
      <c r="C69" s="40" t="s">
        <v>1790</v>
      </c>
      <c r="D69" s="45">
        <v>3617</v>
      </c>
      <c r="E69" s="51"/>
      <c r="F69" s="2"/>
      <c r="G69" s="71"/>
    </row>
    <row r="70" spans="1:7" s="10" customFormat="1" ht="15.75" customHeight="1" x14ac:dyDescent="0.25">
      <c r="A70" s="1"/>
      <c r="B70" s="3"/>
      <c r="C70" s="40" t="s">
        <v>415</v>
      </c>
      <c r="D70" s="45">
        <v>2105</v>
      </c>
      <c r="E70" s="51"/>
      <c r="F70" s="2"/>
      <c r="G70" s="71"/>
    </row>
    <row r="71" spans="1:7" s="10" customFormat="1" ht="15.75" customHeight="1" x14ac:dyDescent="0.25">
      <c r="A71" s="1"/>
      <c r="B71" s="3"/>
      <c r="C71" s="40" t="s">
        <v>1791</v>
      </c>
      <c r="D71" s="45">
        <v>7676</v>
      </c>
      <c r="E71" s="51"/>
      <c r="F71" s="2"/>
      <c r="G71" s="71"/>
    </row>
    <row r="72" spans="1:7" s="10" customFormat="1" ht="15.75" customHeight="1" x14ac:dyDescent="0.25">
      <c r="A72" s="1"/>
      <c r="B72" s="3"/>
      <c r="C72" s="40" t="s">
        <v>1792</v>
      </c>
      <c r="D72" s="45">
        <v>2578</v>
      </c>
      <c r="E72" s="51"/>
      <c r="F72" s="2"/>
      <c r="G72" s="71"/>
    </row>
    <row r="73" spans="1:7" s="10" customFormat="1" ht="15.75" customHeight="1" x14ac:dyDescent="0.25">
      <c r="A73" s="1"/>
      <c r="B73" s="3"/>
      <c r="C73" s="40" t="s">
        <v>1793</v>
      </c>
      <c r="D73" s="45">
        <v>3647</v>
      </c>
      <c r="E73" s="51"/>
      <c r="F73" s="2"/>
      <c r="G73" s="71"/>
    </row>
    <row r="74" spans="1:7" s="10" customFormat="1" ht="15.75" customHeight="1" x14ac:dyDescent="0.25">
      <c r="A74" s="1"/>
      <c r="B74" s="3"/>
      <c r="C74" s="40" t="s">
        <v>1794</v>
      </c>
      <c r="D74" s="45">
        <v>10606</v>
      </c>
      <c r="E74" s="51"/>
      <c r="F74" s="2"/>
      <c r="G74" s="71"/>
    </row>
    <row r="75" spans="1:7" s="10" customFormat="1" ht="15.75" customHeight="1" x14ac:dyDescent="0.25">
      <c r="A75" s="1"/>
      <c r="B75" s="3"/>
      <c r="C75" s="40" t="s">
        <v>1795</v>
      </c>
      <c r="D75" s="45">
        <v>3273</v>
      </c>
      <c r="E75" s="51"/>
      <c r="F75" s="2"/>
      <c r="G75" s="71"/>
    </row>
    <row r="76" spans="1:7" s="10" customFormat="1" ht="15.75" customHeight="1" x14ac:dyDescent="0.25">
      <c r="A76" s="1"/>
      <c r="B76" s="3"/>
      <c r="C76" s="40" t="s">
        <v>1796</v>
      </c>
      <c r="D76" s="45">
        <v>8214</v>
      </c>
      <c r="E76" s="51"/>
      <c r="F76" s="2"/>
      <c r="G76" s="71"/>
    </row>
    <row r="77" spans="1:7" s="10" customFormat="1" ht="15.75" customHeight="1" x14ac:dyDescent="0.25">
      <c r="A77" s="1"/>
      <c r="B77" s="3"/>
      <c r="C77" s="40" t="s">
        <v>1797</v>
      </c>
      <c r="D77" s="45">
        <v>6719</v>
      </c>
      <c r="E77" s="51"/>
      <c r="F77" s="2"/>
      <c r="G77" s="71"/>
    </row>
    <row r="78" spans="1:7" s="10" customFormat="1" ht="15.75" customHeight="1" x14ac:dyDescent="0.25">
      <c r="A78" s="1"/>
      <c r="B78" s="3"/>
      <c r="C78" s="40" t="s">
        <v>199</v>
      </c>
      <c r="D78" s="45">
        <v>2270</v>
      </c>
      <c r="E78" s="51"/>
      <c r="F78" s="2"/>
      <c r="G78" s="71"/>
    </row>
    <row r="79" spans="1:7" s="10" customFormat="1" ht="15.75" customHeight="1" x14ac:dyDescent="0.25">
      <c r="A79" s="1"/>
      <c r="B79" s="3"/>
      <c r="C79" s="40" t="s">
        <v>1798</v>
      </c>
      <c r="D79" s="45">
        <v>1744</v>
      </c>
      <c r="E79" s="51"/>
      <c r="F79" s="2"/>
      <c r="G79" s="71"/>
    </row>
    <row r="80" spans="1:7" s="10" customFormat="1" ht="15.75" customHeight="1" x14ac:dyDescent="0.25">
      <c r="A80" s="1"/>
      <c r="B80" s="3"/>
      <c r="C80" s="40" t="s">
        <v>1799</v>
      </c>
      <c r="D80" s="45">
        <v>33382</v>
      </c>
      <c r="E80" s="51"/>
      <c r="F80" s="2"/>
      <c r="G80" s="71"/>
    </row>
    <row r="81" spans="1:7" s="10" customFormat="1" ht="15.75" customHeight="1" x14ac:dyDescent="0.25">
      <c r="A81" s="1"/>
      <c r="B81" s="3"/>
      <c r="C81" s="40" t="s">
        <v>1800</v>
      </c>
      <c r="D81" s="45">
        <v>2484</v>
      </c>
      <c r="E81" s="51"/>
      <c r="F81" s="2"/>
      <c r="G81" s="71"/>
    </row>
    <row r="82" spans="1:7" s="10" customFormat="1" ht="15.75" customHeight="1" x14ac:dyDescent="0.25">
      <c r="A82" s="1"/>
      <c r="B82" s="3"/>
      <c r="C82" s="40" t="s">
        <v>1801</v>
      </c>
      <c r="D82" s="45">
        <v>14084</v>
      </c>
      <c r="E82" s="51"/>
      <c r="F82" s="2"/>
      <c r="G82" s="71"/>
    </row>
    <row r="83" spans="1:7" s="10" customFormat="1" ht="15.75" customHeight="1" x14ac:dyDescent="0.25">
      <c r="A83" s="1"/>
      <c r="B83" s="3"/>
      <c r="C83" s="40" t="s">
        <v>533</v>
      </c>
      <c r="D83" s="45">
        <v>6700</v>
      </c>
      <c r="E83" s="51"/>
      <c r="F83" s="2"/>
      <c r="G83" s="71"/>
    </row>
    <row r="84" spans="1:7" s="10" customFormat="1" ht="15.75" customHeight="1" x14ac:dyDescent="0.25">
      <c r="A84" s="1"/>
      <c r="B84" s="3"/>
      <c r="C84" s="40" t="s">
        <v>1802</v>
      </c>
      <c r="D84" s="45">
        <v>47364</v>
      </c>
      <c r="E84" s="51"/>
      <c r="F84" s="2"/>
      <c r="G84" s="71"/>
    </row>
    <row r="85" spans="1:7" s="10" customFormat="1" ht="15.75" customHeight="1" x14ac:dyDescent="0.25">
      <c r="A85" s="1"/>
      <c r="B85" s="3"/>
      <c r="C85" s="40" t="s">
        <v>1803</v>
      </c>
      <c r="D85" s="45">
        <v>4549</v>
      </c>
      <c r="E85" s="51"/>
      <c r="F85" s="2"/>
      <c r="G85" s="71"/>
    </row>
    <row r="86" spans="1:7" s="10" customFormat="1" ht="15.75" customHeight="1" x14ac:dyDescent="0.25">
      <c r="A86" s="1"/>
      <c r="B86" s="3"/>
      <c r="C86" s="40" t="s">
        <v>1804</v>
      </c>
      <c r="D86" s="45">
        <v>2957</v>
      </c>
      <c r="E86" s="51"/>
      <c r="F86" s="2"/>
      <c r="G86" s="71"/>
    </row>
    <row r="87" spans="1:7" s="10" customFormat="1" ht="15.75" customHeight="1" x14ac:dyDescent="0.25">
      <c r="A87" s="1"/>
      <c r="B87" s="3"/>
      <c r="C87" s="40" t="s">
        <v>1805</v>
      </c>
      <c r="D87" s="45">
        <v>4229</v>
      </c>
      <c r="E87" s="51"/>
      <c r="F87" s="2"/>
      <c r="G87" s="71"/>
    </row>
    <row r="88" spans="1:7" s="10" customFormat="1" ht="15.75" customHeight="1" x14ac:dyDescent="0.25">
      <c r="A88" s="1"/>
      <c r="B88" s="3"/>
      <c r="C88" s="25"/>
      <c r="D88" s="25"/>
      <c r="E88" s="51"/>
      <c r="F88" s="52"/>
      <c r="G88" s="52"/>
    </row>
    <row r="89" spans="1:7" s="10" customFormat="1" ht="15.75" customHeight="1" x14ac:dyDescent="0.25">
      <c r="A89" s="1"/>
      <c r="B89" s="3"/>
      <c r="C89" s="20"/>
      <c r="D89" s="20"/>
      <c r="E89" s="51"/>
      <c r="F89" s="52"/>
      <c r="G89" s="52"/>
    </row>
    <row r="90" spans="1:7" ht="15.75" customHeight="1" x14ac:dyDescent="0.25">
      <c r="A90" s="1"/>
      <c r="B90" s="3"/>
      <c r="C90" s="26" t="s">
        <v>1974</v>
      </c>
      <c r="E90" s="51"/>
      <c r="F90" s="52"/>
      <c r="G90" s="52"/>
    </row>
    <row r="91" spans="1:7" ht="15.75" customHeight="1" x14ac:dyDescent="0.25">
      <c r="A91" s="1"/>
      <c r="B91" s="3"/>
      <c r="C91" s="28" t="s">
        <v>1978</v>
      </c>
      <c r="E91" s="51"/>
      <c r="F91" s="52"/>
      <c r="G91" s="52"/>
    </row>
    <row r="92" spans="1:7" ht="15.75" customHeight="1" x14ac:dyDescent="0.25">
      <c r="G92" s="52"/>
    </row>
  </sheetData>
  <mergeCells count="2">
    <mergeCell ref="C1:D1"/>
    <mergeCell ref="C2:D2"/>
  </mergeCells>
  <printOptions horizontalCentered="1"/>
  <pageMargins left="0.98425196850393704" right="0.98425196850393704" top="0.98425196850393704" bottom="0.98425196850393704" header="0.51181102362204722" footer="0.51181102362204722"/>
  <pageSetup firstPageNumber="73" orientation="portrait" useFirstPageNumber="1" r:id="rId1"/>
  <headerFooter differentOddEven="1">
    <oddHeader>&amp;L&amp;"Arial,Bold Italic"&amp;10 2020 Census of Population and Housing&amp;R&amp;"Arial,Bold Italic"&amp;10City of Cebu</oddHeader>
    <oddFooter>&amp;L&amp;"Arial,Bold Italic"&amp;10Philippine Statistics Authority&amp;R&amp;"Arial,Bold"&amp;10&amp;P</oddFooter>
    <evenHeader>&amp;L&amp;"Arial,Bold Italic"&amp;10City of Cebu&amp;R&amp;"Arial,Bold Italic"&amp;10 2020 Census of Population and Housing</evenHeader>
    <evenFooter>&amp;L&amp;"Arial,Bold"&amp;10&amp;P&amp;R&amp;"Arial,Bold Italic"&amp;10Philippine Statistics Authority</even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41"/>
  <sheetViews>
    <sheetView view="pageBreakPreview" topLeftCell="C1" zoomScaleSheetLayoutView="100" workbookViewId="0">
      <selection activeCell="K15" sqref="K15"/>
    </sheetView>
  </sheetViews>
  <sheetFormatPr defaultRowHeight="15.75" customHeight="1" x14ac:dyDescent="0.25"/>
  <cols>
    <col min="1" max="2" width="9.140625" style="2"/>
    <col min="3" max="3" width="56.7109375" style="2" customWidth="1"/>
    <col min="4" max="4" width="19.7109375" style="2" customWidth="1"/>
    <col min="5" max="5" width="9.140625" style="18"/>
    <col min="6" max="6" width="17.42578125" style="2" bestFit="1" customWidth="1"/>
    <col min="7" max="7" width="26.42578125" style="71" bestFit="1" customWidth="1"/>
    <col min="8" max="16384" width="9.140625" style="2"/>
  </cols>
  <sheetData>
    <row r="1" spans="1:7" s="1" customFormat="1" ht="15.75" customHeight="1" x14ac:dyDescent="0.25">
      <c r="C1" s="83" t="s">
        <v>1979</v>
      </c>
      <c r="D1" s="83"/>
      <c r="G1" s="70"/>
    </row>
    <row r="2" spans="1:7" s="1" customFormat="1" ht="15.75" customHeight="1" x14ac:dyDescent="0.25">
      <c r="C2" s="83" t="s">
        <v>1980</v>
      </c>
      <c r="D2" s="83"/>
      <c r="E2" s="16"/>
      <c r="G2" s="70"/>
    </row>
    <row r="3" spans="1:7" s="1" customFormat="1" ht="15.75" customHeight="1" thickBot="1" x14ac:dyDescent="0.3">
      <c r="E3" s="16"/>
      <c r="G3" s="70"/>
    </row>
    <row r="4" spans="1:7" s="1" customFormat="1" ht="15.75" customHeight="1" thickTop="1" x14ac:dyDescent="0.25">
      <c r="C4" s="49" t="s">
        <v>1972</v>
      </c>
      <c r="D4" s="76" t="s">
        <v>1977</v>
      </c>
      <c r="E4" s="16"/>
      <c r="G4" s="70"/>
    </row>
    <row r="5" spans="1:7" s="1" customFormat="1" ht="15.75" customHeight="1" thickBot="1" x14ac:dyDescent="0.3">
      <c r="C5" s="50" t="s">
        <v>0</v>
      </c>
      <c r="D5" s="77" t="s">
        <v>1</v>
      </c>
      <c r="E5" s="16"/>
      <c r="G5" s="70"/>
    </row>
    <row r="6" spans="1:7" s="1" customFormat="1" ht="15.75" customHeight="1" thickTop="1" x14ac:dyDescent="0.25">
      <c r="E6" s="16"/>
      <c r="G6" s="70"/>
    </row>
    <row r="7" spans="1:7" s="10" customFormat="1" ht="15.75" customHeight="1" x14ac:dyDescent="0.25">
      <c r="A7" s="1">
        <v>1</v>
      </c>
      <c r="B7" s="3"/>
      <c r="C7" s="39" t="s">
        <v>2402</v>
      </c>
      <c r="D7" s="57">
        <f>SUM(D8:D37)</f>
        <v>497604</v>
      </c>
      <c r="E7" s="51"/>
      <c r="F7" s="2"/>
      <c r="G7" s="71"/>
    </row>
    <row r="8" spans="1:7" s="10" customFormat="1" ht="15.75" customHeight="1" x14ac:dyDescent="0.25">
      <c r="A8" s="1">
        <v>2</v>
      </c>
      <c r="B8" s="3"/>
      <c r="C8" s="40" t="s">
        <v>1806</v>
      </c>
      <c r="D8" s="45">
        <v>19525</v>
      </c>
      <c r="E8" s="51"/>
      <c r="F8" s="2"/>
      <c r="G8" s="71"/>
    </row>
    <row r="9" spans="1:7" s="10" customFormat="1" ht="15.75" customHeight="1" x14ac:dyDescent="0.25">
      <c r="A9" s="1">
        <v>3</v>
      </c>
      <c r="B9" s="3"/>
      <c r="C9" s="40" t="s">
        <v>509</v>
      </c>
      <c r="D9" s="45">
        <v>30839</v>
      </c>
      <c r="E9" s="51"/>
      <c r="F9" s="2"/>
      <c r="G9" s="71"/>
    </row>
    <row r="10" spans="1:7" s="10" customFormat="1" ht="15.75" customHeight="1" x14ac:dyDescent="0.25">
      <c r="A10" s="1">
        <v>4</v>
      </c>
      <c r="B10" s="3"/>
      <c r="C10" s="40" t="s">
        <v>198</v>
      </c>
      <c r="D10" s="45">
        <v>22863</v>
      </c>
      <c r="E10" s="51"/>
      <c r="F10" s="2"/>
      <c r="G10" s="71"/>
    </row>
    <row r="11" spans="1:7" s="10" customFormat="1" ht="15.75" customHeight="1" x14ac:dyDescent="0.25">
      <c r="A11" s="1">
        <v>5</v>
      </c>
      <c r="B11" s="3"/>
      <c r="C11" s="40" t="s">
        <v>1258</v>
      </c>
      <c r="D11" s="45">
        <v>3870</v>
      </c>
      <c r="E11" s="51"/>
      <c r="F11" s="2"/>
      <c r="G11" s="71"/>
    </row>
    <row r="12" spans="1:7" s="10" customFormat="1" ht="15.75" customHeight="1" x14ac:dyDescent="0.25">
      <c r="A12" s="1">
        <v>6</v>
      </c>
      <c r="B12" s="3"/>
      <c r="C12" s="40" t="s">
        <v>229</v>
      </c>
      <c r="D12" s="45">
        <v>71990</v>
      </c>
      <c r="E12" s="51"/>
      <c r="F12" s="2"/>
      <c r="G12" s="71"/>
    </row>
    <row r="13" spans="1:7" s="10" customFormat="1" ht="15.75" customHeight="1" x14ac:dyDescent="0.25">
      <c r="A13" s="1">
        <v>7</v>
      </c>
      <c r="B13" s="3"/>
      <c r="C13" s="40" t="s">
        <v>190</v>
      </c>
      <c r="D13" s="45">
        <v>19078</v>
      </c>
      <c r="E13" s="51"/>
      <c r="F13" s="2"/>
      <c r="G13" s="71"/>
    </row>
    <row r="14" spans="1:7" s="10" customFormat="1" ht="15.75" customHeight="1" x14ac:dyDescent="0.25">
      <c r="A14" s="1">
        <v>8</v>
      </c>
      <c r="B14" s="3"/>
      <c r="C14" s="40" t="s">
        <v>1807</v>
      </c>
      <c r="D14" s="45">
        <v>15740</v>
      </c>
      <c r="E14" s="51"/>
      <c r="F14" s="2"/>
      <c r="G14" s="71"/>
    </row>
    <row r="15" spans="1:7" s="10" customFormat="1" ht="15.75" customHeight="1" x14ac:dyDescent="0.25">
      <c r="A15" s="1">
        <v>9</v>
      </c>
      <c r="B15" s="3"/>
      <c r="C15" s="40" t="s">
        <v>654</v>
      </c>
      <c r="D15" s="45">
        <v>14451</v>
      </c>
      <c r="E15" s="51"/>
      <c r="F15" s="2"/>
      <c r="G15" s="71"/>
    </row>
    <row r="16" spans="1:7" s="10" customFormat="1" ht="15.75" customHeight="1" x14ac:dyDescent="0.25">
      <c r="A16" s="1">
        <v>10</v>
      </c>
      <c r="B16" s="3"/>
      <c r="C16" s="40" t="s">
        <v>1808</v>
      </c>
      <c r="D16" s="45">
        <v>2226</v>
      </c>
      <c r="E16" s="51"/>
      <c r="F16" s="2"/>
      <c r="G16" s="71"/>
    </row>
    <row r="17" spans="1:7" s="10" customFormat="1" ht="15.75" customHeight="1" x14ac:dyDescent="0.25">
      <c r="A17" s="1">
        <v>11</v>
      </c>
      <c r="B17" s="3"/>
      <c r="C17" s="40" t="s">
        <v>1809</v>
      </c>
      <c r="D17" s="45">
        <v>694</v>
      </c>
      <c r="E17" s="51"/>
      <c r="F17" s="2"/>
      <c r="G17" s="71"/>
    </row>
    <row r="18" spans="1:7" s="10" customFormat="1" ht="15.75" customHeight="1" x14ac:dyDescent="0.25">
      <c r="A18" s="1">
        <v>12</v>
      </c>
      <c r="B18" s="3"/>
      <c r="C18" s="40" t="s">
        <v>1810</v>
      </c>
      <c r="D18" s="45">
        <v>2429</v>
      </c>
      <c r="E18" s="51"/>
      <c r="F18" s="2"/>
      <c r="G18" s="71"/>
    </row>
    <row r="19" spans="1:7" s="10" customFormat="1" ht="15.75" customHeight="1" x14ac:dyDescent="0.25">
      <c r="A19" s="1">
        <v>13</v>
      </c>
      <c r="B19" s="3"/>
      <c r="C19" s="40" t="s">
        <v>1811</v>
      </c>
      <c r="D19" s="45">
        <v>37989</v>
      </c>
      <c r="E19" s="51"/>
      <c r="F19" s="2"/>
      <c r="G19" s="71"/>
    </row>
    <row r="20" spans="1:7" s="10" customFormat="1" ht="15.75" customHeight="1" x14ac:dyDescent="0.25">
      <c r="A20" s="1">
        <v>14</v>
      </c>
      <c r="B20" s="3"/>
      <c r="C20" s="40" t="s">
        <v>1370</v>
      </c>
      <c r="D20" s="45">
        <v>8318</v>
      </c>
      <c r="E20" s="51"/>
      <c r="F20" s="2"/>
      <c r="G20" s="71"/>
    </row>
    <row r="21" spans="1:7" s="10" customFormat="1" ht="15.75" customHeight="1" x14ac:dyDescent="0.25">
      <c r="A21" s="1">
        <v>15</v>
      </c>
      <c r="B21" s="3"/>
      <c r="C21" s="40" t="s">
        <v>663</v>
      </c>
      <c r="D21" s="45">
        <v>15411</v>
      </c>
      <c r="E21" s="51"/>
      <c r="F21" s="2"/>
      <c r="G21" s="71"/>
    </row>
    <row r="22" spans="1:7" s="10" customFormat="1" ht="15.75" customHeight="1" x14ac:dyDescent="0.25">
      <c r="A22" s="1">
        <v>16</v>
      </c>
      <c r="B22" s="3"/>
      <c r="C22" s="40" t="s">
        <v>1812</v>
      </c>
      <c r="D22" s="45">
        <v>50964</v>
      </c>
      <c r="E22" s="51"/>
      <c r="F22" s="2"/>
      <c r="G22" s="71"/>
    </row>
    <row r="23" spans="1:7" s="10" customFormat="1" ht="15.75" customHeight="1" x14ac:dyDescent="0.25">
      <c r="A23" s="1">
        <v>17</v>
      </c>
      <c r="B23" s="3"/>
      <c r="C23" s="40" t="s">
        <v>1813</v>
      </c>
      <c r="D23" s="45">
        <v>18954</v>
      </c>
      <c r="E23" s="51"/>
      <c r="F23" s="2"/>
      <c r="G23" s="71"/>
    </row>
    <row r="24" spans="1:7" s="10" customFormat="1" ht="15.75" customHeight="1" x14ac:dyDescent="0.25">
      <c r="A24" s="1">
        <v>18</v>
      </c>
      <c r="B24" s="3"/>
      <c r="C24" s="40" t="s">
        <v>1814</v>
      </c>
      <c r="D24" s="45">
        <v>25584</v>
      </c>
      <c r="E24" s="51"/>
      <c r="F24" s="2"/>
      <c r="G24" s="71"/>
    </row>
    <row r="25" spans="1:7" s="10" customFormat="1" ht="15.75" customHeight="1" x14ac:dyDescent="0.25">
      <c r="A25" s="1">
        <v>19</v>
      </c>
      <c r="B25" s="3"/>
      <c r="C25" s="40" t="s">
        <v>1815</v>
      </c>
      <c r="D25" s="45">
        <v>22116</v>
      </c>
      <c r="E25" s="51"/>
      <c r="F25" s="2"/>
      <c r="G25" s="71"/>
    </row>
    <row r="26" spans="1:7" s="10" customFormat="1" ht="15.75" customHeight="1" x14ac:dyDescent="0.25">
      <c r="A26" s="1">
        <v>20</v>
      </c>
      <c r="B26" s="3"/>
      <c r="C26" s="40" t="s">
        <v>95</v>
      </c>
      <c r="D26" s="45">
        <v>25845</v>
      </c>
      <c r="E26" s="51"/>
      <c r="F26" s="2"/>
      <c r="G26" s="71"/>
    </row>
    <row r="27" spans="1:7" s="10" customFormat="1" ht="15.75" customHeight="1" x14ac:dyDescent="0.25">
      <c r="A27" s="1">
        <v>21</v>
      </c>
      <c r="B27" s="3"/>
      <c r="C27" s="40" t="s">
        <v>1816</v>
      </c>
      <c r="D27" s="45">
        <v>2348</v>
      </c>
      <c r="E27" s="51"/>
      <c r="F27" s="2"/>
      <c r="G27" s="71"/>
    </row>
    <row r="28" spans="1:7" s="10" customFormat="1" ht="15.75" customHeight="1" x14ac:dyDescent="0.25">
      <c r="A28" s="1">
        <v>22</v>
      </c>
      <c r="B28" s="3"/>
      <c r="C28" s="40" t="s">
        <v>2</v>
      </c>
      <c r="D28" s="45">
        <v>6238</v>
      </c>
      <c r="E28" s="51"/>
      <c r="F28" s="2"/>
      <c r="G28" s="71"/>
    </row>
    <row r="29" spans="1:7" s="10" customFormat="1" ht="15.75" customHeight="1" x14ac:dyDescent="0.25">
      <c r="A29" s="1">
        <v>23</v>
      </c>
      <c r="B29" s="3"/>
      <c r="C29" s="40" t="s">
        <v>1817</v>
      </c>
      <c r="D29" s="45">
        <v>11425</v>
      </c>
      <c r="E29" s="51"/>
      <c r="F29" s="2"/>
      <c r="G29" s="71"/>
    </row>
    <row r="30" spans="1:7" s="10" customFormat="1" ht="15.75" customHeight="1" x14ac:dyDescent="0.25">
      <c r="A30" s="1">
        <v>24</v>
      </c>
      <c r="B30" s="3"/>
      <c r="C30" s="40" t="s">
        <v>1818</v>
      </c>
      <c r="D30" s="45">
        <v>32791</v>
      </c>
      <c r="E30" s="51"/>
      <c r="F30" s="2"/>
      <c r="G30" s="71"/>
    </row>
    <row r="31" spans="1:7" s="10" customFormat="1" ht="15.75" customHeight="1" x14ac:dyDescent="0.25">
      <c r="A31" s="1">
        <v>25</v>
      </c>
      <c r="B31" s="3"/>
      <c r="C31" s="40" t="s">
        <v>32</v>
      </c>
      <c r="D31" s="45">
        <v>6910</v>
      </c>
      <c r="E31" s="51"/>
      <c r="F31" s="2"/>
      <c r="G31" s="71"/>
    </row>
    <row r="32" spans="1:7" s="10" customFormat="1" ht="15.75" customHeight="1" x14ac:dyDescent="0.25">
      <c r="A32" s="1">
        <v>26</v>
      </c>
      <c r="B32" s="3"/>
      <c r="C32" s="40" t="s">
        <v>80</v>
      </c>
      <c r="D32" s="45">
        <v>5388</v>
      </c>
      <c r="E32" s="51"/>
      <c r="F32" s="2"/>
      <c r="G32" s="71"/>
    </row>
    <row r="33" spans="1:7" s="10" customFormat="1" ht="15.75" customHeight="1" x14ac:dyDescent="0.25">
      <c r="A33" s="1">
        <v>27</v>
      </c>
      <c r="B33" s="3"/>
      <c r="C33" s="40" t="s">
        <v>1819</v>
      </c>
      <c r="D33" s="45">
        <v>7961</v>
      </c>
      <c r="E33" s="51"/>
      <c r="F33" s="2"/>
      <c r="G33" s="71"/>
    </row>
    <row r="34" spans="1:7" s="10" customFormat="1" ht="15.75" customHeight="1" x14ac:dyDescent="0.25">
      <c r="A34" s="1">
        <v>28</v>
      </c>
      <c r="B34" s="3"/>
      <c r="C34" s="40" t="s">
        <v>1820</v>
      </c>
      <c r="D34" s="45">
        <v>5973</v>
      </c>
      <c r="E34" s="51"/>
      <c r="F34" s="2"/>
      <c r="G34" s="71"/>
    </row>
    <row r="35" spans="1:7" s="10" customFormat="1" ht="15.75" customHeight="1" x14ac:dyDescent="0.25">
      <c r="A35" s="1">
        <v>29</v>
      </c>
      <c r="B35" s="3"/>
      <c r="C35" s="40" t="s">
        <v>1821</v>
      </c>
      <c r="D35" s="45">
        <v>3231</v>
      </c>
      <c r="E35" s="51"/>
      <c r="F35" s="2"/>
      <c r="G35" s="71"/>
    </row>
    <row r="36" spans="1:7" s="10" customFormat="1" ht="15.75" customHeight="1" x14ac:dyDescent="0.25">
      <c r="A36" s="1">
        <v>30</v>
      </c>
      <c r="B36" s="3"/>
      <c r="C36" s="40" t="s">
        <v>1822</v>
      </c>
      <c r="D36" s="45">
        <v>2244</v>
      </c>
      <c r="E36" s="51"/>
      <c r="F36" s="2"/>
      <c r="G36" s="71"/>
    </row>
    <row r="37" spans="1:7" s="10" customFormat="1" ht="15.75" customHeight="1" x14ac:dyDescent="0.25">
      <c r="A37" s="1">
        <v>31</v>
      </c>
      <c r="B37" s="3"/>
      <c r="C37" s="40" t="s">
        <v>10</v>
      </c>
      <c r="D37" s="45">
        <v>4209</v>
      </c>
      <c r="E37" s="51"/>
      <c r="F37" s="2"/>
      <c r="G37" s="52"/>
    </row>
    <row r="38" spans="1:7" s="10" customFormat="1" ht="15.75" customHeight="1" x14ac:dyDescent="0.25">
      <c r="A38" s="1">
        <v>32</v>
      </c>
      <c r="B38" s="3"/>
      <c r="C38" s="25"/>
      <c r="D38" s="25"/>
      <c r="E38" s="51"/>
      <c r="F38" s="52"/>
      <c r="G38" s="52"/>
    </row>
    <row r="39" spans="1:7" ht="15.75" customHeight="1" x14ac:dyDescent="0.25">
      <c r="A39" s="1">
        <v>33</v>
      </c>
      <c r="B39" s="3"/>
      <c r="E39" s="51"/>
      <c r="F39" s="52"/>
      <c r="G39" s="52"/>
    </row>
    <row r="40" spans="1:7" ht="15.75" customHeight="1" x14ac:dyDescent="0.25">
      <c r="A40" s="1">
        <v>34</v>
      </c>
      <c r="B40" s="3"/>
      <c r="C40" s="26" t="s">
        <v>1974</v>
      </c>
      <c r="E40" s="51"/>
      <c r="F40" s="52"/>
      <c r="G40" s="52"/>
    </row>
    <row r="41" spans="1:7" ht="15.75" customHeight="1" x14ac:dyDescent="0.25">
      <c r="A41" s="1">
        <v>35</v>
      </c>
      <c r="B41" s="3"/>
      <c r="C41" s="28" t="s">
        <v>1978</v>
      </c>
      <c r="E41" s="51"/>
      <c r="F41" s="52"/>
      <c r="G41" s="52"/>
    </row>
  </sheetData>
  <mergeCells count="2">
    <mergeCell ref="C1:D1"/>
    <mergeCell ref="C2:D2"/>
  </mergeCells>
  <printOptions horizontalCentered="1"/>
  <pageMargins left="0.98425196850393704" right="0.98425196850393704" top="0.98425196850393704" bottom="0.98425196850393704" header="0.51181102362204722" footer="0.51181102362204722"/>
  <pageSetup firstPageNumber="76" orientation="portrait" useFirstPageNumber="1" r:id="rId1"/>
  <headerFooter differentOddEven="1">
    <oddHeader>&amp;L&amp;"Arial,Bold Italic"&amp;10City of Lapu-Lapu (Opon)&amp;R&amp;"Arial,Bold Italic"&amp;10 2020 Census of Population and Housing</oddHeader>
    <oddFooter>&amp;L&amp;"Arial,Bold"&amp;10&amp;P&amp;R&amp;"Arial,Bold Italic"&amp;10Philippine Statistics Authority</oddFooter>
    <evenHeader>&amp;L&amp;"Arial,Bold Italic"&amp;10 2020 Census of Population and Housing&amp;R&amp;"Arial,Bold Italic"&amp;10City of Lapu-Lapu (Opon)</evenHeader>
    <evenFooter>&amp;L&amp;"Arial,Bold Italic"&amp;10Philippine Statistics Authority&amp;R&amp;"Arial,Bold"&amp;10&amp;P</even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39"/>
  <sheetViews>
    <sheetView view="pageBreakPreview" zoomScaleSheetLayoutView="100" workbookViewId="0">
      <selection activeCell="G10" sqref="G10"/>
    </sheetView>
  </sheetViews>
  <sheetFormatPr defaultRowHeight="15.75" customHeight="1" x14ac:dyDescent="0.25"/>
  <cols>
    <col min="1" max="2" width="9.140625" style="2"/>
    <col min="3" max="3" width="56.7109375" style="2" customWidth="1"/>
    <col min="4" max="4" width="19.7109375" style="2" customWidth="1"/>
    <col min="5" max="5" width="9.140625" style="18"/>
    <col min="6" max="6" width="17.42578125" style="2" bestFit="1" customWidth="1"/>
    <col min="7" max="7" width="26.42578125" style="71" bestFit="1" customWidth="1"/>
    <col min="8" max="16384" width="9.140625" style="2"/>
  </cols>
  <sheetData>
    <row r="1" spans="1:7" s="1" customFormat="1" ht="15.75" customHeight="1" x14ac:dyDescent="0.25">
      <c r="C1" s="83" t="s">
        <v>1979</v>
      </c>
      <c r="D1" s="83"/>
      <c r="G1" s="70"/>
    </row>
    <row r="2" spans="1:7" s="1" customFormat="1" ht="15.75" customHeight="1" x14ac:dyDescent="0.25">
      <c r="C2" s="83" t="s">
        <v>1980</v>
      </c>
      <c r="D2" s="83"/>
      <c r="E2" s="16"/>
      <c r="G2" s="70"/>
    </row>
    <row r="3" spans="1:7" s="1" customFormat="1" ht="15.75" customHeight="1" thickBot="1" x14ac:dyDescent="0.3">
      <c r="E3" s="16"/>
      <c r="G3" s="70"/>
    </row>
    <row r="4" spans="1:7" s="1" customFormat="1" ht="15.75" customHeight="1" thickTop="1" x14ac:dyDescent="0.25">
      <c r="C4" s="49" t="s">
        <v>1972</v>
      </c>
      <c r="D4" s="76" t="s">
        <v>1977</v>
      </c>
      <c r="E4" s="16"/>
      <c r="G4" s="70"/>
    </row>
    <row r="5" spans="1:7" s="1" customFormat="1" ht="15.75" customHeight="1" thickBot="1" x14ac:dyDescent="0.3">
      <c r="C5" s="50" t="s">
        <v>0</v>
      </c>
      <c r="D5" s="77" t="s">
        <v>1</v>
      </c>
      <c r="E5" s="16"/>
      <c r="G5" s="70"/>
    </row>
    <row r="6" spans="1:7" s="1" customFormat="1" ht="15.75" customHeight="1" thickTop="1" x14ac:dyDescent="0.25">
      <c r="E6" s="16"/>
      <c r="G6" s="70"/>
    </row>
    <row r="7" spans="1:7" s="10" customFormat="1" ht="15.75" customHeight="1" x14ac:dyDescent="0.25">
      <c r="A7" s="1"/>
      <c r="B7" s="3"/>
      <c r="C7" s="39" t="s">
        <v>2403</v>
      </c>
      <c r="D7" s="57">
        <f>SUM(D8:D34)</f>
        <v>364116</v>
      </c>
      <c r="E7" s="51"/>
      <c r="F7" s="2"/>
      <c r="G7" s="71"/>
    </row>
    <row r="8" spans="1:7" s="10" customFormat="1" ht="15.75" customHeight="1" x14ac:dyDescent="0.25">
      <c r="A8" s="1"/>
      <c r="B8" s="3"/>
      <c r="C8" s="40" t="s">
        <v>1642</v>
      </c>
      <c r="D8" s="45">
        <v>11495</v>
      </c>
      <c r="E8" s="51"/>
      <c r="F8" s="2"/>
      <c r="G8" s="71"/>
    </row>
    <row r="9" spans="1:7" s="10" customFormat="1" ht="15.75" customHeight="1" x14ac:dyDescent="0.25">
      <c r="A9" s="1"/>
      <c r="B9" s="3"/>
      <c r="C9" s="40" t="s">
        <v>540</v>
      </c>
      <c r="D9" s="45">
        <v>4387</v>
      </c>
      <c r="E9" s="51"/>
      <c r="F9" s="2"/>
      <c r="G9" s="71"/>
    </row>
    <row r="10" spans="1:7" s="10" customFormat="1" ht="15.75" customHeight="1" x14ac:dyDescent="0.25">
      <c r="A10" s="1"/>
      <c r="B10" s="3"/>
      <c r="C10" s="40" t="s">
        <v>1748</v>
      </c>
      <c r="D10" s="45">
        <v>18386</v>
      </c>
      <c r="E10" s="51"/>
      <c r="F10" s="2"/>
      <c r="G10" s="71"/>
    </row>
    <row r="11" spans="1:7" s="10" customFormat="1" ht="15.75" customHeight="1" x14ac:dyDescent="0.25">
      <c r="A11" s="1"/>
      <c r="B11" s="3"/>
      <c r="C11" s="40" t="s">
        <v>229</v>
      </c>
      <c r="D11" s="45">
        <v>11777</v>
      </c>
      <c r="E11" s="51"/>
      <c r="F11" s="2"/>
      <c r="G11" s="71"/>
    </row>
    <row r="12" spans="1:7" s="10" customFormat="1" ht="15.75" customHeight="1" x14ac:dyDescent="0.25">
      <c r="A12" s="1"/>
      <c r="B12" s="3"/>
      <c r="C12" s="40" t="s">
        <v>893</v>
      </c>
      <c r="D12" s="45">
        <v>14841</v>
      </c>
      <c r="E12" s="51"/>
      <c r="F12" s="2"/>
      <c r="G12" s="71"/>
    </row>
    <row r="13" spans="1:7" s="10" customFormat="1" ht="15.75" customHeight="1" x14ac:dyDescent="0.25">
      <c r="A13" s="1"/>
      <c r="B13" s="3"/>
      <c r="C13" s="40" t="s">
        <v>1823</v>
      </c>
      <c r="D13" s="45">
        <v>8990</v>
      </c>
      <c r="E13" s="51"/>
      <c r="F13" s="2"/>
      <c r="G13" s="71"/>
    </row>
    <row r="14" spans="1:7" s="10" customFormat="1" ht="15.75" customHeight="1" x14ac:dyDescent="0.25">
      <c r="A14" s="1"/>
      <c r="B14" s="3"/>
      <c r="C14" s="40" t="s">
        <v>1824</v>
      </c>
      <c r="D14" s="45">
        <v>23455</v>
      </c>
      <c r="E14" s="51"/>
      <c r="F14" s="2"/>
      <c r="G14" s="71"/>
    </row>
    <row r="15" spans="1:7" s="10" customFormat="1" ht="15.75" customHeight="1" x14ac:dyDescent="0.25">
      <c r="A15" s="1"/>
      <c r="B15" s="3"/>
      <c r="C15" s="40" t="s">
        <v>1302</v>
      </c>
      <c r="D15" s="45">
        <v>5403</v>
      </c>
      <c r="E15" s="51"/>
      <c r="F15" s="2"/>
      <c r="G15" s="71"/>
    </row>
    <row r="16" spans="1:7" s="10" customFormat="1" ht="15.75" customHeight="1" x14ac:dyDescent="0.25">
      <c r="A16" s="1"/>
      <c r="B16" s="3"/>
      <c r="C16" s="40" t="s">
        <v>1825</v>
      </c>
      <c r="D16" s="45">
        <v>16846</v>
      </c>
      <c r="E16" s="51"/>
      <c r="F16" s="2"/>
      <c r="G16" s="71"/>
    </row>
    <row r="17" spans="1:7" s="10" customFormat="1" ht="15.75" customHeight="1" x14ac:dyDescent="0.25">
      <c r="A17" s="1"/>
      <c r="B17" s="3"/>
      <c r="C17" s="40" t="s">
        <v>955</v>
      </c>
      <c r="D17" s="45">
        <v>2980</v>
      </c>
      <c r="E17" s="51"/>
      <c r="F17" s="2"/>
      <c r="G17" s="71"/>
    </row>
    <row r="18" spans="1:7" s="10" customFormat="1" ht="15.75" customHeight="1" x14ac:dyDescent="0.25">
      <c r="A18" s="1"/>
      <c r="B18" s="3"/>
      <c r="C18" s="40" t="s">
        <v>1826</v>
      </c>
      <c r="D18" s="45">
        <v>13832</v>
      </c>
      <c r="E18" s="51"/>
      <c r="F18" s="2"/>
      <c r="G18" s="71"/>
    </row>
    <row r="19" spans="1:7" s="10" customFormat="1" ht="15.75" customHeight="1" x14ac:dyDescent="0.25">
      <c r="A19" s="1"/>
      <c r="B19" s="3"/>
      <c r="C19" s="40" t="s">
        <v>1827</v>
      </c>
      <c r="D19" s="45">
        <v>7258</v>
      </c>
      <c r="E19" s="51"/>
      <c r="F19" s="2"/>
      <c r="G19" s="71"/>
    </row>
    <row r="20" spans="1:7" s="10" customFormat="1" ht="15.75" customHeight="1" x14ac:dyDescent="0.25">
      <c r="A20" s="1"/>
      <c r="B20" s="3"/>
      <c r="C20" s="40" t="s">
        <v>1828</v>
      </c>
      <c r="D20" s="45">
        <v>6994</v>
      </c>
      <c r="E20" s="51"/>
      <c r="F20" s="2"/>
      <c r="G20" s="71"/>
    </row>
    <row r="21" spans="1:7" s="10" customFormat="1" ht="15.75" customHeight="1" x14ac:dyDescent="0.25">
      <c r="A21" s="1"/>
      <c r="B21" s="3"/>
      <c r="C21" s="40" t="s">
        <v>1829</v>
      </c>
      <c r="D21" s="45">
        <v>12138</v>
      </c>
      <c r="E21" s="51"/>
      <c r="F21" s="2"/>
      <c r="G21" s="71"/>
    </row>
    <row r="22" spans="1:7" s="10" customFormat="1" ht="15.75" customHeight="1" x14ac:dyDescent="0.25">
      <c r="A22" s="1"/>
      <c r="B22" s="3"/>
      <c r="C22" s="40" t="s">
        <v>1830</v>
      </c>
      <c r="D22" s="45">
        <v>20466</v>
      </c>
      <c r="E22" s="51"/>
      <c r="F22" s="2"/>
      <c r="G22" s="71"/>
    </row>
    <row r="23" spans="1:7" s="10" customFormat="1" ht="15.75" customHeight="1" x14ac:dyDescent="0.25">
      <c r="A23" s="1"/>
      <c r="B23" s="3"/>
      <c r="C23" s="40" t="s">
        <v>663</v>
      </c>
      <c r="D23" s="45">
        <v>17395</v>
      </c>
      <c r="E23" s="51"/>
      <c r="F23" s="2"/>
      <c r="G23" s="71"/>
    </row>
    <row r="24" spans="1:7" s="10" customFormat="1" ht="15.75" customHeight="1" x14ac:dyDescent="0.25">
      <c r="A24" s="1"/>
      <c r="B24" s="3"/>
      <c r="C24" s="40" t="s">
        <v>1831</v>
      </c>
      <c r="D24" s="45">
        <v>14956</v>
      </c>
      <c r="E24" s="51"/>
      <c r="F24" s="2"/>
      <c r="G24" s="71"/>
    </row>
    <row r="25" spans="1:7" s="10" customFormat="1" ht="15.75" customHeight="1" x14ac:dyDescent="0.25">
      <c r="A25" s="1"/>
      <c r="B25" s="3"/>
      <c r="C25" s="40" t="s">
        <v>1832</v>
      </c>
      <c r="D25" s="45">
        <v>5487</v>
      </c>
      <c r="E25" s="51"/>
      <c r="F25" s="2"/>
      <c r="G25" s="71"/>
    </row>
    <row r="26" spans="1:7" s="10" customFormat="1" ht="15.75" customHeight="1" x14ac:dyDescent="0.25">
      <c r="A26" s="1"/>
      <c r="B26" s="3"/>
      <c r="C26" s="40" t="s">
        <v>1531</v>
      </c>
      <c r="D26" s="45">
        <v>12014</v>
      </c>
      <c r="E26" s="51"/>
      <c r="F26" s="2"/>
      <c r="G26" s="71"/>
    </row>
    <row r="27" spans="1:7" s="10" customFormat="1" ht="15.75" customHeight="1" x14ac:dyDescent="0.25">
      <c r="A27" s="1"/>
      <c r="B27" s="3"/>
      <c r="C27" s="40" t="s">
        <v>1833</v>
      </c>
      <c r="D27" s="45">
        <v>30532</v>
      </c>
      <c r="E27" s="51"/>
      <c r="F27" s="2"/>
      <c r="G27" s="71"/>
    </row>
    <row r="28" spans="1:7" s="10" customFormat="1" ht="15.75" customHeight="1" x14ac:dyDescent="0.25">
      <c r="A28" s="1"/>
      <c r="B28" s="3"/>
      <c r="C28" s="40" t="s">
        <v>1834</v>
      </c>
      <c r="D28" s="45">
        <v>20266</v>
      </c>
      <c r="E28" s="51"/>
      <c r="F28" s="2"/>
      <c r="G28" s="71"/>
    </row>
    <row r="29" spans="1:7" s="10" customFormat="1" ht="15.75" customHeight="1" x14ac:dyDescent="0.25">
      <c r="A29" s="1"/>
      <c r="B29" s="3"/>
      <c r="C29" s="40" t="s">
        <v>1835</v>
      </c>
      <c r="D29" s="45">
        <v>17097</v>
      </c>
      <c r="E29" s="51"/>
      <c r="F29" s="2"/>
      <c r="G29" s="71"/>
    </row>
    <row r="30" spans="1:7" s="10" customFormat="1" ht="15.75" customHeight="1" x14ac:dyDescent="0.25">
      <c r="A30" s="1"/>
      <c r="B30" s="3"/>
      <c r="C30" s="40" t="s">
        <v>524</v>
      </c>
      <c r="D30" s="45">
        <v>19486</v>
      </c>
      <c r="E30" s="51"/>
      <c r="F30" s="2"/>
      <c r="G30" s="71"/>
    </row>
    <row r="31" spans="1:7" s="10" customFormat="1" ht="15.75" customHeight="1" x14ac:dyDescent="0.25">
      <c r="A31" s="1"/>
      <c r="B31" s="3"/>
      <c r="C31" s="40" t="s">
        <v>1836</v>
      </c>
      <c r="D31" s="45">
        <v>6984</v>
      </c>
      <c r="E31" s="51"/>
      <c r="F31" s="2"/>
      <c r="G31" s="71"/>
    </row>
    <row r="32" spans="1:7" s="10" customFormat="1" ht="15.75" customHeight="1" x14ac:dyDescent="0.25">
      <c r="A32" s="1"/>
      <c r="B32" s="3"/>
      <c r="C32" s="40" t="s">
        <v>1837</v>
      </c>
      <c r="D32" s="45">
        <v>6082</v>
      </c>
      <c r="E32" s="51"/>
      <c r="F32" s="2"/>
      <c r="G32" s="71"/>
    </row>
    <row r="33" spans="1:7" s="10" customFormat="1" ht="15.75" customHeight="1" x14ac:dyDescent="0.25">
      <c r="A33" s="1"/>
      <c r="B33" s="3"/>
      <c r="C33" s="40" t="s">
        <v>195</v>
      </c>
      <c r="D33" s="45">
        <v>15790</v>
      </c>
      <c r="E33" s="51"/>
      <c r="F33" s="2"/>
      <c r="G33" s="71"/>
    </row>
    <row r="34" spans="1:7" s="10" customFormat="1" ht="15.75" customHeight="1" x14ac:dyDescent="0.25">
      <c r="A34" s="1"/>
      <c r="B34" s="3"/>
      <c r="C34" s="40" t="s">
        <v>1838</v>
      </c>
      <c r="D34" s="45">
        <v>18779</v>
      </c>
      <c r="E34" s="51"/>
      <c r="F34" s="2"/>
      <c r="G34" s="71"/>
    </row>
    <row r="35" spans="1:7" s="10" customFormat="1" ht="15.75" customHeight="1" x14ac:dyDescent="0.25">
      <c r="A35" s="1"/>
      <c r="B35" s="3"/>
      <c r="C35" s="25"/>
      <c r="D35" s="25"/>
      <c r="E35" s="51"/>
      <c r="F35" s="52"/>
      <c r="G35" s="52"/>
    </row>
    <row r="36" spans="1:7" ht="15.75" customHeight="1" x14ac:dyDescent="0.25">
      <c r="A36" s="1"/>
      <c r="B36" s="3"/>
      <c r="E36" s="51"/>
      <c r="F36" s="52"/>
      <c r="G36" s="52"/>
    </row>
    <row r="37" spans="1:7" ht="15.75" customHeight="1" x14ac:dyDescent="0.25">
      <c r="A37" s="1"/>
      <c r="B37" s="3"/>
      <c r="C37" s="26" t="s">
        <v>1974</v>
      </c>
      <c r="E37" s="51"/>
      <c r="F37" s="52"/>
      <c r="G37" s="52"/>
    </row>
    <row r="38" spans="1:7" ht="15.75" customHeight="1" x14ac:dyDescent="0.25">
      <c r="A38" s="1"/>
      <c r="B38" s="3"/>
      <c r="C38" s="28" t="s">
        <v>1978</v>
      </c>
      <c r="E38" s="51"/>
      <c r="F38" s="52"/>
      <c r="G38" s="52"/>
    </row>
    <row r="39" spans="1:7" ht="15.75" customHeight="1" x14ac:dyDescent="0.25">
      <c r="G39" s="52"/>
    </row>
  </sheetData>
  <mergeCells count="2">
    <mergeCell ref="C1:D1"/>
    <mergeCell ref="C2:D2"/>
  </mergeCells>
  <printOptions horizontalCentered="1"/>
  <pageMargins left="0.98425196850393704" right="0.98425196850393704" top="0.98425196850393704" bottom="0.98425196850393704" header="0.51181102362204722" footer="0.51181102362204722"/>
  <pageSetup firstPageNumber="77" orientation="portrait" useFirstPageNumber="1" r:id="rId1"/>
  <headerFooter differentOddEven="1">
    <oddHeader>&amp;L&amp;"Arial,Bold Italic"&amp;10 2020 Census of Population and Housing&amp;R&amp;"Arial,Bold Italic"&amp;10City of Mandaue</oddHeader>
    <oddFooter>&amp;L&amp;"Arial,Bold Italic"&amp;10Philippine Statistics Authority&amp;R&amp;"Arial,Bold"&amp;10&amp;P</oddFooter>
    <evenHeader>&amp;L&amp;"Arial,Bold Italic"&amp;10City of Mandaue&amp;R&amp;"Arial,Bold Italic"&amp;10 2020 Census of Population and Housing</evenHeader>
    <evenFooter>&amp;L&amp;"Arial,Bold"&amp;10&amp;P&amp;R&amp;"Arial,Bold Italic"&amp;10Philippine Statistics Authority</even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3DB41-F6BA-49AC-AF59-5BF003EC093F}">
  <dimension ref="A1:G630"/>
  <sheetViews>
    <sheetView view="pageBreakPreview" zoomScaleSheetLayoutView="100" workbookViewId="0">
      <selection activeCell="G603" sqref="G603"/>
    </sheetView>
  </sheetViews>
  <sheetFormatPr defaultRowHeight="15.75" customHeight="1" x14ac:dyDescent="0.25"/>
  <cols>
    <col min="1" max="2" width="9.140625" style="2"/>
    <col min="3" max="3" width="56.7109375" style="2" customWidth="1"/>
    <col min="4" max="4" width="19.7109375" style="2" customWidth="1"/>
    <col min="5" max="5" width="9.140625" style="18"/>
    <col min="6" max="6" width="17.42578125" style="2" bestFit="1" customWidth="1"/>
    <col min="7" max="7" width="26.42578125" style="71" bestFit="1" customWidth="1"/>
    <col min="8" max="16384" width="9.140625" style="2"/>
  </cols>
  <sheetData>
    <row r="1" spans="2:7" s="1" customFormat="1" ht="15.75" customHeight="1" x14ac:dyDescent="0.25">
      <c r="C1" s="83" t="s">
        <v>1979</v>
      </c>
      <c r="D1" s="83"/>
      <c r="G1" s="70"/>
    </row>
    <row r="2" spans="2:7" s="1" customFormat="1" ht="15.75" customHeight="1" x14ac:dyDescent="0.25">
      <c r="C2" s="83" t="s">
        <v>1980</v>
      </c>
      <c r="D2" s="83"/>
      <c r="E2" s="16"/>
      <c r="G2" s="70"/>
    </row>
    <row r="3" spans="2:7" s="1" customFormat="1" ht="15.75" customHeight="1" thickBot="1" x14ac:dyDescent="0.3">
      <c r="E3" s="16"/>
      <c r="G3" s="70"/>
    </row>
    <row r="4" spans="2:7" s="1" customFormat="1" ht="15.75" customHeight="1" thickTop="1" x14ac:dyDescent="0.25">
      <c r="C4" s="49" t="s">
        <v>1972</v>
      </c>
      <c r="D4" s="76" t="s">
        <v>1977</v>
      </c>
      <c r="E4" s="16"/>
      <c r="G4" s="70"/>
    </row>
    <row r="5" spans="2:7" s="1" customFormat="1" ht="15.75" customHeight="1" thickBot="1" x14ac:dyDescent="0.3">
      <c r="C5" s="50" t="s">
        <v>0</v>
      </c>
      <c r="D5" s="77" t="s">
        <v>1</v>
      </c>
      <c r="E5" s="16"/>
      <c r="G5" s="70"/>
    </row>
    <row r="6" spans="2:7" s="1" customFormat="1" ht="15.75" customHeight="1" thickTop="1" x14ac:dyDescent="0.25">
      <c r="E6" s="16"/>
      <c r="G6" s="70"/>
    </row>
    <row r="7" spans="2:7" s="1" customFormat="1" ht="15.75" customHeight="1" x14ac:dyDescent="0.25">
      <c r="B7" s="3"/>
      <c r="C7" s="29" t="s">
        <v>2395</v>
      </c>
      <c r="D7" s="63">
        <f>D9+D19+D45+D69+D106+D118+D148+D172+D187+D212+D244+D279+D309+D340+D374+D403+D421+D439+D463+D491+D511+D537+D567+D593+D610</f>
        <v>1432990</v>
      </c>
      <c r="E7" s="51"/>
      <c r="F7" s="52"/>
      <c r="G7" s="52"/>
    </row>
    <row r="8" spans="2:7" s="1" customFormat="1" ht="15.75" customHeight="1" x14ac:dyDescent="0.25">
      <c r="B8" s="3"/>
      <c r="C8" s="29"/>
      <c r="D8" s="63"/>
      <c r="E8" s="51"/>
      <c r="F8" s="52"/>
      <c r="G8" s="52"/>
    </row>
    <row r="9" spans="2:7" s="1" customFormat="1" ht="15.75" customHeight="1" x14ac:dyDescent="0.25">
      <c r="B9" s="3"/>
      <c r="C9" s="29" t="s">
        <v>2394</v>
      </c>
      <c r="D9" s="63">
        <f>SUM(D10:D17)</f>
        <v>25513</v>
      </c>
      <c r="E9" s="51"/>
      <c r="F9" s="52"/>
      <c r="G9" s="52"/>
    </row>
    <row r="10" spans="2:7" s="1" customFormat="1" ht="15.75" customHeight="1" x14ac:dyDescent="0.25">
      <c r="B10" s="3"/>
      <c r="C10" s="30" t="s">
        <v>2393</v>
      </c>
      <c r="D10" s="66">
        <v>4106</v>
      </c>
      <c r="E10" s="51"/>
      <c r="F10" s="52"/>
      <c r="G10" s="52"/>
    </row>
    <row r="11" spans="2:7" s="1" customFormat="1" ht="15.75" customHeight="1" x14ac:dyDescent="0.25">
      <c r="B11" s="3"/>
      <c r="C11" s="30" t="s">
        <v>2392</v>
      </c>
      <c r="D11" s="66">
        <v>2893</v>
      </c>
      <c r="E11" s="51"/>
      <c r="F11" s="52"/>
      <c r="G11" s="52"/>
    </row>
    <row r="12" spans="2:7" s="1" customFormat="1" ht="15.75" customHeight="1" x14ac:dyDescent="0.25">
      <c r="B12" s="3"/>
      <c r="C12" s="30" t="s">
        <v>2391</v>
      </c>
      <c r="D12" s="66">
        <v>4280</v>
      </c>
      <c r="E12" s="51"/>
      <c r="F12" s="52"/>
      <c r="G12" s="52"/>
    </row>
    <row r="13" spans="2:7" s="1" customFormat="1" ht="15.75" customHeight="1" x14ac:dyDescent="0.25">
      <c r="B13" s="3"/>
      <c r="C13" s="30" t="s">
        <v>2390</v>
      </c>
      <c r="D13" s="66">
        <v>2175</v>
      </c>
      <c r="E13" s="51"/>
      <c r="F13" s="52"/>
      <c r="G13" s="52"/>
    </row>
    <row r="14" spans="2:7" s="1" customFormat="1" ht="15.75" customHeight="1" x14ac:dyDescent="0.25">
      <c r="B14" s="3"/>
      <c r="C14" s="30" t="s">
        <v>2</v>
      </c>
      <c r="D14" s="66">
        <v>1452</v>
      </c>
      <c r="E14" s="51"/>
      <c r="F14" s="52"/>
      <c r="G14" s="52"/>
    </row>
    <row r="15" spans="2:7" s="1" customFormat="1" ht="15.75" customHeight="1" x14ac:dyDescent="0.25">
      <c r="B15" s="3"/>
      <c r="C15" s="30" t="s">
        <v>2389</v>
      </c>
      <c r="D15" s="66">
        <v>4416</v>
      </c>
      <c r="E15" s="51"/>
      <c r="F15" s="52"/>
      <c r="G15" s="52"/>
    </row>
    <row r="16" spans="2:7" s="1" customFormat="1" ht="15.75" customHeight="1" x14ac:dyDescent="0.25">
      <c r="B16" s="3"/>
      <c r="C16" s="30" t="s">
        <v>2388</v>
      </c>
      <c r="D16" s="66">
        <v>2278</v>
      </c>
      <c r="E16" s="51"/>
      <c r="F16" s="52"/>
      <c r="G16" s="52"/>
    </row>
    <row r="17" spans="1:7" s="1" customFormat="1" ht="15.75" customHeight="1" x14ac:dyDescent="0.25">
      <c r="B17" s="3"/>
      <c r="C17" s="30" t="s">
        <v>2387</v>
      </c>
      <c r="D17" s="66">
        <v>3913</v>
      </c>
      <c r="E17" s="51"/>
      <c r="F17" s="52"/>
      <c r="G17" s="52"/>
    </row>
    <row r="18" spans="1:7" s="1" customFormat="1" ht="15.75" customHeight="1" x14ac:dyDescent="0.25">
      <c r="B18" s="3"/>
      <c r="C18" s="30"/>
      <c r="D18" s="66"/>
      <c r="E18" s="51"/>
      <c r="F18" s="52"/>
      <c r="G18" s="52"/>
    </row>
    <row r="19" spans="1:7" s="1" customFormat="1" ht="15.75" customHeight="1" x14ac:dyDescent="0.25">
      <c r="B19" s="3"/>
      <c r="C19" s="29" t="s">
        <v>2386</v>
      </c>
      <c r="D19" s="63">
        <f>SUM(D20:D43)</f>
        <v>47102</v>
      </c>
      <c r="E19" s="51"/>
      <c r="F19" s="52"/>
      <c r="G19" s="52"/>
    </row>
    <row r="20" spans="1:7" s="1" customFormat="1" ht="15.75" customHeight="1" x14ac:dyDescent="0.25">
      <c r="B20" s="3"/>
      <c r="C20" s="30" t="s">
        <v>2385</v>
      </c>
      <c r="D20" s="66">
        <v>1049</v>
      </c>
      <c r="E20" s="51"/>
      <c r="F20" s="52"/>
      <c r="G20" s="52"/>
    </row>
    <row r="21" spans="1:7" s="1" customFormat="1" ht="15.75" customHeight="1" x14ac:dyDescent="0.25">
      <c r="B21" s="3"/>
      <c r="C21" s="30" t="s">
        <v>2384</v>
      </c>
      <c r="D21" s="66">
        <v>1107</v>
      </c>
      <c r="E21" s="51"/>
      <c r="F21" s="52"/>
      <c r="G21" s="52"/>
    </row>
    <row r="22" spans="1:7" s="1" customFormat="1" ht="15.75" customHeight="1" x14ac:dyDescent="0.25">
      <c r="B22" s="3"/>
      <c r="C22" s="30" t="s">
        <v>2383</v>
      </c>
      <c r="D22" s="66">
        <v>2102</v>
      </c>
      <c r="E22" s="51"/>
      <c r="F22" s="52"/>
      <c r="G22" s="52"/>
    </row>
    <row r="23" spans="1:7" s="1" customFormat="1" ht="15.75" customHeight="1" x14ac:dyDescent="0.25">
      <c r="B23" s="3"/>
      <c r="C23" s="30" t="s">
        <v>138</v>
      </c>
      <c r="D23" s="66">
        <v>1398</v>
      </c>
      <c r="E23" s="51"/>
      <c r="F23" s="52"/>
      <c r="G23" s="52"/>
    </row>
    <row r="24" spans="1:7" s="1" customFormat="1" ht="15.75" customHeight="1" x14ac:dyDescent="0.25">
      <c r="B24" s="3"/>
      <c r="C24" s="30" t="s">
        <v>2382</v>
      </c>
      <c r="D24" s="66">
        <v>2718</v>
      </c>
      <c r="E24" s="51"/>
      <c r="F24" s="52"/>
      <c r="G24" s="52"/>
    </row>
    <row r="25" spans="1:7" s="1" customFormat="1" ht="15.75" customHeight="1" x14ac:dyDescent="0.25">
      <c r="B25" s="3"/>
      <c r="C25" s="30" t="s">
        <v>2381</v>
      </c>
      <c r="D25" s="66">
        <v>2622</v>
      </c>
      <c r="E25" s="51"/>
      <c r="F25" s="52"/>
      <c r="G25" s="52"/>
    </row>
    <row r="26" spans="1:7" s="16" customFormat="1" ht="15.75" customHeight="1" x14ac:dyDescent="0.25">
      <c r="A26" s="1"/>
      <c r="B26" s="3"/>
      <c r="C26" s="30" t="s">
        <v>2380</v>
      </c>
      <c r="D26" s="66">
        <v>1718</v>
      </c>
      <c r="E26" s="51"/>
      <c r="F26" s="52"/>
      <c r="G26" s="52"/>
    </row>
    <row r="27" spans="1:7" s="1" customFormat="1" ht="15.75" customHeight="1" x14ac:dyDescent="0.25">
      <c r="B27" s="3"/>
      <c r="C27" s="30" t="s">
        <v>2379</v>
      </c>
      <c r="D27" s="66">
        <v>1098</v>
      </c>
      <c r="E27" s="51"/>
      <c r="F27" s="52"/>
      <c r="G27" s="52"/>
    </row>
    <row r="28" spans="1:7" s="1" customFormat="1" ht="15.75" customHeight="1" x14ac:dyDescent="0.25">
      <c r="B28" s="3"/>
      <c r="C28" s="30" t="s">
        <v>2378</v>
      </c>
      <c r="D28" s="66">
        <v>3375</v>
      </c>
      <c r="E28" s="51"/>
      <c r="F28" s="52"/>
      <c r="G28" s="52"/>
    </row>
    <row r="29" spans="1:7" s="1" customFormat="1" ht="15.75" customHeight="1" x14ac:dyDescent="0.25">
      <c r="B29" s="3"/>
      <c r="C29" s="30" t="s">
        <v>2377</v>
      </c>
      <c r="D29" s="66">
        <v>2173</v>
      </c>
      <c r="E29" s="51"/>
      <c r="F29" s="52"/>
      <c r="G29" s="52"/>
    </row>
    <row r="30" spans="1:7" s="1" customFormat="1" ht="15.75" customHeight="1" x14ac:dyDescent="0.25">
      <c r="B30" s="3"/>
      <c r="C30" s="30" t="s">
        <v>2376</v>
      </c>
      <c r="D30" s="66">
        <v>1803</v>
      </c>
      <c r="E30" s="51"/>
      <c r="F30" s="52"/>
      <c r="G30" s="52"/>
    </row>
    <row r="31" spans="1:7" s="1" customFormat="1" ht="15.75" customHeight="1" x14ac:dyDescent="0.25">
      <c r="B31" s="3"/>
      <c r="C31" s="30" t="s">
        <v>2375</v>
      </c>
      <c r="D31" s="66">
        <v>1298</v>
      </c>
      <c r="E31" s="51"/>
      <c r="F31" s="52"/>
      <c r="G31" s="52"/>
    </row>
    <row r="32" spans="1:7" s="1" customFormat="1" ht="15.75" customHeight="1" x14ac:dyDescent="0.25">
      <c r="B32" s="3"/>
      <c r="C32" s="30" t="s">
        <v>2374</v>
      </c>
      <c r="D32" s="66">
        <v>744</v>
      </c>
      <c r="E32" s="51"/>
      <c r="F32" s="52"/>
      <c r="G32" s="52"/>
    </row>
    <row r="33" spans="2:7" s="1" customFormat="1" ht="15.75" customHeight="1" x14ac:dyDescent="0.25">
      <c r="B33" s="3"/>
      <c r="C33" s="30" t="s">
        <v>2373</v>
      </c>
      <c r="D33" s="66">
        <v>1195</v>
      </c>
      <c r="E33" s="51"/>
      <c r="F33" s="52"/>
      <c r="G33" s="52"/>
    </row>
    <row r="34" spans="2:7" s="1" customFormat="1" ht="15.75" customHeight="1" x14ac:dyDescent="0.25">
      <c r="B34" s="3"/>
      <c r="C34" s="30" t="s">
        <v>2132</v>
      </c>
      <c r="D34" s="66">
        <v>1741</v>
      </c>
      <c r="E34" s="51"/>
      <c r="F34" s="52"/>
      <c r="G34" s="52"/>
    </row>
    <row r="35" spans="2:7" s="1" customFormat="1" ht="15.75" customHeight="1" x14ac:dyDescent="0.25">
      <c r="B35" s="3"/>
      <c r="C35" s="30" t="s">
        <v>2372</v>
      </c>
      <c r="D35" s="66">
        <v>3164</v>
      </c>
      <c r="E35" s="51"/>
      <c r="F35" s="52"/>
      <c r="G35" s="52"/>
    </row>
    <row r="36" spans="2:7" s="1" customFormat="1" ht="15.75" customHeight="1" x14ac:dyDescent="0.25">
      <c r="B36" s="3"/>
      <c r="C36" s="30" t="s">
        <v>2371</v>
      </c>
      <c r="D36" s="66">
        <v>1348</v>
      </c>
      <c r="E36" s="51"/>
      <c r="F36" s="52"/>
      <c r="G36" s="52"/>
    </row>
    <row r="37" spans="2:7" s="1" customFormat="1" ht="15.75" customHeight="1" x14ac:dyDescent="0.25">
      <c r="B37" s="3"/>
      <c r="C37" s="30" t="s">
        <v>2370</v>
      </c>
      <c r="D37" s="66">
        <v>1228</v>
      </c>
      <c r="E37" s="51"/>
      <c r="F37" s="52"/>
      <c r="G37" s="52"/>
    </row>
    <row r="38" spans="2:7" s="1" customFormat="1" ht="15.75" customHeight="1" x14ac:dyDescent="0.25">
      <c r="B38" s="3"/>
      <c r="C38" s="30" t="s">
        <v>810</v>
      </c>
      <c r="D38" s="66">
        <v>4189</v>
      </c>
      <c r="E38" s="51"/>
      <c r="F38" s="52"/>
      <c r="G38" s="52"/>
    </row>
    <row r="39" spans="2:7" s="1" customFormat="1" ht="15.75" customHeight="1" x14ac:dyDescent="0.25">
      <c r="B39" s="3"/>
      <c r="C39" s="30" t="s">
        <v>2369</v>
      </c>
      <c r="D39" s="66">
        <v>2127</v>
      </c>
      <c r="E39" s="51"/>
      <c r="F39" s="52"/>
      <c r="G39" s="52"/>
    </row>
    <row r="40" spans="2:7" s="1" customFormat="1" ht="15.75" customHeight="1" x14ac:dyDescent="0.25">
      <c r="B40" s="3"/>
      <c r="C40" s="30" t="s">
        <v>2368</v>
      </c>
      <c r="D40" s="66">
        <v>2196</v>
      </c>
      <c r="E40" s="51"/>
      <c r="F40" s="52"/>
      <c r="G40" s="52"/>
    </row>
    <row r="41" spans="2:7" s="1" customFormat="1" ht="15.75" customHeight="1" x14ac:dyDescent="0.25">
      <c r="B41" s="3"/>
      <c r="C41" s="30" t="s">
        <v>2367</v>
      </c>
      <c r="D41" s="66">
        <v>1797</v>
      </c>
      <c r="E41" s="51"/>
      <c r="F41" s="52"/>
      <c r="G41" s="52"/>
    </row>
    <row r="42" spans="2:7" s="1" customFormat="1" ht="15.75" customHeight="1" x14ac:dyDescent="0.25">
      <c r="B42" s="3"/>
      <c r="C42" s="30" t="s">
        <v>193</v>
      </c>
      <c r="D42" s="66">
        <v>2876</v>
      </c>
      <c r="E42" s="51"/>
      <c r="F42" s="52"/>
      <c r="G42" s="52"/>
    </row>
    <row r="43" spans="2:7" s="1" customFormat="1" ht="15.75" customHeight="1" x14ac:dyDescent="0.25">
      <c r="B43" s="3"/>
      <c r="C43" s="30" t="s">
        <v>2</v>
      </c>
      <c r="D43" s="66">
        <v>2036</v>
      </c>
      <c r="E43" s="51"/>
      <c r="F43" s="52"/>
      <c r="G43" s="52"/>
    </row>
    <row r="44" spans="2:7" s="1" customFormat="1" ht="15.75" customHeight="1" x14ac:dyDescent="0.25">
      <c r="B44" s="3"/>
      <c r="C44" s="30"/>
      <c r="D44" s="66"/>
      <c r="E44" s="51"/>
      <c r="F44" s="52"/>
      <c r="G44" s="52"/>
    </row>
    <row r="45" spans="2:7" s="1" customFormat="1" ht="15.75" customHeight="1" x14ac:dyDescent="0.25">
      <c r="B45" s="3"/>
      <c r="C45" s="29" t="s">
        <v>2366</v>
      </c>
      <c r="D45" s="63">
        <f>SUM(D46:D67)</f>
        <v>41207</v>
      </c>
      <c r="E45" s="51"/>
      <c r="F45" s="52"/>
      <c r="G45" s="52"/>
    </row>
    <row r="46" spans="2:7" s="1" customFormat="1" ht="15.75" customHeight="1" x14ac:dyDescent="0.25">
      <c r="B46" s="3"/>
      <c r="C46" s="30" t="s">
        <v>2017</v>
      </c>
      <c r="D46" s="66">
        <v>1412</v>
      </c>
      <c r="E46" s="51"/>
      <c r="F46" s="52"/>
      <c r="G46" s="52"/>
    </row>
    <row r="47" spans="2:7" s="1" customFormat="1" ht="15.75" customHeight="1" x14ac:dyDescent="0.25">
      <c r="B47" s="3"/>
      <c r="C47" s="30" t="s">
        <v>1748</v>
      </c>
      <c r="D47" s="66">
        <v>5512</v>
      </c>
      <c r="E47" s="51"/>
      <c r="F47" s="52"/>
      <c r="G47" s="52"/>
    </row>
    <row r="48" spans="2:7" s="1" customFormat="1" ht="15.75" customHeight="1" x14ac:dyDescent="0.25">
      <c r="B48" s="3"/>
      <c r="C48" s="30" t="s">
        <v>2365</v>
      </c>
      <c r="D48" s="66">
        <v>3987</v>
      </c>
      <c r="E48" s="51"/>
      <c r="F48" s="52"/>
      <c r="G48" s="52"/>
    </row>
    <row r="49" spans="1:7" s="16" customFormat="1" ht="15.75" customHeight="1" x14ac:dyDescent="0.25">
      <c r="A49" s="1"/>
      <c r="B49" s="3"/>
      <c r="C49" s="30" t="s">
        <v>2364</v>
      </c>
      <c r="D49" s="66">
        <v>2030</v>
      </c>
      <c r="E49" s="51"/>
      <c r="F49" s="52"/>
      <c r="G49" s="52"/>
    </row>
    <row r="50" spans="1:7" s="1" customFormat="1" ht="15.75" customHeight="1" x14ac:dyDescent="0.25">
      <c r="B50" s="3"/>
      <c r="C50" s="30" t="s">
        <v>2363</v>
      </c>
      <c r="D50" s="66">
        <v>734</v>
      </c>
      <c r="E50" s="51"/>
      <c r="F50" s="52"/>
      <c r="G50" s="52"/>
    </row>
    <row r="51" spans="1:7" s="1" customFormat="1" ht="15.75" customHeight="1" x14ac:dyDescent="0.25">
      <c r="B51" s="3"/>
      <c r="C51" s="30" t="s">
        <v>1647</v>
      </c>
      <c r="D51" s="66">
        <v>3759</v>
      </c>
      <c r="E51" s="51"/>
      <c r="F51" s="52"/>
      <c r="G51" s="52"/>
    </row>
    <row r="52" spans="1:7" s="1" customFormat="1" ht="15.75" customHeight="1" x14ac:dyDescent="0.25">
      <c r="B52" s="3"/>
      <c r="C52" s="30" t="s">
        <v>213</v>
      </c>
      <c r="D52" s="66">
        <v>1097</v>
      </c>
      <c r="E52" s="51"/>
      <c r="F52" s="52"/>
      <c r="G52" s="52"/>
    </row>
    <row r="53" spans="1:7" s="1" customFormat="1" ht="15.75" customHeight="1" x14ac:dyDescent="0.25">
      <c r="B53" s="3"/>
      <c r="C53" s="30" t="s">
        <v>2362</v>
      </c>
      <c r="D53" s="66">
        <v>1910</v>
      </c>
      <c r="E53" s="51"/>
      <c r="F53" s="52"/>
      <c r="G53" s="52"/>
    </row>
    <row r="54" spans="1:7" s="1" customFormat="1" ht="15.75" customHeight="1" x14ac:dyDescent="0.25">
      <c r="B54" s="3"/>
      <c r="C54" s="30" t="s">
        <v>2010</v>
      </c>
      <c r="D54" s="66">
        <v>1185</v>
      </c>
      <c r="E54" s="51"/>
      <c r="F54" s="52"/>
      <c r="G54" s="52"/>
    </row>
    <row r="55" spans="1:7" s="1" customFormat="1" ht="15.75" customHeight="1" x14ac:dyDescent="0.25">
      <c r="B55" s="3"/>
      <c r="C55" s="30" t="s">
        <v>637</v>
      </c>
      <c r="D55" s="66">
        <v>1298</v>
      </c>
      <c r="E55" s="51"/>
      <c r="F55" s="52"/>
      <c r="G55" s="52"/>
    </row>
    <row r="56" spans="1:7" s="1" customFormat="1" ht="15.75" customHeight="1" x14ac:dyDescent="0.25">
      <c r="B56" s="3"/>
      <c r="C56" s="30" t="s">
        <v>2361</v>
      </c>
      <c r="D56" s="66">
        <v>384</v>
      </c>
      <c r="E56" s="51"/>
      <c r="F56" s="52"/>
      <c r="G56" s="52"/>
    </row>
    <row r="57" spans="1:7" s="1" customFormat="1" ht="15.75" customHeight="1" x14ac:dyDescent="0.25">
      <c r="B57" s="3"/>
      <c r="C57" s="30" t="s">
        <v>1125</v>
      </c>
      <c r="D57" s="66">
        <v>368</v>
      </c>
      <c r="E57" s="51"/>
      <c r="F57" s="52"/>
      <c r="G57" s="52"/>
    </row>
    <row r="58" spans="1:7" s="1" customFormat="1" ht="15.75" customHeight="1" x14ac:dyDescent="0.25">
      <c r="B58" s="3"/>
      <c r="C58" s="30" t="s">
        <v>2006</v>
      </c>
      <c r="D58" s="66">
        <v>431</v>
      </c>
      <c r="E58" s="51"/>
      <c r="F58" s="52"/>
      <c r="G58" s="52"/>
    </row>
    <row r="59" spans="1:7" s="1" customFormat="1" ht="15.75" customHeight="1" x14ac:dyDescent="0.25">
      <c r="B59" s="3"/>
      <c r="C59" s="30" t="s">
        <v>1499</v>
      </c>
      <c r="D59" s="66">
        <v>1011</v>
      </c>
      <c r="E59" s="51"/>
      <c r="F59" s="52"/>
      <c r="G59" s="52"/>
    </row>
    <row r="60" spans="1:7" s="1" customFormat="1" ht="15.75" customHeight="1" x14ac:dyDescent="0.25">
      <c r="B60" s="3"/>
      <c r="C60" s="30" t="s">
        <v>1310</v>
      </c>
      <c r="D60" s="66">
        <v>4199</v>
      </c>
      <c r="E60" s="51"/>
      <c r="F60" s="52"/>
      <c r="G60" s="52"/>
    </row>
    <row r="61" spans="1:7" s="1" customFormat="1" ht="15.75" customHeight="1" x14ac:dyDescent="0.25">
      <c r="B61" s="3"/>
      <c r="C61" s="30" t="s">
        <v>4</v>
      </c>
      <c r="D61" s="66">
        <v>4762</v>
      </c>
      <c r="E61" s="51"/>
      <c r="F61" s="52"/>
      <c r="G61" s="52"/>
    </row>
    <row r="62" spans="1:7" s="1" customFormat="1" ht="15.75" customHeight="1" x14ac:dyDescent="0.25">
      <c r="B62" s="3"/>
      <c r="C62" s="30" t="s">
        <v>1500</v>
      </c>
      <c r="D62" s="66">
        <v>1492</v>
      </c>
      <c r="E62" s="51"/>
      <c r="F62" s="52"/>
      <c r="G62" s="52"/>
    </row>
    <row r="63" spans="1:7" s="1" customFormat="1" ht="15.75" customHeight="1" x14ac:dyDescent="0.25">
      <c r="B63" s="3"/>
      <c r="C63" s="30" t="s">
        <v>2360</v>
      </c>
      <c r="D63" s="66">
        <v>1712</v>
      </c>
      <c r="E63" s="51"/>
      <c r="F63" s="52"/>
      <c r="G63" s="52"/>
    </row>
    <row r="64" spans="1:7" s="1" customFormat="1" ht="15.75" customHeight="1" x14ac:dyDescent="0.25">
      <c r="B64" s="3"/>
      <c r="C64" s="30" t="s">
        <v>2359</v>
      </c>
      <c r="D64" s="66">
        <v>1291</v>
      </c>
      <c r="E64" s="51"/>
      <c r="F64" s="52"/>
      <c r="G64" s="52"/>
    </row>
    <row r="65" spans="1:7" s="1" customFormat="1" ht="15.75" customHeight="1" x14ac:dyDescent="0.25">
      <c r="B65" s="3"/>
      <c r="C65" s="30" t="s">
        <v>2358</v>
      </c>
      <c r="D65" s="66">
        <v>1003</v>
      </c>
      <c r="E65" s="51"/>
      <c r="F65" s="52"/>
      <c r="G65" s="52"/>
    </row>
    <row r="66" spans="1:7" s="1" customFormat="1" ht="15.75" customHeight="1" x14ac:dyDescent="0.25">
      <c r="B66" s="3"/>
      <c r="C66" s="30" t="s">
        <v>104</v>
      </c>
      <c r="D66" s="66">
        <v>970</v>
      </c>
      <c r="E66" s="51"/>
      <c r="F66" s="52"/>
      <c r="G66" s="52"/>
    </row>
    <row r="67" spans="1:7" s="1" customFormat="1" ht="15.75" customHeight="1" x14ac:dyDescent="0.25">
      <c r="B67" s="3"/>
      <c r="C67" s="30" t="s">
        <v>260</v>
      </c>
      <c r="D67" s="66">
        <v>660</v>
      </c>
      <c r="E67" s="51"/>
      <c r="F67" s="52"/>
      <c r="G67" s="52"/>
    </row>
    <row r="68" spans="1:7" s="1" customFormat="1" ht="15.75" customHeight="1" x14ac:dyDescent="0.25">
      <c r="B68" s="3"/>
      <c r="C68" s="30"/>
      <c r="D68" s="66"/>
      <c r="E68" s="51"/>
      <c r="F68" s="52"/>
      <c r="G68" s="52"/>
    </row>
    <row r="69" spans="1:7" s="1" customFormat="1" ht="15.75" customHeight="1" x14ac:dyDescent="0.25">
      <c r="B69" s="3"/>
      <c r="C69" s="29" t="s">
        <v>2405</v>
      </c>
      <c r="D69" s="63">
        <f>SUM(D70:D104)</f>
        <v>84317</v>
      </c>
      <c r="E69" s="51"/>
      <c r="F69" s="52"/>
      <c r="G69" s="52"/>
    </row>
    <row r="70" spans="1:7" s="1" customFormat="1" ht="15.75" customHeight="1" x14ac:dyDescent="0.25">
      <c r="B70" s="3"/>
      <c r="C70" s="30" t="s">
        <v>21</v>
      </c>
      <c r="D70" s="66">
        <v>3478</v>
      </c>
      <c r="E70" s="51"/>
      <c r="F70" s="52"/>
      <c r="G70" s="52"/>
    </row>
    <row r="71" spans="1:7" s="1" customFormat="1" ht="15.75" customHeight="1" x14ac:dyDescent="0.25">
      <c r="B71" s="3"/>
      <c r="C71" s="30" t="s">
        <v>22</v>
      </c>
      <c r="D71" s="66">
        <v>9483</v>
      </c>
      <c r="E71" s="51"/>
      <c r="F71" s="52"/>
      <c r="G71" s="52"/>
    </row>
    <row r="72" spans="1:7" s="1" customFormat="1" ht="15.75" customHeight="1" x14ac:dyDescent="0.25">
      <c r="B72" s="3"/>
      <c r="C72" s="30" t="s">
        <v>229</v>
      </c>
      <c r="D72" s="66">
        <v>2175</v>
      </c>
      <c r="E72" s="51"/>
      <c r="F72" s="52"/>
      <c r="G72" s="52"/>
    </row>
    <row r="73" spans="1:7" s="1" customFormat="1" ht="15.75" customHeight="1" x14ac:dyDescent="0.25">
      <c r="B73" s="3"/>
      <c r="C73" s="30" t="s">
        <v>2357</v>
      </c>
      <c r="D73" s="66">
        <v>1347</v>
      </c>
      <c r="E73" s="51"/>
      <c r="F73" s="52"/>
      <c r="G73" s="52"/>
    </row>
    <row r="74" spans="1:7" s="1" customFormat="1" ht="15.75" customHeight="1" x14ac:dyDescent="0.25">
      <c r="B74" s="3"/>
      <c r="C74" s="30" t="s">
        <v>2356</v>
      </c>
      <c r="D74" s="66">
        <v>2417</v>
      </c>
      <c r="E74" s="51"/>
      <c r="F74" s="52"/>
      <c r="G74" s="52"/>
    </row>
    <row r="75" spans="1:7" s="16" customFormat="1" ht="15.75" customHeight="1" x14ac:dyDescent="0.25">
      <c r="A75" s="1"/>
      <c r="B75" s="3"/>
      <c r="C75" s="30" t="s">
        <v>2355</v>
      </c>
      <c r="D75" s="66">
        <v>2484</v>
      </c>
      <c r="E75" s="51"/>
      <c r="F75" s="52"/>
      <c r="G75" s="52"/>
    </row>
    <row r="76" spans="1:7" s="16" customFormat="1" ht="15.75" customHeight="1" x14ac:dyDescent="0.25">
      <c r="A76" s="1"/>
      <c r="B76" s="3"/>
      <c r="C76" s="30" t="s">
        <v>2354</v>
      </c>
      <c r="D76" s="66">
        <v>7234</v>
      </c>
      <c r="E76" s="51"/>
      <c r="F76" s="52"/>
      <c r="G76" s="52"/>
    </row>
    <row r="77" spans="1:7" s="1" customFormat="1" ht="15.75" customHeight="1" x14ac:dyDescent="0.25">
      <c r="B77" s="3"/>
      <c r="C77" s="30" t="s">
        <v>2353</v>
      </c>
      <c r="D77" s="66">
        <v>1371</v>
      </c>
      <c r="E77" s="51"/>
      <c r="F77" s="52"/>
      <c r="G77" s="52"/>
    </row>
    <row r="78" spans="1:7" s="1" customFormat="1" ht="15.75" customHeight="1" x14ac:dyDescent="0.25">
      <c r="B78" s="3"/>
      <c r="C78" s="30" t="s">
        <v>2352</v>
      </c>
      <c r="D78" s="66">
        <v>1597</v>
      </c>
      <c r="E78" s="51"/>
      <c r="F78" s="52"/>
      <c r="G78" s="52"/>
    </row>
    <row r="79" spans="1:7" s="1" customFormat="1" ht="15.75" customHeight="1" x14ac:dyDescent="0.25">
      <c r="B79" s="3"/>
      <c r="C79" s="30" t="s">
        <v>2351</v>
      </c>
      <c r="D79" s="66">
        <v>1816</v>
      </c>
      <c r="E79" s="51"/>
      <c r="F79" s="52"/>
      <c r="G79" s="52"/>
    </row>
    <row r="80" spans="1:7" s="1" customFormat="1" ht="15.75" customHeight="1" x14ac:dyDescent="0.25">
      <c r="B80" s="3"/>
      <c r="C80" s="30" t="s">
        <v>2350</v>
      </c>
      <c r="D80" s="66">
        <v>2179</v>
      </c>
      <c r="E80" s="51"/>
      <c r="F80" s="52"/>
      <c r="G80" s="52"/>
    </row>
    <row r="81" spans="1:7" s="1" customFormat="1" ht="15.75" customHeight="1" x14ac:dyDescent="0.25">
      <c r="B81" s="3"/>
      <c r="C81" s="30" t="s">
        <v>2349</v>
      </c>
      <c r="D81" s="66">
        <v>1822</v>
      </c>
      <c r="E81" s="51"/>
      <c r="F81" s="52"/>
      <c r="G81" s="52"/>
    </row>
    <row r="82" spans="1:7" s="1" customFormat="1" ht="15.75" customHeight="1" x14ac:dyDescent="0.25">
      <c r="B82" s="3"/>
      <c r="C82" s="30" t="s">
        <v>152</v>
      </c>
      <c r="D82" s="66">
        <v>638</v>
      </c>
      <c r="E82" s="51"/>
      <c r="F82" s="52"/>
      <c r="G82" s="52"/>
    </row>
    <row r="83" spans="1:7" s="16" customFormat="1" ht="15.75" customHeight="1" x14ac:dyDescent="0.25">
      <c r="A83" s="1"/>
      <c r="B83" s="3"/>
      <c r="C83" s="30" t="s">
        <v>2348</v>
      </c>
      <c r="D83" s="66">
        <v>1076</v>
      </c>
      <c r="E83" s="51"/>
      <c r="F83" s="52"/>
      <c r="G83" s="52"/>
    </row>
    <row r="84" spans="1:7" s="1" customFormat="1" ht="15.75" customHeight="1" x14ac:dyDescent="0.25">
      <c r="B84" s="3"/>
      <c r="C84" s="30" t="s">
        <v>2347</v>
      </c>
      <c r="D84" s="66">
        <v>238</v>
      </c>
      <c r="E84" s="51"/>
      <c r="F84" s="52"/>
      <c r="G84" s="52"/>
    </row>
    <row r="85" spans="1:7" s="1" customFormat="1" ht="15.75" customHeight="1" x14ac:dyDescent="0.25">
      <c r="B85" s="3"/>
      <c r="C85" s="30" t="s">
        <v>142</v>
      </c>
      <c r="D85" s="66">
        <v>1169</v>
      </c>
      <c r="E85" s="51"/>
      <c r="F85" s="52"/>
      <c r="G85" s="52"/>
    </row>
    <row r="86" spans="1:7" s="1" customFormat="1" ht="15.75" customHeight="1" x14ac:dyDescent="0.25">
      <c r="B86" s="3"/>
      <c r="C86" s="30" t="s">
        <v>408</v>
      </c>
      <c r="D86" s="66">
        <v>2543</v>
      </c>
      <c r="E86" s="51"/>
      <c r="F86" s="52"/>
      <c r="G86" s="52"/>
    </row>
    <row r="87" spans="1:7" s="1" customFormat="1" ht="15.75" customHeight="1" x14ac:dyDescent="0.25">
      <c r="B87" s="3"/>
      <c r="C87" s="30" t="s">
        <v>167</v>
      </c>
      <c r="D87" s="66">
        <v>3088</v>
      </c>
      <c r="E87" s="51"/>
      <c r="F87" s="52"/>
      <c r="G87" s="52"/>
    </row>
    <row r="88" spans="1:7" s="1" customFormat="1" ht="15.75" customHeight="1" x14ac:dyDescent="0.25">
      <c r="B88" s="3"/>
      <c r="C88" s="30" t="s">
        <v>1663</v>
      </c>
      <c r="D88" s="66">
        <v>1488</v>
      </c>
      <c r="E88" s="51"/>
      <c r="F88" s="52"/>
      <c r="G88" s="52"/>
    </row>
    <row r="89" spans="1:7" s="16" customFormat="1" ht="15.75" customHeight="1" x14ac:dyDescent="0.25">
      <c r="A89" s="1"/>
      <c r="B89" s="3"/>
      <c r="C89" s="30" t="s">
        <v>2346</v>
      </c>
      <c r="D89" s="66">
        <v>3228</v>
      </c>
      <c r="E89" s="51"/>
      <c r="F89" s="52"/>
      <c r="G89" s="52"/>
    </row>
    <row r="90" spans="1:7" s="1" customFormat="1" ht="15.75" customHeight="1" x14ac:dyDescent="0.25">
      <c r="B90" s="3"/>
      <c r="C90" s="30" t="s">
        <v>2345</v>
      </c>
      <c r="D90" s="66">
        <v>1296</v>
      </c>
      <c r="E90" s="51"/>
      <c r="F90" s="52"/>
      <c r="G90" s="52"/>
    </row>
    <row r="91" spans="1:7" s="1" customFormat="1" ht="15.75" customHeight="1" x14ac:dyDescent="0.25">
      <c r="B91" s="3"/>
      <c r="C91" s="30" t="s">
        <v>2344</v>
      </c>
      <c r="D91" s="66">
        <v>3822</v>
      </c>
      <c r="E91" s="51"/>
      <c r="F91" s="52"/>
      <c r="G91" s="52"/>
    </row>
    <row r="92" spans="1:7" s="1" customFormat="1" ht="15.75" customHeight="1" x14ac:dyDescent="0.25">
      <c r="B92" s="3"/>
      <c r="C92" s="30" t="s">
        <v>2343</v>
      </c>
      <c r="D92" s="66">
        <v>980</v>
      </c>
      <c r="E92" s="51"/>
      <c r="F92" s="52"/>
      <c r="G92" s="52"/>
    </row>
    <row r="93" spans="1:7" s="1" customFormat="1" ht="15.75" customHeight="1" x14ac:dyDescent="0.25">
      <c r="B93" s="3"/>
      <c r="C93" s="30" t="s">
        <v>2342</v>
      </c>
      <c r="D93" s="66">
        <v>4065</v>
      </c>
      <c r="E93" s="51"/>
      <c r="F93" s="52"/>
      <c r="G93" s="52"/>
    </row>
    <row r="94" spans="1:7" s="1" customFormat="1" ht="15.75" customHeight="1" x14ac:dyDescent="0.25">
      <c r="B94" s="3"/>
      <c r="C94" s="30" t="s">
        <v>2341</v>
      </c>
      <c r="D94" s="66">
        <v>1015</v>
      </c>
      <c r="E94" s="51"/>
      <c r="F94" s="52"/>
      <c r="G94" s="52"/>
    </row>
    <row r="95" spans="1:7" s="1" customFormat="1" ht="15.75" customHeight="1" x14ac:dyDescent="0.25">
      <c r="B95" s="3"/>
      <c r="C95" s="30" t="s">
        <v>132</v>
      </c>
      <c r="D95" s="66">
        <v>576</v>
      </c>
      <c r="E95" s="51"/>
      <c r="F95" s="52"/>
      <c r="G95" s="52"/>
    </row>
    <row r="96" spans="1:7" s="1" customFormat="1" ht="15.75" customHeight="1" x14ac:dyDescent="0.25">
      <c r="B96" s="3"/>
      <c r="C96" s="30" t="s">
        <v>2340</v>
      </c>
      <c r="D96" s="66">
        <v>7046</v>
      </c>
      <c r="E96" s="51"/>
      <c r="F96" s="52"/>
      <c r="G96" s="52"/>
    </row>
    <row r="97" spans="1:7" s="1" customFormat="1" ht="15.75" customHeight="1" x14ac:dyDescent="0.25">
      <c r="B97" s="3"/>
      <c r="C97" s="30" t="s">
        <v>5</v>
      </c>
      <c r="D97" s="66">
        <v>389</v>
      </c>
      <c r="E97" s="51"/>
      <c r="F97" s="52"/>
      <c r="G97" s="52"/>
    </row>
    <row r="98" spans="1:7" s="1" customFormat="1" ht="15.75" customHeight="1" x14ac:dyDescent="0.25">
      <c r="B98" s="3"/>
      <c r="C98" s="30" t="s">
        <v>2339</v>
      </c>
      <c r="D98" s="66">
        <v>1350</v>
      </c>
      <c r="E98" s="51"/>
      <c r="F98" s="52"/>
      <c r="G98" s="52"/>
    </row>
    <row r="99" spans="1:7" s="1" customFormat="1" ht="15.75" customHeight="1" x14ac:dyDescent="0.25">
      <c r="B99" s="3"/>
      <c r="C99" s="30" t="s">
        <v>2338</v>
      </c>
      <c r="D99" s="66">
        <v>2709</v>
      </c>
      <c r="E99" s="51"/>
      <c r="F99" s="52"/>
      <c r="G99" s="52"/>
    </row>
    <row r="100" spans="1:7" s="1" customFormat="1" ht="15.75" customHeight="1" x14ac:dyDescent="0.25">
      <c r="B100" s="3"/>
      <c r="C100" s="30" t="s">
        <v>2337</v>
      </c>
      <c r="D100" s="66">
        <v>3714</v>
      </c>
      <c r="E100" s="51"/>
      <c r="F100" s="52"/>
      <c r="G100" s="52"/>
    </row>
    <row r="101" spans="1:7" s="1" customFormat="1" ht="15.75" customHeight="1" x14ac:dyDescent="0.25">
      <c r="B101" s="3"/>
      <c r="C101" s="30" t="s">
        <v>2336</v>
      </c>
      <c r="D101" s="66">
        <v>3827</v>
      </c>
      <c r="E101" s="51"/>
      <c r="F101" s="52"/>
      <c r="G101" s="52"/>
    </row>
    <row r="102" spans="1:7" s="16" customFormat="1" ht="15.75" customHeight="1" x14ac:dyDescent="0.25">
      <c r="A102" s="1"/>
      <c r="B102" s="3"/>
      <c r="C102" s="30" t="s">
        <v>2335</v>
      </c>
      <c r="D102" s="66">
        <v>583</v>
      </c>
      <c r="E102" s="51"/>
      <c r="F102" s="52"/>
      <c r="G102" s="52"/>
    </row>
    <row r="103" spans="1:7" s="1" customFormat="1" ht="15.75" customHeight="1" x14ac:dyDescent="0.25">
      <c r="B103" s="3"/>
      <c r="C103" s="30" t="s">
        <v>2334</v>
      </c>
      <c r="D103" s="66">
        <v>1278</v>
      </c>
      <c r="E103" s="51"/>
      <c r="F103" s="52"/>
      <c r="G103" s="52"/>
    </row>
    <row r="104" spans="1:7" s="1" customFormat="1" ht="15.75" customHeight="1" x14ac:dyDescent="0.25">
      <c r="B104" s="3"/>
      <c r="C104" s="30" t="s">
        <v>91</v>
      </c>
      <c r="D104" s="66">
        <v>796</v>
      </c>
      <c r="E104" s="51"/>
      <c r="F104" s="52"/>
      <c r="G104" s="52"/>
    </row>
    <row r="105" spans="1:7" s="1" customFormat="1" ht="15.75" customHeight="1" x14ac:dyDescent="0.25">
      <c r="B105" s="3"/>
      <c r="C105" s="30"/>
      <c r="D105" s="66"/>
      <c r="E105" s="51"/>
      <c r="F105" s="52"/>
      <c r="G105" s="52"/>
    </row>
    <row r="106" spans="1:7" s="1" customFormat="1" ht="15.75" customHeight="1" x14ac:dyDescent="0.25">
      <c r="B106" s="3"/>
      <c r="C106" s="29" t="s">
        <v>2333</v>
      </c>
      <c r="D106" s="63">
        <f>SUM(D107:D116)</f>
        <v>28531</v>
      </c>
      <c r="E106" s="51"/>
      <c r="F106" s="52"/>
      <c r="G106" s="52"/>
    </row>
    <row r="107" spans="1:7" s="1" customFormat="1" ht="15.75" customHeight="1" x14ac:dyDescent="0.25">
      <c r="B107" s="3"/>
      <c r="C107" s="30" t="s">
        <v>2332</v>
      </c>
      <c r="D107" s="66">
        <v>2407</v>
      </c>
      <c r="E107" s="51"/>
      <c r="F107" s="52"/>
      <c r="G107" s="52"/>
    </row>
    <row r="108" spans="1:7" s="1" customFormat="1" ht="15.75" customHeight="1" x14ac:dyDescent="0.25">
      <c r="B108" s="3"/>
      <c r="C108" s="30" t="s">
        <v>2331</v>
      </c>
      <c r="D108" s="66">
        <v>4172</v>
      </c>
      <c r="E108" s="51"/>
      <c r="F108" s="52"/>
      <c r="G108" s="52"/>
    </row>
    <row r="109" spans="1:7" s="1" customFormat="1" ht="15.75" customHeight="1" x14ac:dyDescent="0.25">
      <c r="B109" s="3"/>
      <c r="C109" s="30" t="s">
        <v>2330</v>
      </c>
      <c r="D109" s="66">
        <v>4185</v>
      </c>
      <c r="E109" s="51"/>
      <c r="F109" s="52"/>
      <c r="G109" s="52"/>
    </row>
    <row r="110" spans="1:7" s="1" customFormat="1" ht="15.75" customHeight="1" x14ac:dyDescent="0.25">
      <c r="B110" s="3"/>
      <c r="C110" s="30" t="s">
        <v>2329</v>
      </c>
      <c r="D110" s="66">
        <v>878</v>
      </c>
      <c r="E110" s="51"/>
      <c r="F110" s="52"/>
      <c r="G110" s="52"/>
    </row>
    <row r="111" spans="1:7" s="1" customFormat="1" ht="15.75" customHeight="1" x14ac:dyDescent="0.25">
      <c r="B111" s="3"/>
      <c r="C111" s="30" t="s">
        <v>2328</v>
      </c>
      <c r="D111" s="66">
        <v>967</v>
      </c>
      <c r="E111" s="51"/>
      <c r="F111" s="52"/>
      <c r="G111" s="52"/>
    </row>
    <row r="112" spans="1:7" s="1" customFormat="1" ht="15.75" customHeight="1" x14ac:dyDescent="0.25">
      <c r="B112" s="3"/>
      <c r="C112" s="30" t="s">
        <v>2327</v>
      </c>
      <c r="D112" s="66">
        <v>834</v>
      </c>
      <c r="E112" s="51"/>
      <c r="F112" s="52"/>
      <c r="G112" s="52"/>
    </row>
    <row r="113" spans="1:7" s="1" customFormat="1" ht="15.75" customHeight="1" x14ac:dyDescent="0.25">
      <c r="B113" s="3"/>
      <c r="C113" s="30" t="s">
        <v>2326</v>
      </c>
      <c r="D113" s="66">
        <v>3216</v>
      </c>
      <c r="E113" s="51"/>
      <c r="F113" s="52"/>
      <c r="G113" s="52"/>
    </row>
    <row r="114" spans="1:7" s="1" customFormat="1" ht="15.75" customHeight="1" x14ac:dyDescent="0.25">
      <c r="B114" s="3"/>
      <c r="C114" s="30" t="s">
        <v>2325</v>
      </c>
      <c r="D114" s="66">
        <v>5546</v>
      </c>
      <c r="E114" s="51"/>
      <c r="F114" s="52"/>
      <c r="G114" s="52"/>
    </row>
    <row r="115" spans="1:7" s="1" customFormat="1" ht="15.75" customHeight="1" x14ac:dyDescent="0.25">
      <c r="B115" s="3"/>
      <c r="C115" s="30" t="s">
        <v>2324</v>
      </c>
      <c r="D115" s="66">
        <v>1119</v>
      </c>
      <c r="E115" s="51"/>
      <c r="F115" s="52"/>
      <c r="G115" s="52"/>
    </row>
    <row r="116" spans="1:7" s="1" customFormat="1" ht="15.75" customHeight="1" x14ac:dyDescent="0.25">
      <c r="B116" s="3"/>
      <c r="C116" s="30" t="s">
        <v>2</v>
      </c>
      <c r="D116" s="66">
        <v>5207</v>
      </c>
      <c r="E116" s="51"/>
      <c r="F116" s="52"/>
      <c r="G116" s="52"/>
    </row>
    <row r="117" spans="1:7" s="16" customFormat="1" ht="15.75" customHeight="1" x14ac:dyDescent="0.25">
      <c r="A117" s="1"/>
      <c r="B117" s="3"/>
      <c r="C117" s="30"/>
      <c r="D117" s="66"/>
      <c r="E117" s="51"/>
      <c r="F117" s="52"/>
      <c r="G117" s="52"/>
    </row>
    <row r="118" spans="1:7" s="1" customFormat="1" ht="15.75" customHeight="1" x14ac:dyDescent="0.25">
      <c r="B118" s="3"/>
      <c r="C118" s="29" t="s">
        <v>2323</v>
      </c>
      <c r="D118" s="63">
        <f>SUM(D119:D146)</f>
        <v>122747</v>
      </c>
      <c r="E118" s="51"/>
      <c r="F118" s="52"/>
      <c r="G118" s="52"/>
    </row>
    <row r="119" spans="1:7" s="1" customFormat="1" ht="15.75" customHeight="1" x14ac:dyDescent="0.25">
      <c r="B119" s="3"/>
      <c r="C119" s="30" t="s">
        <v>2322</v>
      </c>
      <c r="D119" s="66">
        <v>2980</v>
      </c>
      <c r="E119" s="51"/>
      <c r="F119" s="52"/>
      <c r="G119" s="52"/>
    </row>
    <row r="120" spans="1:7" s="16" customFormat="1" ht="15.75" customHeight="1" x14ac:dyDescent="0.25">
      <c r="A120" s="1"/>
      <c r="B120" s="3"/>
      <c r="C120" s="30" t="s">
        <v>2321</v>
      </c>
      <c r="D120" s="66">
        <v>4896</v>
      </c>
      <c r="E120" s="51"/>
      <c r="F120" s="52"/>
      <c r="G120" s="52"/>
    </row>
    <row r="121" spans="1:7" s="1" customFormat="1" ht="15.75" customHeight="1" x14ac:dyDescent="0.25">
      <c r="B121" s="3"/>
      <c r="C121" s="30" t="s">
        <v>2043</v>
      </c>
      <c r="D121" s="66">
        <v>7568</v>
      </c>
      <c r="E121" s="51"/>
      <c r="F121" s="52"/>
      <c r="G121" s="52"/>
    </row>
    <row r="122" spans="1:7" s="1" customFormat="1" ht="15.75" customHeight="1" x14ac:dyDescent="0.25">
      <c r="B122" s="3"/>
      <c r="C122" s="30" t="s">
        <v>2320</v>
      </c>
      <c r="D122" s="66">
        <v>3854</v>
      </c>
      <c r="E122" s="51"/>
      <c r="F122" s="52"/>
      <c r="G122" s="52"/>
    </row>
    <row r="123" spans="1:7" s="16" customFormat="1" ht="15.75" customHeight="1" x14ac:dyDescent="0.25">
      <c r="A123" s="1"/>
      <c r="B123" s="3"/>
      <c r="C123" s="30" t="s">
        <v>2319</v>
      </c>
      <c r="D123" s="66">
        <v>1407</v>
      </c>
      <c r="E123" s="51"/>
      <c r="F123" s="52"/>
      <c r="G123" s="52"/>
    </row>
    <row r="124" spans="1:7" s="1" customFormat="1" ht="15.75" customHeight="1" x14ac:dyDescent="0.25">
      <c r="B124" s="3"/>
      <c r="C124" s="30" t="s">
        <v>2318</v>
      </c>
      <c r="D124" s="66">
        <v>5607</v>
      </c>
      <c r="E124" s="51"/>
      <c r="F124" s="52"/>
      <c r="G124" s="52"/>
    </row>
    <row r="125" spans="1:7" s="1" customFormat="1" ht="15.75" customHeight="1" x14ac:dyDescent="0.25">
      <c r="B125" s="3"/>
      <c r="C125" s="30" t="s">
        <v>2317</v>
      </c>
      <c r="D125" s="66">
        <v>1715</v>
      </c>
      <c r="E125" s="51"/>
      <c r="F125" s="52"/>
      <c r="G125" s="52"/>
    </row>
    <row r="126" spans="1:7" s="1" customFormat="1" ht="15.75" customHeight="1" x14ac:dyDescent="0.25">
      <c r="B126" s="3"/>
      <c r="C126" s="30" t="s">
        <v>2316</v>
      </c>
      <c r="D126" s="66">
        <v>4683</v>
      </c>
      <c r="E126" s="51"/>
      <c r="F126" s="52"/>
      <c r="G126" s="52"/>
    </row>
    <row r="127" spans="1:7" s="1" customFormat="1" ht="15.75" customHeight="1" x14ac:dyDescent="0.25">
      <c r="B127" s="3"/>
      <c r="C127" s="30" t="s">
        <v>2315</v>
      </c>
      <c r="D127" s="66">
        <v>3618</v>
      </c>
      <c r="E127" s="51"/>
      <c r="F127" s="52"/>
      <c r="G127" s="52"/>
    </row>
    <row r="128" spans="1:7" s="1" customFormat="1" ht="15.75" customHeight="1" x14ac:dyDescent="0.25">
      <c r="B128" s="3"/>
      <c r="C128" s="30" t="s">
        <v>2314</v>
      </c>
      <c r="D128" s="66">
        <v>7004</v>
      </c>
      <c r="E128" s="51"/>
      <c r="F128" s="52"/>
      <c r="G128" s="52"/>
    </row>
    <row r="129" spans="1:7" s="16" customFormat="1" ht="15.75" customHeight="1" x14ac:dyDescent="0.25">
      <c r="A129" s="1"/>
      <c r="B129" s="3"/>
      <c r="C129" s="30" t="s">
        <v>2313</v>
      </c>
      <c r="D129" s="66">
        <v>6126</v>
      </c>
      <c r="E129" s="51"/>
      <c r="F129" s="52"/>
      <c r="G129" s="52"/>
    </row>
    <row r="130" spans="1:7" s="1" customFormat="1" ht="15.75" customHeight="1" x14ac:dyDescent="0.25">
      <c r="B130" s="3"/>
      <c r="C130" s="30" t="s">
        <v>2312</v>
      </c>
      <c r="D130" s="66">
        <v>4780</v>
      </c>
      <c r="E130" s="51"/>
      <c r="F130" s="52"/>
      <c r="G130" s="52"/>
    </row>
    <row r="131" spans="1:7" s="1" customFormat="1" ht="15.75" customHeight="1" x14ac:dyDescent="0.25">
      <c r="B131" s="3"/>
      <c r="C131" s="30" t="s">
        <v>2311</v>
      </c>
      <c r="D131" s="66">
        <v>7502</v>
      </c>
      <c r="E131" s="51"/>
      <c r="F131" s="52"/>
      <c r="G131" s="52"/>
    </row>
    <row r="132" spans="1:7" s="1" customFormat="1" ht="15.75" customHeight="1" x14ac:dyDescent="0.25">
      <c r="B132" s="3"/>
      <c r="C132" s="30" t="s">
        <v>2310</v>
      </c>
      <c r="D132" s="66">
        <v>2890</v>
      </c>
      <c r="E132" s="51"/>
      <c r="F132" s="52"/>
      <c r="G132" s="52"/>
    </row>
    <row r="133" spans="1:7" s="1" customFormat="1" ht="15.75" customHeight="1" x14ac:dyDescent="0.25">
      <c r="B133" s="3"/>
      <c r="C133" s="30" t="s">
        <v>185</v>
      </c>
      <c r="D133" s="66">
        <v>10637</v>
      </c>
      <c r="E133" s="51"/>
      <c r="F133" s="52"/>
      <c r="G133" s="52"/>
    </row>
    <row r="134" spans="1:7" s="1" customFormat="1" ht="15.75" customHeight="1" x14ac:dyDescent="0.25">
      <c r="B134" s="3"/>
      <c r="C134" s="30" t="s">
        <v>2309</v>
      </c>
      <c r="D134" s="66">
        <v>6603</v>
      </c>
      <c r="E134" s="51"/>
      <c r="F134" s="52"/>
      <c r="G134" s="52"/>
    </row>
    <row r="135" spans="1:7" s="1" customFormat="1" ht="15.75" customHeight="1" x14ac:dyDescent="0.25">
      <c r="B135" s="3"/>
      <c r="C135" s="30" t="s">
        <v>2308</v>
      </c>
      <c r="D135" s="66">
        <v>2152</v>
      </c>
      <c r="E135" s="51"/>
      <c r="F135" s="52"/>
      <c r="G135" s="52"/>
    </row>
    <row r="136" spans="1:7" s="1" customFormat="1" ht="15.75" customHeight="1" x14ac:dyDescent="0.25">
      <c r="B136" s="3"/>
      <c r="C136" s="30" t="s">
        <v>2</v>
      </c>
      <c r="D136" s="66">
        <v>2921</v>
      </c>
      <c r="E136" s="51"/>
      <c r="F136" s="52"/>
      <c r="G136" s="52"/>
    </row>
    <row r="137" spans="1:7" s="1" customFormat="1" ht="15.75" customHeight="1" x14ac:dyDescent="0.25">
      <c r="B137" s="3"/>
      <c r="C137" s="30" t="s">
        <v>6</v>
      </c>
      <c r="D137" s="66">
        <v>2450</v>
      </c>
      <c r="E137" s="51"/>
      <c r="F137" s="52"/>
      <c r="G137" s="52"/>
    </row>
    <row r="138" spans="1:7" s="1" customFormat="1" ht="15.75" customHeight="1" x14ac:dyDescent="0.25">
      <c r="B138" s="3"/>
      <c r="C138" s="30" t="s">
        <v>4</v>
      </c>
      <c r="D138" s="66">
        <v>1731</v>
      </c>
      <c r="E138" s="51"/>
      <c r="F138" s="52"/>
      <c r="G138" s="52"/>
    </row>
    <row r="139" spans="1:7" s="1" customFormat="1" ht="15.75" customHeight="1" x14ac:dyDescent="0.25">
      <c r="B139" s="3"/>
      <c r="C139" s="30" t="s">
        <v>17</v>
      </c>
      <c r="D139" s="66">
        <v>1452</v>
      </c>
      <c r="E139" s="51"/>
      <c r="F139" s="52"/>
      <c r="G139" s="52"/>
    </row>
    <row r="140" spans="1:7" s="1" customFormat="1" ht="15.75" customHeight="1" x14ac:dyDescent="0.25">
      <c r="B140" s="3"/>
      <c r="C140" s="30" t="s">
        <v>228</v>
      </c>
      <c r="D140" s="66">
        <v>2412</v>
      </c>
      <c r="E140" s="51"/>
      <c r="F140" s="52"/>
      <c r="G140" s="52"/>
    </row>
    <row r="141" spans="1:7" s="1" customFormat="1" ht="15.75" customHeight="1" x14ac:dyDescent="0.25">
      <c r="B141" s="3"/>
      <c r="C141" s="30" t="s">
        <v>297</v>
      </c>
      <c r="D141" s="66">
        <v>4539</v>
      </c>
      <c r="E141" s="51"/>
      <c r="F141" s="52"/>
      <c r="G141" s="52"/>
    </row>
    <row r="142" spans="1:7" s="1" customFormat="1" ht="15.75" customHeight="1" x14ac:dyDescent="0.25">
      <c r="B142" s="3"/>
      <c r="C142" s="30" t="s">
        <v>2307</v>
      </c>
      <c r="D142" s="66">
        <v>6419</v>
      </c>
      <c r="E142" s="51"/>
      <c r="F142" s="52"/>
      <c r="G142" s="52"/>
    </row>
    <row r="143" spans="1:7" s="1" customFormat="1" ht="15.75" customHeight="1" x14ac:dyDescent="0.25">
      <c r="B143" s="3"/>
      <c r="C143" s="30" t="s">
        <v>2306</v>
      </c>
      <c r="D143" s="66">
        <v>3191</v>
      </c>
      <c r="E143" s="51"/>
      <c r="F143" s="52"/>
      <c r="G143" s="52"/>
    </row>
    <row r="144" spans="1:7" s="1" customFormat="1" ht="15.75" customHeight="1" x14ac:dyDescent="0.25">
      <c r="B144" s="3"/>
      <c r="C144" s="30" t="s">
        <v>2305</v>
      </c>
      <c r="D144" s="66">
        <v>1600</v>
      </c>
      <c r="E144" s="51"/>
      <c r="F144" s="52"/>
      <c r="G144" s="52"/>
    </row>
    <row r="145" spans="2:7" s="1" customFormat="1" ht="15.75" customHeight="1" x14ac:dyDescent="0.25">
      <c r="B145" s="3"/>
      <c r="C145" s="30" t="s">
        <v>2304</v>
      </c>
      <c r="D145" s="66">
        <v>10730</v>
      </c>
      <c r="E145" s="51"/>
      <c r="F145" s="52"/>
      <c r="G145" s="52"/>
    </row>
    <row r="146" spans="2:7" s="1" customFormat="1" ht="15.75" customHeight="1" x14ac:dyDescent="0.25">
      <c r="B146" s="3"/>
      <c r="C146" s="30" t="s">
        <v>5</v>
      </c>
      <c r="D146" s="66">
        <v>1280</v>
      </c>
      <c r="E146" s="51"/>
      <c r="F146" s="52"/>
      <c r="G146" s="52"/>
    </row>
    <row r="147" spans="2:7" s="1" customFormat="1" ht="15.75" customHeight="1" x14ac:dyDescent="0.25">
      <c r="B147" s="3"/>
      <c r="C147" s="30"/>
      <c r="D147" s="66"/>
      <c r="E147" s="51"/>
      <c r="F147" s="52"/>
      <c r="G147" s="52"/>
    </row>
    <row r="148" spans="2:7" s="1" customFormat="1" ht="15.75" customHeight="1" x14ac:dyDescent="0.25">
      <c r="B148" s="3"/>
      <c r="C148" s="29" t="s">
        <v>2303</v>
      </c>
      <c r="D148" s="63">
        <f>SUM(D149:D170)</f>
        <v>40308</v>
      </c>
      <c r="E148" s="51"/>
      <c r="F148" s="52"/>
      <c r="G148" s="52"/>
    </row>
    <row r="149" spans="2:7" s="1" customFormat="1" ht="15.75" customHeight="1" x14ac:dyDescent="0.25">
      <c r="B149" s="3"/>
      <c r="C149" s="30" t="s">
        <v>2302</v>
      </c>
      <c r="D149" s="66">
        <v>1905</v>
      </c>
      <c r="E149" s="51"/>
      <c r="F149" s="52"/>
      <c r="G149" s="52"/>
    </row>
    <row r="150" spans="2:7" s="1" customFormat="1" ht="15.75" customHeight="1" x14ac:dyDescent="0.25">
      <c r="B150" s="3"/>
      <c r="C150" s="30" t="s">
        <v>2301</v>
      </c>
      <c r="D150" s="66">
        <v>920</v>
      </c>
      <c r="E150" s="51"/>
      <c r="F150" s="52"/>
      <c r="G150" s="52"/>
    </row>
    <row r="151" spans="2:7" s="1" customFormat="1" ht="15.75" customHeight="1" x14ac:dyDescent="0.25">
      <c r="B151" s="3"/>
      <c r="C151" s="30" t="s">
        <v>2300</v>
      </c>
      <c r="D151" s="66">
        <v>1938</v>
      </c>
      <c r="E151" s="51"/>
      <c r="F151" s="52"/>
      <c r="G151" s="52"/>
    </row>
    <row r="152" spans="2:7" s="1" customFormat="1" ht="15.75" customHeight="1" x14ac:dyDescent="0.25">
      <c r="B152" s="3"/>
      <c r="C152" s="30" t="s">
        <v>1186</v>
      </c>
      <c r="D152" s="66">
        <v>3090</v>
      </c>
      <c r="E152" s="51"/>
      <c r="F152" s="52"/>
      <c r="G152" s="52"/>
    </row>
    <row r="153" spans="2:7" s="1" customFormat="1" ht="15.75" customHeight="1" x14ac:dyDescent="0.25">
      <c r="B153" s="3"/>
      <c r="C153" s="30" t="s">
        <v>2299</v>
      </c>
      <c r="D153" s="66">
        <v>1642</v>
      </c>
      <c r="E153" s="51"/>
      <c r="F153" s="52"/>
      <c r="G153" s="52"/>
    </row>
    <row r="154" spans="2:7" s="1" customFormat="1" ht="15.75" customHeight="1" x14ac:dyDescent="0.25">
      <c r="B154" s="3"/>
      <c r="C154" s="30" t="s">
        <v>2298</v>
      </c>
      <c r="D154" s="66">
        <v>924</v>
      </c>
      <c r="E154" s="51"/>
      <c r="F154" s="52"/>
      <c r="G154" s="52"/>
    </row>
    <row r="155" spans="2:7" s="1" customFormat="1" ht="15.75" customHeight="1" x14ac:dyDescent="0.25">
      <c r="B155" s="3"/>
      <c r="C155" s="30" t="s">
        <v>2297</v>
      </c>
      <c r="D155" s="66">
        <v>1440</v>
      </c>
      <c r="E155" s="51"/>
      <c r="F155" s="52"/>
      <c r="G155" s="52"/>
    </row>
    <row r="156" spans="2:7" s="1" customFormat="1" ht="15.75" customHeight="1" x14ac:dyDescent="0.25">
      <c r="B156" s="3"/>
      <c r="C156" s="30" t="s">
        <v>48</v>
      </c>
      <c r="D156" s="66">
        <v>1215</v>
      </c>
      <c r="E156" s="51"/>
      <c r="F156" s="52"/>
      <c r="G156" s="52"/>
    </row>
    <row r="157" spans="2:7" s="1" customFormat="1" ht="15.75" customHeight="1" x14ac:dyDescent="0.25">
      <c r="B157" s="3"/>
      <c r="C157" s="30" t="s">
        <v>2296</v>
      </c>
      <c r="D157" s="66">
        <v>1133</v>
      </c>
      <c r="E157" s="51"/>
      <c r="F157" s="52"/>
      <c r="G157" s="52"/>
    </row>
    <row r="158" spans="2:7" s="1" customFormat="1" ht="15.75" customHeight="1" x14ac:dyDescent="0.25">
      <c r="B158" s="3"/>
      <c r="C158" s="30" t="s">
        <v>2295</v>
      </c>
      <c r="D158" s="66">
        <v>1902</v>
      </c>
      <c r="E158" s="51"/>
      <c r="F158" s="52"/>
      <c r="G158" s="52"/>
    </row>
    <row r="159" spans="2:7" s="1" customFormat="1" ht="15.75" customHeight="1" x14ac:dyDescent="0.25">
      <c r="B159" s="3"/>
      <c r="C159" s="30" t="s">
        <v>2294</v>
      </c>
      <c r="D159" s="66">
        <v>1874</v>
      </c>
      <c r="E159" s="51"/>
      <c r="F159" s="52"/>
      <c r="G159" s="52"/>
    </row>
    <row r="160" spans="2:7" s="1" customFormat="1" ht="15.75" customHeight="1" x14ac:dyDescent="0.25">
      <c r="B160" s="3"/>
      <c r="C160" s="30" t="s">
        <v>2293</v>
      </c>
      <c r="D160" s="66">
        <v>1000</v>
      </c>
      <c r="E160" s="51"/>
      <c r="F160" s="52"/>
      <c r="G160" s="52"/>
    </row>
    <row r="161" spans="2:7" s="1" customFormat="1" ht="15.75" customHeight="1" x14ac:dyDescent="0.25">
      <c r="B161" s="3"/>
      <c r="C161" s="30" t="s">
        <v>2292</v>
      </c>
      <c r="D161" s="66">
        <v>2392</v>
      </c>
      <c r="E161" s="51"/>
      <c r="F161" s="52"/>
      <c r="G161" s="52"/>
    </row>
    <row r="162" spans="2:7" s="1" customFormat="1" ht="15.75" customHeight="1" x14ac:dyDescent="0.25">
      <c r="B162" s="3"/>
      <c r="C162" s="30" t="s">
        <v>2291</v>
      </c>
      <c r="D162" s="66">
        <v>580</v>
      </c>
      <c r="E162" s="51"/>
      <c r="F162" s="52"/>
      <c r="G162" s="52"/>
    </row>
    <row r="163" spans="2:7" s="1" customFormat="1" ht="15.75" customHeight="1" x14ac:dyDescent="0.25">
      <c r="B163" s="3"/>
      <c r="C163" s="30" t="s">
        <v>2290</v>
      </c>
      <c r="D163" s="66">
        <v>7132</v>
      </c>
      <c r="E163" s="51"/>
      <c r="F163" s="52"/>
      <c r="G163" s="52"/>
    </row>
    <row r="164" spans="2:7" s="1" customFormat="1" ht="15.75" customHeight="1" x14ac:dyDescent="0.25">
      <c r="B164" s="3"/>
      <c r="C164" s="30" t="s">
        <v>2289</v>
      </c>
      <c r="D164" s="66">
        <v>1395</v>
      </c>
      <c r="E164" s="51"/>
      <c r="F164" s="52"/>
      <c r="G164" s="52"/>
    </row>
    <row r="165" spans="2:7" s="1" customFormat="1" ht="15.75" customHeight="1" x14ac:dyDescent="0.25">
      <c r="B165" s="3"/>
      <c r="C165" s="30" t="s">
        <v>2288</v>
      </c>
      <c r="D165" s="66">
        <v>754</v>
      </c>
      <c r="E165" s="51"/>
      <c r="F165" s="52"/>
      <c r="G165" s="52"/>
    </row>
    <row r="166" spans="2:7" s="1" customFormat="1" ht="15.75" customHeight="1" x14ac:dyDescent="0.25">
      <c r="B166" s="3"/>
      <c r="C166" s="30" t="s">
        <v>2287</v>
      </c>
      <c r="D166" s="66">
        <v>3160</v>
      </c>
      <c r="E166" s="51"/>
      <c r="F166" s="52"/>
      <c r="G166" s="52"/>
    </row>
    <row r="167" spans="2:7" s="1" customFormat="1" ht="15.75" customHeight="1" x14ac:dyDescent="0.25">
      <c r="B167" s="3"/>
      <c r="C167" s="30" t="s">
        <v>2286</v>
      </c>
      <c r="D167" s="66">
        <v>703</v>
      </c>
      <c r="E167" s="51"/>
      <c r="F167" s="52"/>
      <c r="G167" s="52"/>
    </row>
    <row r="168" spans="2:7" s="1" customFormat="1" ht="15.75" customHeight="1" x14ac:dyDescent="0.25">
      <c r="B168" s="3"/>
      <c r="C168" s="30" t="s">
        <v>2285</v>
      </c>
      <c r="D168" s="66">
        <v>1727</v>
      </c>
      <c r="E168" s="51"/>
      <c r="F168" s="52"/>
      <c r="G168" s="52"/>
    </row>
    <row r="169" spans="2:7" s="1" customFormat="1" ht="15.75" customHeight="1" x14ac:dyDescent="0.25">
      <c r="B169" s="3"/>
      <c r="C169" s="30" t="s">
        <v>2284</v>
      </c>
      <c r="D169" s="66">
        <v>2686</v>
      </c>
      <c r="E169" s="51"/>
      <c r="F169" s="52"/>
      <c r="G169" s="52"/>
    </row>
    <row r="170" spans="2:7" s="1" customFormat="1" ht="15.75" customHeight="1" x14ac:dyDescent="0.25">
      <c r="B170" s="3"/>
      <c r="C170" s="30" t="s">
        <v>104</v>
      </c>
      <c r="D170" s="66">
        <v>796</v>
      </c>
      <c r="E170" s="51"/>
      <c r="F170" s="52"/>
      <c r="G170" s="52"/>
    </row>
    <row r="171" spans="2:7" s="1" customFormat="1" ht="15.75" customHeight="1" x14ac:dyDescent="0.25">
      <c r="B171" s="3"/>
      <c r="C171" s="30"/>
      <c r="D171" s="66"/>
      <c r="E171" s="51"/>
      <c r="F171" s="52"/>
      <c r="G171" s="52"/>
    </row>
    <row r="172" spans="2:7" s="1" customFormat="1" ht="15.75" customHeight="1" x14ac:dyDescent="0.25">
      <c r="B172" s="3"/>
      <c r="C172" s="29" t="s">
        <v>2406</v>
      </c>
      <c r="D172" s="63">
        <f>SUM(D173:D184)</f>
        <v>58822</v>
      </c>
      <c r="E172" s="51"/>
      <c r="F172" s="52"/>
      <c r="G172" s="52"/>
    </row>
    <row r="173" spans="2:7" s="1" customFormat="1" ht="15.75" customHeight="1" x14ac:dyDescent="0.25">
      <c r="B173" s="3"/>
      <c r="C173" s="30" t="s">
        <v>154</v>
      </c>
      <c r="D173" s="66">
        <v>2938</v>
      </c>
      <c r="E173" s="51"/>
      <c r="F173" s="52"/>
      <c r="G173" s="52"/>
    </row>
    <row r="174" spans="2:7" s="1" customFormat="1" ht="15.75" customHeight="1" x14ac:dyDescent="0.25">
      <c r="B174" s="3"/>
      <c r="C174" s="30" t="s">
        <v>2283</v>
      </c>
      <c r="D174" s="66">
        <v>2569</v>
      </c>
      <c r="E174" s="51"/>
      <c r="F174" s="52"/>
      <c r="G174" s="52"/>
    </row>
    <row r="175" spans="2:7" s="1" customFormat="1" ht="15.75" customHeight="1" x14ac:dyDescent="0.25">
      <c r="B175" s="3"/>
      <c r="C175" s="30" t="s">
        <v>2282</v>
      </c>
      <c r="D175" s="66">
        <v>3259</v>
      </c>
      <c r="E175" s="51"/>
      <c r="F175" s="52"/>
      <c r="G175" s="52"/>
    </row>
    <row r="176" spans="2:7" s="1" customFormat="1" ht="15.75" customHeight="1" x14ac:dyDescent="0.25">
      <c r="B176" s="3"/>
      <c r="C176" s="30" t="s">
        <v>2281</v>
      </c>
      <c r="D176" s="66">
        <v>4080</v>
      </c>
      <c r="E176" s="51"/>
      <c r="F176" s="52"/>
      <c r="G176" s="52"/>
    </row>
    <row r="177" spans="2:7" s="1" customFormat="1" ht="15.75" customHeight="1" x14ac:dyDescent="0.25">
      <c r="B177" s="3"/>
      <c r="C177" s="30" t="s">
        <v>2280</v>
      </c>
      <c r="D177" s="66">
        <v>3447</v>
      </c>
      <c r="E177" s="51"/>
      <c r="F177" s="52"/>
      <c r="G177" s="52"/>
    </row>
    <row r="178" spans="2:7" s="1" customFormat="1" ht="15.75" customHeight="1" x14ac:dyDescent="0.25">
      <c r="B178" s="3"/>
      <c r="C178" s="30" t="s">
        <v>2279</v>
      </c>
      <c r="D178" s="66">
        <v>4973</v>
      </c>
      <c r="E178" s="51"/>
      <c r="F178" s="52"/>
      <c r="G178" s="52"/>
    </row>
    <row r="179" spans="2:7" s="1" customFormat="1" ht="15.75" customHeight="1" x14ac:dyDescent="0.25">
      <c r="B179" s="3"/>
      <c r="C179" s="30" t="s">
        <v>2278</v>
      </c>
      <c r="D179" s="66">
        <v>6016</v>
      </c>
      <c r="E179" s="51"/>
      <c r="F179" s="52"/>
      <c r="G179" s="52"/>
    </row>
    <row r="180" spans="2:7" s="1" customFormat="1" ht="15.75" customHeight="1" x14ac:dyDescent="0.25">
      <c r="B180" s="3"/>
      <c r="C180" s="30" t="s">
        <v>2277</v>
      </c>
      <c r="D180" s="66">
        <v>7681</v>
      </c>
      <c r="E180" s="51"/>
      <c r="F180" s="52"/>
      <c r="G180" s="52"/>
    </row>
    <row r="181" spans="2:7" s="1" customFormat="1" ht="15.75" customHeight="1" x14ac:dyDescent="0.25">
      <c r="B181" s="3"/>
      <c r="C181" s="30" t="s">
        <v>2276</v>
      </c>
      <c r="D181" s="66">
        <v>12406</v>
      </c>
      <c r="E181" s="51"/>
      <c r="F181" s="52"/>
      <c r="G181" s="52"/>
    </row>
    <row r="182" spans="2:7" s="1" customFormat="1" ht="15.75" customHeight="1" x14ac:dyDescent="0.25">
      <c r="B182" s="3"/>
      <c r="C182" s="30" t="s">
        <v>2275</v>
      </c>
      <c r="D182" s="66">
        <v>4655</v>
      </c>
      <c r="E182" s="51"/>
      <c r="F182" s="52"/>
      <c r="G182" s="52"/>
    </row>
    <row r="183" spans="2:7" s="1" customFormat="1" ht="15.75" customHeight="1" x14ac:dyDescent="0.25">
      <c r="B183" s="3"/>
      <c r="C183" s="30" t="s">
        <v>2274</v>
      </c>
      <c r="D183" s="66">
        <v>4553</v>
      </c>
      <c r="E183" s="51"/>
      <c r="F183" s="52"/>
      <c r="G183" s="52"/>
    </row>
    <row r="184" spans="2:7" s="1" customFormat="1" ht="15.75" customHeight="1" x14ac:dyDescent="0.25">
      <c r="B184" s="3"/>
      <c r="C184" s="30" t="s">
        <v>2273</v>
      </c>
      <c r="D184" s="66">
        <v>2245</v>
      </c>
      <c r="E184" s="51"/>
      <c r="F184" s="52"/>
      <c r="G184" s="52"/>
    </row>
    <row r="185" spans="2:7" s="1" customFormat="1" ht="15.75" customHeight="1" x14ac:dyDescent="0.25">
      <c r="B185" s="3"/>
      <c r="C185" s="30"/>
      <c r="D185" s="66"/>
      <c r="E185" s="51"/>
      <c r="F185" s="52"/>
      <c r="G185" s="52"/>
    </row>
    <row r="186" spans="2:7" s="1" customFormat="1" ht="15.75" customHeight="1" x14ac:dyDescent="0.25">
      <c r="B186" s="3"/>
      <c r="C186" s="30"/>
      <c r="D186" s="66"/>
      <c r="E186" s="51"/>
      <c r="F186" s="52"/>
      <c r="G186" s="52"/>
    </row>
    <row r="187" spans="2:7" s="1" customFormat="1" ht="15.75" customHeight="1" x14ac:dyDescent="0.25">
      <c r="B187" s="3"/>
      <c r="C187" s="29" t="s">
        <v>2272</v>
      </c>
      <c r="D187" s="63">
        <f>SUM(D188:D210)</f>
        <v>30018</v>
      </c>
      <c r="E187" s="51"/>
      <c r="F187" s="52"/>
      <c r="G187" s="52"/>
    </row>
    <row r="188" spans="2:7" s="1" customFormat="1" ht="15.75" customHeight="1" x14ac:dyDescent="0.25">
      <c r="B188" s="3"/>
      <c r="C188" s="30" t="s">
        <v>2271</v>
      </c>
      <c r="D188" s="66">
        <v>450</v>
      </c>
      <c r="E188" s="51"/>
      <c r="F188" s="52"/>
      <c r="G188" s="52"/>
    </row>
    <row r="189" spans="2:7" s="1" customFormat="1" ht="15.75" customHeight="1" x14ac:dyDescent="0.25">
      <c r="B189" s="3"/>
      <c r="C189" s="30" t="s">
        <v>2270</v>
      </c>
      <c r="D189" s="66">
        <v>920</v>
      </c>
      <c r="E189" s="51"/>
      <c r="F189" s="52"/>
      <c r="G189" s="52"/>
    </row>
    <row r="190" spans="2:7" s="1" customFormat="1" ht="15.75" customHeight="1" x14ac:dyDescent="0.25">
      <c r="B190" s="3"/>
      <c r="C190" s="30" t="s">
        <v>42</v>
      </c>
      <c r="D190" s="66">
        <v>898</v>
      </c>
      <c r="E190" s="51"/>
      <c r="F190" s="52"/>
      <c r="G190" s="52"/>
    </row>
    <row r="191" spans="2:7" s="1" customFormat="1" ht="15.75" customHeight="1" x14ac:dyDescent="0.25">
      <c r="B191" s="3"/>
      <c r="C191" s="30" t="s">
        <v>2269</v>
      </c>
      <c r="D191" s="66">
        <v>838</v>
      </c>
      <c r="E191" s="51"/>
      <c r="F191" s="52"/>
      <c r="G191" s="52"/>
    </row>
    <row r="192" spans="2:7" s="1" customFormat="1" ht="15.75" customHeight="1" x14ac:dyDescent="0.25">
      <c r="B192" s="3"/>
      <c r="C192" s="30" t="s">
        <v>2268</v>
      </c>
      <c r="D192" s="66">
        <v>603</v>
      </c>
      <c r="E192" s="51"/>
      <c r="F192" s="52"/>
      <c r="G192" s="52"/>
    </row>
    <row r="193" spans="1:7" s="1" customFormat="1" ht="15.75" customHeight="1" x14ac:dyDescent="0.25">
      <c r="B193" s="3"/>
      <c r="C193" s="30" t="s">
        <v>2267</v>
      </c>
      <c r="D193" s="66">
        <v>772</v>
      </c>
      <c r="E193" s="51"/>
      <c r="F193" s="52"/>
      <c r="G193" s="52"/>
    </row>
    <row r="194" spans="1:7" s="16" customFormat="1" ht="15.75" customHeight="1" x14ac:dyDescent="0.25">
      <c r="A194" s="1"/>
      <c r="B194" s="3"/>
      <c r="C194" s="30" t="s">
        <v>1338</v>
      </c>
      <c r="D194" s="66">
        <v>1829</v>
      </c>
      <c r="E194" s="51"/>
      <c r="F194" s="52"/>
      <c r="G194" s="52"/>
    </row>
    <row r="195" spans="1:7" s="1" customFormat="1" ht="15.75" customHeight="1" x14ac:dyDescent="0.25">
      <c r="B195" s="3"/>
      <c r="C195" s="30" t="s">
        <v>158</v>
      </c>
      <c r="D195" s="66">
        <v>886</v>
      </c>
      <c r="E195" s="51"/>
      <c r="F195" s="52"/>
      <c r="G195" s="52"/>
    </row>
    <row r="196" spans="1:7" s="1" customFormat="1" ht="15.75" customHeight="1" x14ac:dyDescent="0.25">
      <c r="B196" s="3"/>
      <c r="C196" s="30" t="s">
        <v>2266</v>
      </c>
      <c r="D196" s="66">
        <v>866</v>
      </c>
      <c r="E196" s="51"/>
      <c r="F196" s="52"/>
      <c r="G196" s="52"/>
    </row>
    <row r="197" spans="1:7" s="1" customFormat="1" ht="15.75" customHeight="1" x14ac:dyDescent="0.25">
      <c r="B197" s="3"/>
      <c r="C197" s="30" t="s">
        <v>920</v>
      </c>
      <c r="D197" s="66">
        <v>793</v>
      </c>
      <c r="E197" s="51"/>
      <c r="F197" s="52"/>
      <c r="G197" s="52"/>
    </row>
    <row r="198" spans="1:7" s="1" customFormat="1" ht="15.75" customHeight="1" x14ac:dyDescent="0.25">
      <c r="B198" s="3"/>
      <c r="C198" s="30" t="s">
        <v>2265</v>
      </c>
      <c r="D198" s="66">
        <v>2997</v>
      </c>
      <c r="E198" s="51"/>
      <c r="F198" s="52"/>
      <c r="G198" s="52"/>
    </row>
    <row r="199" spans="1:7" s="1" customFormat="1" ht="15.75" customHeight="1" x14ac:dyDescent="0.25">
      <c r="B199" s="3"/>
      <c r="C199" s="30" t="s">
        <v>2264</v>
      </c>
      <c r="D199" s="66">
        <v>3846</v>
      </c>
      <c r="E199" s="51"/>
      <c r="F199" s="52"/>
      <c r="G199" s="52"/>
    </row>
    <row r="200" spans="1:7" s="1" customFormat="1" ht="15.75" customHeight="1" x14ac:dyDescent="0.25">
      <c r="B200" s="3"/>
      <c r="C200" s="30" t="s">
        <v>295</v>
      </c>
      <c r="D200" s="66">
        <v>887</v>
      </c>
      <c r="E200" s="51"/>
      <c r="F200" s="52"/>
      <c r="G200" s="52"/>
    </row>
    <row r="201" spans="1:7" s="1" customFormat="1" ht="15.75" customHeight="1" x14ac:dyDescent="0.25">
      <c r="B201" s="3"/>
      <c r="C201" s="30" t="s">
        <v>12</v>
      </c>
      <c r="D201" s="66">
        <v>1305</v>
      </c>
      <c r="E201" s="51"/>
      <c r="F201" s="52"/>
      <c r="G201" s="52"/>
    </row>
    <row r="202" spans="1:7" s="1" customFormat="1" ht="15.75" customHeight="1" x14ac:dyDescent="0.25">
      <c r="B202" s="3"/>
      <c r="C202" s="30" t="s">
        <v>2263</v>
      </c>
      <c r="D202" s="66">
        <v>1283</v>
      </c>
      <c r="E202" s="51"/>
      <c r="F202" s="52"/>
      <c r="G202" s="52"/>
    </row>
    <row r="203" spans="1:7" s="1" customFormat="1" ht="15.75" customHeight="1" x14ac:dyDescent="0.25">
      <c r="B203" s="3"/>
      <c r="C203" s="30" t="s">
        <v>2262</v>
      </c>
      <c r="D203" s="66">
        <v>1504</v>
      </c>
      <c r="E203" s="51"/>
      <c r="F203" s="52"/>
      <c r="G203" s="52"/>
    </row>
    <row r="204" spans="1:7" s="1" customFormat="1" ht="15.75" customHeight="1" x14ac:dyDescent="0.25">
      <c r="B204" s="3"/>
      <c r="C204" s="30" t="s">
        <v>2261</v>
      </c>
      <c r="D204" s="66">
        <v>1720</v>
      </c>
      <c r="E204" s="51"/>
      <c r="F204" s="52"/>
      <c r="G204" s="52"/>
    </row>
    <row r="205" spans="1:7" s="16" customFormat="1" ht="15.75" customHeight="1" x14ac:dyDescent="0.25">
      <c r="A205" s="1"/>
      <c r="B205" s="3"/>
      <c r="C205" s="30" t="s">
        <v>2260</v>
      </c>
      <c r="D205" s="66">
        <v>1033</v>
      </c>
      <c r="E205" s="51"/>
      <c r="F205" s="52"/>
      <c r="G205" s="52"/>
    </row>
    <row r="206" spans="1:7" s="1" customFormat="1" ht="15.75" customHeight="1" x14ac:dyDescent="0.25">
      <c r="B206" s="3"/>
      <c r="C206" s="30" t="s">
        <v>807</v>
      </c>
      <c r="D206" s="66">
        <v>1468</v>
      </c>
      <c r="E206" s="51"/>
      <c r="F206" s="52"/>
      <c r="G206" s="52"/>
    </row>
    <row r="207" spans="1:7" s="1" customFormat="1" ht="15.75" customHeight="1" x14ac:dyDescent="0.25">
      <c r="B207" s="3"/>
      <c r="C207" s="30" t="s">
        <v>808</v>
      </c>
      <c r="D207" s="66">
        <v>1186</v>
      </c>
      <c r="E207" s="51"/>
      <c r="F207" s="52"/>
      <c r="G207" s="52"/>
    </row>
    <row r="208" spans="1:7" s="1" customFormat="1" ht="15.75" customHeight="1" x14ac:dyDescent="0.25">
      <c r="B208" s="3"/>
      <c r="C208" s="30" t="s">
        <v>926</v>
      </c>
      <c r="D208" s="66">
        <v>980</v>
      </c>
      <c r="E208" s="51"/>
      <c r="F208" s="52"/>
      <c r="G208" s="52"/>
    </row>
    <row r="209" spans="1:7" s="1" customFormat="1" ht="15.75" customHeight="1" x14ac:dyDescent="0.25">
      <c r="B209" s="3"/>
      <c r="C209" s="30" t="s">
        <v>2259</v>
      </c>
      <c r="D209" s="66">
        <v>1885</v>
      </c>
      <c r="E209" s="51"/>
      <c r="F209" s="52"/>
      <c r="G209" s="52"/>
    </row>
    <row r="210" spans="1:7" s="1" customFormat="1" ht="15.75" customHeight="1" x14ac:dyDescent="0.25">
      <c r="B210" s="3"/>
      <c r="C210" s="30" t="s">
        <v>2258</v>
      </c>
      <c r="D210" s="66">
        <v>1069</v>
      </c>
      <c r="E210" s="51"/>
      <c r="F210" s="52"/>
      <c r="G210" s="52"/>
    </row>
    <row r="211" spans="1:7" s="1" customFormat="1" ht="15.75" customHeight="1" x14ac:dyDescent="0.25">
      <c r="B211" s="3"/>
      <c r="C211" s="30"/>
      <c r="D211" s="66"/>
      <c r="E211" s="51"/>
      <c r="F211" s="52"/>
      <c r="G211" s="52"/>
    </row>
    <row r="212" spans="1:7" s="1" customFormat="1" ht="15.75" customHeight="1" x14ac:dyDescent="0.25">
      <c r="B212" s="3"/>
      <c r="C212" s="29" t="s">
        <v>2407</v>
      </c>
      <c r="D212" s="63">
        <f>SUM(D213:D242)</f>
        <v>134103</v>
      </c>
      <c r="E212" s="51"/>
      <c r="F212" s="52"/>
      <c r="G212" s="52"/>
    </row>
    <row r="213" spans="1:7" s="1" customFormat="1" ht="15.75" customHeight="1" x14ac:dyDescent="0.25">
      <c r="B213" s="3"/>
      <c r="C213" s="30" t="s">
        <v>42</v>
      </c>
      <c r="D213" s="66">
        <v>9592</v>
      </c>
      <c r="E213" s="51"/>
      <c r="F213" s="52"/>
      <c r="G213" s="52"/>
    </row>
    <row r="214" spans="1:7" s="16" customFormat="1" ht="15.75" customHeight="1" x14ac:dyDescent="0.25">
      <c r="A214" s="1"/>
      <c r="B214" s="3"/>
      <c r="C214" s="30" t="s">
        <v>2257</v>
      </c>
      <c r="D214" s="66">
        <v>7880</v>
      </c>
      <c r="E214" s="51"/>
      <c r="F214" s="52"/>
      <c r="G214" s="52"/>
    </row>
    <row r="215" spans="1:7" s="1" customFormat="1" ht="15.75" customHeight="1" x14ac:dyDescent="0.25">
      <c r="B215" s="3"/>
      <c r="C215" s="30" t="s">
        <v>2016</v>
      </c>
      <c r="D215" s="66">
        <v>4110</v>
      </c>
      <c r="E215" s="51"/>
      <c r="F215" s="52"/>
      <c r="G215" s="52"/>
    </row>
    <row r="216" spans="1:7" s="1" customFormat="1" ht="15.75" customHeight="1" x14ac:dyDescent="0.25">
      <c r="B216" s="3"/>
      <c r="C216" s="30" t="s">
        <v>1748</v>
      </c>
      <c r="D216" s="66">
        <v>9664</v>
      </c>
      <c r="E216" s="51"/>
      <c r="F216" s="52"/>
      <c r="G216" s="52"/>
    </row>
    <row r="217" spans="1:7" s="1" customFormat="1" ht="15.75" customHeight="1" x14ac:dyDescent="0.25">
      <c r="B217" s="3"/>
      <c r="C217" s="30" t="s">
        <v>1982</v>
      </c>
      <c r="D217" s="66">
        <v>4430</v>
      </c>
      <c r="E217" s="51"/>
      <c r="F217" s="52"/>
      <c r="G217" s="52"/>
    </row>
    <row r="218" spans="1:7" s="1" customFormat="1" ht="15.75" customHeight="1" x14ac:dyDescent="0.25">
      <c r="B218" s="3"/>
      <c r="C218" s="30" t="s">
        <v>2256</v>
      </c>
      <c r="D218" s="66">
        <v>9965</v>
      </c>
      <c r="E218" s="51"/>
      <c r="F218" s="52"/>
      <c r="G218" s="52"/>
    </row>
    <row r="219" spans="1:7" s="1" customFormat="1" ht="15.75" customHeight="1" x14ac:dyDescent="0.25">
      <c r="B219" s="3"/>
      <c r="C219" s="30" t="s">
        <v>2255</v>
      </c>
      <c r="D219" s="66">
        <v>2723</v>
      </c>
      <c r="E219" s="51"/>
      <c r="F219" s="52"/>
      <c r="G219" s="52"/>
    </row>
    <row r="220" spans="1:7" s="1" customFormat="1" ht="15.75" customHeight="1" x14ac:dyDescent="0.25">
      <c r="B220" s="3"/>
      <c r="C220" s="30" t="s">
        <v>2254</v>
      </c>
      <c r="D220" s="66">
        <v>6887</v>
      </c>
      <c r="E220" s="51"/>
      <c r="F220" s="52"/>
      <c r="G220" s="52"/>
    </row>
    <row r="221" spans="1:7" s="1" customFormat="1" ht="15.75" customHeight="1" x14ac:dyDescent="0.25">
      <c r="B221" s="3"/>
      <c r="C221" s="30" t="s">
        <v>2253</v>
      </c>
      <c r="D221" s="66">
        <v>6709</v>
      </c>
      <c r="E221" s="51"/>
      <c r="F221" s="52"/>
      <c r="G221" s="52"/>
    </row>
    <row r="222" spans="1:7" s="1" customFormat="1" ht="15.75" customHeight="1" x14ac:dyDescent="0.25">
      <c r="B222" s="3"/>
      <c r="C222" s="30" t="s">
        <v>2252</v>
      </c>
      <c r="D222" s="66">
        <v>4859</v>
      </c>
      <c r="E222" s="51"/>
      <c r="F222" s="52"/>
      <c r="G222" s="52"/>
    </row>
    <row r="223" spans="1:7" s="1" customFormat="1" ht="15.75" customHeight="1" x14ac:dyDescent="0.25">
      <c r="B223" s="3"/>
      <c r="C223" s="30" t="s">
        <v>2251</v>
      </c>
      <c r="D223" s="66">
        <v>9593</v>
      </c>
      <c r="E223" s="51"/>
      <c r="F223" s="52"/>
      <c r="G223" s="52"/>
    </row>
    <row r="224" spans="1:7" s="1" customFormat="1" ht="15.75" customHeight="1" x14ac:dyDescent="0.25">
      <c r="B224" s="3"/>
      <c r="C224" s="30" t="s">
        <v>2250</v>
      </c>
      <c r="D224" s="66">
        <v>4697</v>
      </c>
      <c r="E224" s="51"/>
      <c r="F224" s="52"/>
      <c r="G224" s="52"/>
    </row>
    <row r="225" spans="1:7" s="1" customFormat="1" ht="15.75" customHeight="1" x14ac:dyDescent="0.25">
      <c r="B225" s="3"/>
      <c r="C225" s="30" t="s">
        <v>2249</v>
      </c>
      <c r="D225" s="66">
        <v>6164</v>
      </c>
      <c r="E225" s="51"/>
      <c r="F225" s="52"/>
      <c r="G225" s="52"/>
    </row>
    <row r="226" spans="1:7" s="1" customFormat="1" ht="15.75" customHeight="1" x14ac:dyDescent="0.25">
      <c r="B226" s="3"/>
      <c r="C226" s="30" t="s">
        <v>2248</v>
      </c>
      <c r="D226" s="66">
        <v>7651</v>
      </c>
      <c r="E226" s="51"/>
      <c r="F226" s="52"/>
      <c r="G226" s="52"/>
    </row>
    <row r="227" spans="1:7" s="1" customFormat="1" ht="15.75" customHeight="1" x14ac:dyDescent="0.25">
      <c r="B227" s="3"/>
      <c r="C227" s="30" t="s">
        <v>663</v>
      </c>
      <c r="D227" s="66">
        <v>4063</v>
      </c>
      <c r="E227" s="51"/>
      <c r="F227" s="52"/>
      <c r="G227" s="52"/>
    </row>
    <row r="228" spans="1:7" s="1" customFormat="1" ht="15.75" customHeight="1" x14ac:dyDescent="0.25">
      <c r="B228" s="3"/>
      <c r="C228" s="30" t="s">
        <v>2247</v>
      </c>
      <c r="D228" s="66">
        <v>3113</v>
      </c>
      <c r="E228" s="51"/>
      <c r="F228" s="52"/>
      <c r="G228" s="52"/>
    </row>
    <row r="229" spans="1:7" s="1" customFormat="1" ht="15.75" customHeight="1" x14ac:dyDescent="0.25">
      <c r="B229" s="3"/>
      <c r="C229" s="30" t="s">
        <v>2246</v>
      </c>
      <c r="D229" s="66">
        <v>2429</v>
      </c>
      <c r="E229" s="51"/>
      <c r="F229" s="52"/>
      <c r="G229" s="52"/>
    </row>
    <row r="230" spans="1:7" s="1" customFormat="1" ht="15.75" customHeight="1" x14ac:dyDescent="0.25">
      <c r="B230" s="3"/>
      <c r="C230" s="30" t="s">
        <v>2245</v>
      </c>
      <c r="D230" s="66">
        <v>4842</v>
      </c>
      <c r="E230" s="51"/>
      <c r="F230" s="52"/>
      <c r="G230" s="52"/>
    </row>
    <row r="231" spans="1:7" s="1" customFormat="1" ht="15.75" customHeight="1" x14ac:dyDescent="0.25">
      <c r="B231" s="3"/>
      <c r="C231" s="30" t="s">
        <v>2244</v>
      </c>
      <c r="D231" s="66">
        <v>2141</v>
      </c>
      <c r="E231" s="51"/>
      <c r="F231" s="52"/>
      <c r="G231" s="52"/>
    </row>
    <row r="232" spans="1:7" s="1" customFormat="1" ht="15.75" customHeight="1" x14ac:dyDescent="0.25">
      <c r="B232" s="3"/>
      <c r="C232" s="30" t="s">
        <v>2243</v>
      </c>
      <c r="D232" s="66">
        <v>1055</v>
      </c>
      <c r="E232" s="51"/>
      <c r="F232" s="52"/>
      <c r="G232" s="52"/>
    </row>
    <row r="233" spans="1:7" s="1" customFormat="1" ht="15.75" customHeight="1" x14ac:dyDescent="0.25">
      <c r="B233" s="3"/>
      <c r="C233" s="30" t="s">
        <v>2242</v>
      </c>
      <c r="D233" s="66">
        <v>193</v>
      </c>
      <c r="E233" s="51"/>
      <c r="F233" s="52"/>
      <c r="G233" s="52"/>
    </row>
    <row r="234" spans="1:7" s="1" customFormat="1" ht="15.75" customHeight="1" x14ac:dyDescent="0.25">
      <c r="B234" s="3"/>
      <c r="C234" s="30" t="s">
        <v>2241</v>
      </c>
      <c r="D234" s="66">
        <v>225</v>
      </c>
      <c r="E234" s="51"/>
      <c r="F234" s="52"/>
      <c r="G234" s="52"/>
    </row>
    <row r="235" spans="1:7" s="16" customFormat="1" ht="15.75" customHeight="1" x14ac:dyDescent="0.25">
      <c r="A235" s="1"/>
      <c r="B235" s="3"/>
      <c r="C235" s="30" t="s">
        <v>2240</v>
      </c>
      <c r="D235" s="66">
        <v>142</v>
      </c>
      <c r="E235" s="51"/>
      <c r="F235" s="52"/>
      <c r="G235" s="52"/>
    </row>
    <row r="236" spans="1:7" s="1" customFormat="1" ht="15.75" customHeight="1" x14ac:dyDescent="0.25">
      <c r="B236" s="3"/>
      <c r="C236" s="30" t="s">
        <v>2239</v>
      </c>
      <c r="D236" s="66">
        <v>255</v>
      </c>
      <c r="E236" s="51"/>
      <c r="F236" s="52"/>
      <c r="G236" s="52"/>
    </row>
    <row r="237" spans="1:7" s="1" customFormat="1" ht="15.75" customHeight="1" x14ac:dyDescent="0.25">
      <c r="B237" s="3"/>
      <c r="C237" s="30" t="s">
        <v>2238</v>
      </c>
      <c r="D237" s="66">
        <v>175</v>
      </c>
      <c r="E237" s="51"/>
      <c r="F237" s="52"/>
      <c r="G237" s="52"/>
    </row>
    <row r="238" spans="1:7" s="1" customFormat="1" ht="15.75" customHeight="1" x14ac:dyDescent="0.25">
      <c r="B238" s="3"/>
      <c r="C238" s="30" t="s">
        <v>2237</v>
      </c>
      <c r="D238" s="66">
        <v>1569</v>
      </c>
      <c r="E238" s="51"/>
      <c r="F238" s="52"/>
      <c r="G238" s="52"/>
    </row>
    <row r="239" spans="1:7" s="1" customFormat="1" ht="15.75" customHeight="1" x14ac:dyDescent="0.25">
      <c r="B239" s="3"/>
      <c r="C239" s="30" t="s">
        <v>2236</v>
      </c>
      <c r="D239" s="66">
        <v>2994</v>
      </c>
      <c r="E239" s="51"/>
      <c r="F239" s="52"/>
      <c r="G239" s="52"/>
    </row>
    <row r="240" spans="1:7" s="1" customFormat="1" ht="15.75" customHeight="1" x14ac:dyDescent="0.25">
      <c r="B240" s="3"/>
      <c r="C240" s="30" t="s">
        <v>2235</v>
      </c>
      <c r="D240" s="66">
        <v>1399</v>
      </c>
      <c r="E240" s="51"/>
      <c r="F240" s="52"/>
      <c r="G240" s="52"/>
    </row>
    <row r="241" spans="1:7" s="16" customFormat="1" ht="15.75" customHeight="1" x14ac:dyDescent="0.25">
      <c r="A241" s="1"/>
      <c r="B241" s="3"/>
      <c r="C241" s="30" t="s">
        <v>2234</v>
      </c>
      <c r="D241" s="66">
        <v>9458</v>
      </c>
      <c r="E241" s="51"/>
      <c r="F241" s="52"/>
      <c r="G241" s="52"/>
    </row>
    <row r="242" spans="1:7" s="1" customFormat="1" ht="15.75" customHeight="1" x14ac:dyDescent="0.25">
      <c r="B242" s="3"/>
      <c r="C242" s="30" t="s">
        <v>2233</v>
      </c>
      <c r="D242" s="66">
        <v>5126</v>
      </c>
      <c r="E242" s="51"/>
      <c r="F242" s="52"/>
      <c r="G242" s="52"/>
    </row>
    <row r="243" spans="1:7" s="1" customFormat="1" ht="15.75" customHeight="1" x14ac:dyDescent="0.25">
      <c r="B243" s="3"/>
      <c r="C243" s="30"/>
      <c r="D243" s="66"/>
      <c r="E243" s="51"/>
      <c r="F243" s="52"/>
      <c r="G243" s="52"/>
    </row>
    <row r="244" spans="1:7" s="1" customFormat="1" ht="15.75" customHeight="1" x14ac:dyDescent="0.25">
      <c r="B244" s="3"/>
      <c r="C244" s="29" t="s">
        <v>2232</v>
      </c>
      <c r="D244" s="63">
        <f>SUM(D245:D277)</f>
        <v>102656</v>
      </c>
      <c r="E244" s="51"/>
      <c r="F244" s="52"/>
      <c r="G244" s="52"/>
    </row>
    <row r="245" spans="1:7" s="1" customFormat="1" ht="15.75" customHeight="1" x14ac:dyDescent="0.25">
      <c r="B245" s="3"/>
      <c r="C245" s="30" t="s">
        <v>2231</v>
      </c>
      <c r="D245" s="66">
        <v>1280</v>
      </c>
      <c r="E245" s="51"/>
      <c r="F245" s="52"/>
      <c r="G245" s="52"/>
    </row>
    <row r="246" spans="1:7" s="16" customFormat="1" ht="15.75" customHeight="1" x14ac:dyDescent="0.25">
      <c r="A246" s="1"/>
      <c r="B246" s="3"/>
      <c r="C246" s="30" t="s">
        <v>2230</v>
      </c>
      <c r="D246" s="66">
        <v>2638</v>
      </c>
      <c r="E246" s="51"/>
      <c r="F246" s="52"/>
      <c r="G246" s="52"/>
    </row>
    <row r="247" spans="1:7" s="1" customFormat="1" ht="15.75" customHeight="1" x14ac:dyDescent="0.25">
      <c r="B247" s="3"/>
      <c r="C247" s="30" t="s">
        <v>2229</v>
      </c>
      <c r="D247" s="66">
        <v>1484</v>
      </c>
      <c r="E247" s="51"/>
      <c r="F247" s="52"/>
      <c r="G247" s="52"/>
    </row>
    <row r="248" spans="1:7" s="1" customFormat="1" ht="15.75" customHeight="1" x14ac:dyDescent="0.25">
      <c r="B248" s="3"/>
      <c r="C248" s="30" t="s">
        <v>229</v>
      </c>
      <c r="D248" s="66">
        <v>4231</v>
      </c>
      <c r="E248" s="51"/>
      <c r="F248" s="52"/>
      <c r="G248" s="52"/>
    </row>
    <row r="249" spans="1:7" s="1" customFormat="1" ht="15.75" customHeight="1" x14ac:dyDescent="0.25">
      <c r="B249" s="3"/>
      <c r="C249" s="30" t="s">
        <v>2228</v>
      </c>
      <c r="D249" s="66">
        <v>1600</v>
      </c>
      <c r="E249" s="51"/>
      <c r="F249" s="52"/>
      <c r="G249" s="52"/>
    </row>
    <row r="250" spans="1:7" s="1" customFormat="1" ht="15.75" customHeight="1" x14ac:dyDescent="0.25">
      <c r="B250" s="3"/>
      <c r="C250" s="30" t="s">
        <v>26</v>
      </c>
      <c r="D250" s="66">
        <v>4474</v>
      </c>
      <c r="E250" s="51"/>
      <c r="F250" s="52"/>
      <c r="G250" s="52"/>
    </row>
    <row r="251" spans="1:7" s="16" customFormat="1" ht="15.75" customHeight="1" x14ac:dyDescent="0.25">
      <c r="A251" s="1"/>
      <c r="B251" s="3"/>
      <c r="C251" s="30" t="s">
        <v>2227</v>
      </c>
      <c r="D251" s="66">
        <v>3650</v>
      </c>
      <c r="E251" s="51"/>
      <c r="F251" s="52"/>
      <c r="G251" s="52"/>
    </row>
    <row r="252" spans="1:7" s="1" customFormat="1" ht="15.75" customHeight="1" x14ac:dyDescent="0.25">
      <c r="B252" s="3"/>
      <c r="C252" s="30" t="s">
        <v>1754</v>
      </c>
      <c r="D252" s="66">
        <v>3258</v>
      </c>
      <c r="E252" s="51"/>
      <c r="F252" s="52"/>
      <c r="G252" s="52"/>
    </row>
    <row r="253" spans="1:7" s="1" customFormat="1" ht="15.75" customHeight="1" x14ac:dyDescent="0.25">
      <c r="B253" s="3"/>
      <c r="C253" s="30" t="s">
        <v>2226</v>
      </c>
      <c r="D253" s="66">
        <v>1876</v>
      </c>
      <c r="E253" s="51"/>
      <c r="F253" s="52"/>
      <c r="G253" s="52"/>
    </row>
    <row r="254" spans="1:7" s="1" customFormat="1" ht="15.75" customHeight="1" x14ac:dyDescent="0.25">
      <c r="B254" s="3"/>
      <c r="C254" s="30" t="s">
        <v>2225</v>
      </c>
      <c r="D254" s="66">
        <v>5602</v>
      </c>
      <c r="E254" s="51"/>
      <c r="F254" s="52"/>
      <c r="G254" s="52"/>
    </row>
    <row r="255" spans="1:7" s="16" customFormat="1" ht="15.75" customHeight="1" x14ac:dyDescent="0.25">
      <c r="A255" s="1"/>
      <c r="B255" s="3"/>
      <c r="C255" s="30" t="s">
        <v>2224</v>
      </c>
      <c r="D255" s="66">
        <v>5329</v>
      </c>
      <c r="E255" s="51"/>
      <c r="F255" s="52"/>
      <c r="G255" s="52"/>
    </row>
    <row r="256" spans="1:7" s="1" customFormat="1" ht="15.75" customHeight="1" x14ac:dyDescent="0.25">
      <c r="B256" s="3"/>
      <c r="C256" s="30" t="s">
        <v>2223</v>
      </c>
      <c r="D256" s="66">
        <v>2262</v>
      </c>
      <c r="E256" s="51"/>
      <c r="F256" s="52"/>
      <c r="G256" s="52"/>
    </row>
    <row r="257" spans="1:7" s="1" customFormat="1" ht="15.75" customHeight="1" x14ac:dyDescent="0.25">
      <c r="B257" s="3"/>
      <c r="C257" s="30" t="s">
        <v>984</v>
      </c>
      <c r="D257" s="66">
        <v>1563</v>
      </c>
      <c r="E257" s="51"/>
      <c r="F257" s="52"/>
      <c r="G257" s="52"/>
    </row>
    <row r="258" spans="1:7" s="1" customFormat="1" ht="15.75" customHeight="1" x14ac:dyDescent="0.25">
      <c r="B258" s="3"/>
      <c r="C258" s="30" t="s">
        <v>584</v>
      </c>
      <c r="D258" s="66">
        <v>1392</v>
      </c>
      <c r="E258" s="51"/>
      <c r="F258" s="52"/>
      <c r="G258" s="52"/>
    </row>
    <row r="259" spans="1:7" s="1" customFormat="1" ht="15.75" customHeight="1" x14ac:dyDescent="0.25">
      <c r="B259" s="3"/>
      <c r="C259" s="30" t="s">
        <v>864</v>
      </c>
      <c r="D259" s="66">
        <v>1797</v>
      </c>
      <c r="E259" s="51"/>
      <c r="F259" s="52"/>
      <c r="G259" s="52"/>
    </row>
    <row r="260" spans="1:7" s="16" customFormat="1" ht="15.75" customHeight="1" x14ac:dyDescent="0.25">
      <c r="A260" s="1"/>
      <c r="B260" s="3"/>
      <c r="C260" s="30" t="s">
        <v>2222</v>
      </c>
      <c r="D260" s="66">
        <v>2704</v>
      </c>
      <c r="E260" s="51"/>
      <c r="F260" s="52"/>
      <c r="G260" s="52"/>
    </row>
    <row r="261" spans="1:7" s="16" customFormat="1" ht="15.75" customHeight="1" x14ac:dyDescent="0.25">
      <c r="A261" s="1"/>
      <c r="B261" s="3"/>
      <c r="C261" s="30" t="s">
        <v>1773</v>
      </c>
      <c r="D261" s="66">
        <v>1713</v>
      </c>
      <c r="E261" s="51"/>
      <c r="F261" s="52"/>
      <c r="G261" s="52"/>
    </row>
    <row r="262" spans="1:7" s="1" customFormat="1" ht="15.75" customHeight="1" x14ac:dyDescent="0.25">
      <c r="B262" s="3"/>
      <c r="C262" s="30" t="s">
        <v>2221</v>
      </c>
      <c r="D262" s="66">
        <v>1858</v>
      </c>
      <c r="E262" s="51"/>
      <c r="F262" s="52"/>
      <c r="G262" s="52"/>
    </row>
    <row r="263" spans="1:7" s="1" customFormat="1" ht="15.75" customHeight="1" x14ac:dyDescent="0.25">
      <c r="B263" s="3"/>
      <c r="C263" s="30" t="s">
        <v>2220</v>
      </c>
      <c r="D263" s="66">
        <v>2501</v>
      </c>
      <c r="E263" s="51"/>
      <c r="F263" s="52"/>
      <c r="G263" s="52"/>
    </row>
    <row r="264" spans="1:7" s="1" customFormat="1" ht="15.75" customHeight="1" x14ac:dyDescent="0.25">
      <c r="B264" s="3"/>
      <c r="C264" s="30" t="s">
        <v>2219</v>
      </c>
      <c r="D264" s="66">
        <v>1563</v>
      </c>
      <c r="E264" s="51"/>
      <c r="F264" s="52"/>
      <c r="G264" s="52"/>
    </row>
    <row r="265" spans="1:7" s="1" customFormat="1" ht="15.75" customHeight="1" x14ac:dyDescent="0.25">
      <c r="B265" s="3"/>
      <c r="C265" s="30" t="s">
        <v>12</v>
      </c>
      <c r="D265" s="66">
        <v>2065</v>
      </c>
      <c r="E265" s="51"/>
      <c r="F265" s="52"/>
      <c r="G265" s="52"/>
    </row>
    <row r="266" spans="1:7" s="1" customFormat="1" ht="15.75" customHeight="1" x14ac:dyDescent="0.25">
      <c r="B266" s="3"/>
      <c r="C266" s="30" t="s">
        <v>2218</v>
      </c>
      <c r="D266" s="66">
        <v>3727</v>
      </c>
      <c r="E266" s="51"/>
      <c r="F266" s="52"/>
      <c r="G266" s="52"/>
    </row>
    <row r="267" spans="1:7" s="1" customFormat="1" ht="15.75" customHeight="1" x14ac:dyDescent="0.25">
      <c r="B267" s="3"/>
      <c r="C267" s="30" t="s">
        <v>2217</v>
      </c>
      <c r="D267" s="66">
        <v>2181</v>
      </c>
      <c r="E267" s="51"/>
      <c r="F267" s="52"/>
      <c r="G267" s="52"/>
    </row>
    <row r="268" spans="1:7" s="1" customFormat="1" ht="15.75" customHeight="1" x14ac:dyDescent="0.25">
      <c r="B268" s="3"/>
      <c r="C268" s="30" t="s">
        <v>2216</v>
      </c>
      <c r="D268" s="66">
        <v>2707</v>
      </c>
      <c r="E268" s="51"/>
      <c r="F268" s="52"/>
      <c r="G268" s="52"/>
    </row>
    <row r="269" spans="1:7" s="1" customFormat="1" ht="15.75" customHeight="1" x14ac:dyDescent="0.25">
      <c r="B269" s="3"/>
      <c r="C269" s="30" t="s">
        <v>2215</v>
      </c>
      <c r="D269" s="66">
        <v>1074</v>
      </c>
      <c r="E269" s="51"/>
      <c r="F269" s="52"/>
      <c r="G269" s="52"/>
    </row>
    <row r="270" spans="1:7" s="1" customFormat="1" ht="15.75" customHeight="1" x14ac:dyDescent="0.25">
      <c r="B270" s="3"/>
      <c r="C270" s="30" t="s">
        <v>2214</v>
      </c>
      <c r="D270" s="66">
        <v>1887</v>
      </c>
      <c r="E270" s="51"/>
      <c r="F270" s="52"/>
      <c r="G270" s="52"/>
    </row>
    <row r="271" spans="1:7" s="1" customFormat="1" ht="15.75" customHeight="1" x14ac:dyDescent="0.25">
      <c r="B271" s="3"/>
      <c r="C271" s="30" t="s">
        <v>2</v>
      </c>
      <c r="D271" s="66">
        <v>16161</v>
      </c>
      <c r="E271" s="51"/>
      <c r="F271" s="52"/>
      <c r="G271" s="52"/>
    </row>
    <row r="272" spans="1:7" s="1" customFormat="1" ht="15.75" customHeight="1" x14ac:dyDescent="0.25">
      <c r="B272" s="3"/>
      <c r="C272" s="30" t="s">
        <v>2213</v>
      </c>
      <c r="D272" s="66">
        <v>3537</v>
      </c>
      <c r="E272" s="51"/>
      <c r="F272" s="52"/>
      <c r="G272" s="52"/>
    </row>
    <row r="273" spans="1:7" s="1" customFormat="1" ht="15.75" customHeight="1" x14ac:dyDescent="0.25">
      <c r="B273" s="3"/>
      <c r="C273" s="30" t="s">
        <v>2212</v>
      </c>
      <c r="D273" s="66">
        <v>1474</v>
      </c>
      <c r="E273" s="51"/>
      <c r="F273" s="52"/>
      <c r="G273" s="52"/>
    </row>
    <row r="274" spans="1:7" s="1" customFormat="1" ht="15.75" customHeight="1" x14ac:dyDescent="0.25">
      <c r="B274" s="3"/>
      <c r="C274" s="30" t="s">
        <v>2211</v>
      </c>
      <c r="D274" s="66">
        <v>3816</v>
      </c>
      <c r="E274" s="51"/>
      <c r="F274" s="52"/>
      <c r="G274" s="52"/>
    </row>
    <row r="275" spans="1:7" s="1" customFormat="1" ht="15.75" customHeight="1" x14ac:dyDescent="0.25">
      <c r="B275" s="3"/>
      <c r="C275" s="30" t="s">
        <v>2210</v>
      </c>
      <c r="D275" s="66">
        <v>2541</v>
      </c>
      <c r="E275" s="51"/>
      <c r="F275" s="52"/>
      <c r="G275" s="52"/>
    </row>
    <row r="276" spans="1:7" s="1" customFormat="1" ht="15.75" customHeight="1" x14ac:dyDescent="0.25">
      <c r="B276" s="3"/>
      <c r="C276" s="30" t="s">
        <v>149</v>
      </c>
      <c r="D276" s="66">
        <v>6318</v>
      </c>
      <c r="E276" s="51"/>
      <c r="F276" s="52"/>
      <c r="G276" s="52"/>
    </row>
    <row r="277" spans="1:7" s="1" customFormat="1" ht="15.75" customHeight="1" x14ac:dyDescent="0.25">
      <c r="B277" s="3"/>
      <c r="C277" s="30" t="s">
        <v>2209</v>
      </c>
      <c r="D277" s="66">
        <v>2393</v>
      </c>
      <c r="E277" s="51"/>
      <c r="F277" s="52"/>
      <c r="G277" s="52"/>
    </row>
    <row r="278" spans="1:7" s="1" customFormat="1" ht="15.75" customHeight="1" x14ac:dyDescent="0.25">
      <c r="B278" s="3"/>
      <c r="C278" s="30"/>
      <c r="D278" s="66"/>
      <c r="E278" s="51"/>
      <c r="F278" s="52"/>
      <c r="G278" s="52"/>
    </row>
    <row r="279" spans="1:7" s="16" customFormat="1" ht="15.75" customHeight="1" x14ac:dyDescent="0.25">
      <c r="A279" s="1"/>
      <c r="B279" s="3"/>
      <c r="C279" s="29" t="s">
        <v>2208</v>
      </c>
      <c r="D279" s="63">
        <f>SUM(D280:D307)</f>
        <v>32256</v>
      </c>
      <c r="E279" s="51"/>
      <c r="F279" s="52"/>
      <c r="G279" s="52"/>
    </row>
    <row r="280" spans="1:7" s="1" customFormat="1" ht="15.75" customHeight="1" x14ac:dyDescent="0.25">
      <c r="B280" s="3"/>
      <c r="C280" s="30" t="s">
        <v>2207</v>
      </c>
      <c r="D280" s="66">
        <v>813</v>
      </c>
      <c r="E280" s="51"/>
      <c r="F280" s="52"/>
      <c r="G280" s="52"/>
    </row>
    <row r="281" spans="1:7" s="1" customFormat="1" ht="15.75" customHeight="1" x14ac:dyDescent="0.25">
      <c r="B281" s="3"/>
      <c r="C281" s="30" t="s">
        <v>2206</v>
      </c>
      <c r="D281" s="66">
        <v>499</v>
      </c>
      <c r="E281" s="51"/>
      <c r="F281" s="52"/>
      <c r="G281" s="52"/>
    </row>
    <row r="282" spans="1:7" s="1" customFormat="1" ht="15.75" customHeight="1" x14ac:dyDescent="0.25">
      <c r="B282" s="3"/>
      <c r="C282" s="30" t="s">
        <v>2205</v>
      </c>
      <c r="D282" s="66">
        <v>2524</v>
      </c>
      <c r="E282" s="51"/>
      <c r="F282" s="52"/>
      <c r="G282" s="52"/>
    </row>
    <row r="283" spans="1:7" s="1" customFormat="1" ht="15.75" customHeight="1" x14ac:dyDescent="0.25">
      <c r="B283" s="3"/>
      <c r="C283" s="30" t="s">
        <v>1614</v>
      </c>
      <c r="D283" s="66">
        <v>1003</v>
      </c>
      <c r="E283" s="51"/>
      <c r="F283" s="52"/>
      <c r="G283" s="52"/>
    </row>
    <row r="284" spans="1:7" s="1" customFormat="1" ht="15.75" customHeight="1" x14ac:dyDescent="0.25">
      <c r="B284" s="3"/>
      <c r="C284" s="30" t="s">
        <v>2204</v>
      </c>
      <c r="D284" s="66">
        <v>466</v>
      </c>
      <c r="E284" s="51"/>
      <c r="F284" s="52"/>
      <c r="G284" s="52"/>
    </row>
    <row r="285" spans="1:7" s="1" customFormat="1" ht="15.75" customHeight="1" x14ac:dyDescent="0.25">
      <c r="B285" s="3"/>
      <c r="C285" s="30" t="s">
        <v>2203</v>
      </c>
      <c r="D285" s="66">
        <v>1167</v>
      </c>
      <c r="E285" s="51"/>
      <c r="F285" s="52"/>
      <c r="G285" s="52"/>
    </row>
    <row r="286" spans="1:7" s="1" customFormat="1" ht="15.75" customHeight="1" x14ac:dyDescent="0.25">
      <c r="B286" s="3"/>
      <c r="C286" s="30" t="s">
        <v>2202</v>
      </c>
      <c r="D286" s="66">
        <v>846</v>
      </c>
      <c r="E286" s="51"/>
      <c r="F286" s="52"/>
      <c r="G286" s="52"/>
    </row>
    <row r="287" spans="1:7" s="1" customFormat="1" ht="15.75" customHeight="1" x14ac:dyDescent="0.25">
      <c r="B287" s="3"/>
      <c r="C287" s="30" t="s">
        <v>2201</v>
      </c>
      <c r="D287" s="66">
        <v>778</v>
      </c>
      <c r="E287" s="51"/>
      <c r="F287" s="52"/>
      <c r="G287" s="52"/>
    </row>
    <row r="288" spans="1:7" s="1" customFormat="1" ht="15.75" customHeight="1" x14ac:dyDescent="0.25">
      <c r="B288" s="3"/>
      <c r="C288" s="30" t="s">
        <v>2200</v>
      </c>
      <c r="D288" s="66">
        <v>502</v>
      </c>
      <c r="E288" s="51"/>
      <c r="F288" s="52"/>
      <c r="G288" s="52"/>
    </row>
    <row r="289" spans="1:7" s="1" customFormat="1" ht="15.75" customHeight="1" x14ac:dyDescent="0.25">
      <c r="B289" s="3"/>
      <c r="C289" s="30" t="s">
        <v>2199</v>
      </c>
      <c r="D289" s="66">
        <v>960</v>
      </c>
      <c r="E289" s="51"/>
      <c r="F289" s="52"/>
      <c r="G289" s="52"/>
    </row>
    <row r="290" spans="1:7" s="16" customFormat="1" ht="15.75" customHeight="1" x14ac:dyDescent="0.25">
      <c r="A290" s="1"/>
      <c r="B290" s="3"/>
      <c r="C290" s="30" t="s">
        <v>2198</v>
      </c>
      <c r="D290" s="66">
        <v>1181</v>
      </c>
      <c r="E290" s="51"/>
      <c r="F290" s="52"/>
      <c r="G290" s="52"/>
    </row>
    <row r="291" spans="1:7" s="1" customFormat="1" ht="15.75" customHeight="1" x14ac:dyDescent="0.25">
      <c r="B291" s="3"/>
      <c r="C291" s="30" t="s">
        <v>2197</v>
      </c>
      <c r="D291" s="66">
        <v>481</v>
      </c>
      <c r="E291" s="51"/>
      <c r="F291" s="52"/>
      <c r="G291" s="52"/>
    </row>
    <row r="292" spans="1:7" s="1" customFormat="1" ht="15.75" customHeight="1" x14ac:dyDescent="0.25">
      <c r="B292" s="3"/>
      <c r="C292" s="30" t="s">
        <v>2196</v>
      </c>
      <c r="D292" s="66">
        <v>2175</v>
      </c>
      <c r="E292" s="51"/>
      <c r="F292" s="52"/>
      <c r="G292" s="52"/>
    </row>
    <row r="293" spans="1:7" s="16" customFormat="1" ht="15.75" customHeight="1" x14ac:dyDescent="0.25">
      <c r="A293" s="1"/>
      <c r="B293" s="3"/>
      <c r="C293" s="30" t="s">
        <v>2181</v>
      </c>
      <c r="D293" s="66">
        <v>1709</v>
      </c>
      <c r="E293" s="51"/>
      <c r="F293" s="52"/>
      <c r="G293" s="52"/>
    </row>
    <row r="294" spans="1:7" s="1" customFormat="1" ht="15.75" customHeight="1" x14ac:dyDescent="0.25">
      <c r="B294" s="3"/>
      <c r="C294" s="30" t="s">
        <v>2195</v>
      </c>
      <c r="D294" s="66">
        <v>1147</v>
      </c>
      <c r="E294" s="51"/>
      <c r="F294" s="52"/>
      <c r="G294" s="52"/>
    </row>
    <row r="295" spans="1:7" s="1" customFormat="1" ht="15.75" customHeight="1" x14ac:dyDescent="0.25">
      <c r="B295" s="3"/>
      <c r="C295" s="30" t="s">
        <v>1442</v>
      </c>
      <c r="D295" s="66">
        <v>903</v>
      </c>
      <c r="E295" s="51"/>
      <c r="F295" s="52"/>
      <c r="G295" s="52"/>
    </row>
    <row r="296" spans="1:7" s="1" customFormat="1" ht="15.75" customHeight="1" x14ac:dyDescent="0.25">
      <c r="B296" s="3"/>
      <c r="C296" s="30" t="s">
        <v>1125</v>
      </c>
      <c r="D296" s="66">
        <v>515</v>
      </c>
      <c r="E296" s="51"/>
      <c r="F296" s="52"/>
      <c r="G296" s="52"/>
    </row>
    <row r="297" spans="1:7" s="1" customFormat="1" ht="15.75" customHeight="1" x14ac:dyDescent="0.25">
      <c r="B297" s="3"/>
      <c r="C297" s="30" t="s">
        <v>2194</v>
      </c>
      <c r="D297" s="66">
        <v>822</v>
      </c>
      <c r="E297" s="51"/>
      <c r="F297" s="52"/>
      <c r="G297" s="52"/>
    </row>
    <row r="298" spans="1:7" s="1" customFormat="1" ht="15.75" customHeight="1" x14ac:dyDescent="0.25">
      <c r="B298" s="3"/>
      <c r="C298" s="30" t="s">
        <v>2193</v>
      </c>
      <c r="D298" s="66">
        <v>980</v>
      </c>
      <c r="E298" s="51"/>
      <c r="F298" s="52"/>
      <c r="G298" s="52"/>
    </row>
    <row r="299" spans="1:7" s="1" customFormat="1" ht="15.75" customHeight="1" x14ac:dyDescent="0.25">
      <c r="B299" s="3"/>
      <c r="C299" s="30" t="s">
        <v>2192</v>
      </c>
      <c r="D299" s="66">
        <v>1624</v>
      </c>
      <c r="E299" s="51"/>
      <c r="F299" s="52"/>
      <c r="G299" s="52"/>
    </row>
    <row r="300" spans="1:7" s="1" customFormat="1" ht="15.75" customHeight="1" x14ac:dyDescent="0.25">
      <c r="B300" s="3"/>
      <c r="C300" s="30" t="s">
        <v>2170</v>
      </c>
      <c r="D300" s="66">
        <v>1962</v>
      </c>
      <c r="E300" s="51"/>
      <c r="F300" s="52"/>
      <c r="G300" s="52"/>
    </row>
    <row r="301" spans="1:7" s="16" customFormat="1" ht="15.75" customHeight="1" x14ac:dyDescent="0.25">
      <c r="A301" s="1"/>
      <c r="B301" s="3"/>
      <c r="C301" s="30" t="s">
        <v>2191</v>
      </c>
      <c r="D301" s="66">
        <v>1158</v>
      </c>
      <c r="E301" s="51"/>
      <c r="F301" s="52"/>
      <c r="G301" s="52"/>
    </row>
    <row r="302" spans="1:7" s="1" customFormat="1" ht="15.75" customHeight="1" x14ac:dyDescent="0.25">
      <c r="B302" s="3"/>
      <c r="C302" s="30" t="s">
        <v>1499</v>
      </c>
      <c r="D302" s="66">
        <v>1229</v>
      </c>
      <c r="E302" s="51"/>
      <c r="F302" s="52"/>
      <c r="G302" s="52"/>
    </row>
    <row r="303" spans="1:7" s="1" customFormat="1" ht="15.75" customHeight="1" x14ac:dyDescent="0.25">
      <c r="B303" s="3"/>
      <c r="C303" s="30" t="s">
        <v>1500</v>
      </c>
      <c r="D303" s="66">
        <v>1995</v>
      </c>
      <c r="E303" s="51"/>
      <c r="F303" s="52"/>
      <c r="G303" s="52"/>
    </row>
    <row r="304" spans="1:7" s="1" customFormat="1" ht="15.75" customHeight="1" x14ac:dyDescent="0.25">
      <c r="B304" s="3"/>
      <c r="C304" s="30" t="s">
        <v>2190</v>
      </c>
      <c r="D304" s="66">
        <v>1411</v>
      </c>
      <c r="E304" s="51"/>
      <c r="F304" s="52"/>
      <c r="G304" s="52"/>
    </row>
    <row r="305" spans="1:7" s="1" customFormat="1" ht="15.75" customHeight="1" x14ac:dyDescent="0.25">
      <c r="B305" s="3"/>
      <c r="C305" s="30" t="s">
        <v>2189</v>
      </c>
      <c r="D305" s="66">
        <v>1388</v>
      </c>
      <c r="E305" s="51"/>
      <c r="F305" s="52"/>
      <c r="G305" s="52"/>
    </row>
    <row r="306" spans="1:7" s="1" customFormat="1" ht="15.75" customHeight="1" x14ac:dyDescent="0.25">
      <c r="B306" s="3"/>
      <c r="C306" s="30" t="s">
        <v>1799</v>
      </c>
      <c r="D306" s="66">
        <v>700</v>
      </c>
      <c r="E306" s="51"/>
      <c r="F306" s="52"/>
      <c r="G306" s="52"/>
    </row>
    <row r="307" spans="1:7" s="1" customFormat="1" ht="15.75" customHeight="1" x14ac:dyDescent="0.25">
      <c r="B307" s="3"/>
      <c r="C307" s="30" t="s">
        <v>2024</v>
      </c>
      <c r="D307" s="66">
        <v>1318</v>
      </c>
      <c r="E307" s="51"/>
      <c r="F307" s="52"/>
      <c r="G307" s="52"/>
    </row>
    <row r="308" spans="1:7" s="1" customFormat="1" ht="15.75" customHeight="1" x14ac:dyDescent="0.25">
      <c r="B308" s="3"/>
      <c r="C308" s="30"/>
      <c r="D308" s="66"/>
      <c r="E308" s="51"/>
      <c r="F308" s="52"/>
      <c r="G308" s="52"/>
    </row>
    <row r="309" spans="1:7" s="1" customFormat="1" ht="15.75" customHeight="1" x14ac:dyDescent="0.25">
      <c r="B309" s="3"/>
      <c r="C309" s="29" t="s">
        <v>2188</v>
      </c>
      <c r="D309" s="63">
        <f>SUM(D310:D338)</f>
        <v>41089</v>
      </c>
      <c r="E309" s="51"/>
      <c r="F309" s="52"/>
      <c r="G309" s="52"/>
    </row>
    <row r="310" spans="1:7" s="1" customFormat="1" ht="15.75" customHeight="1" x14ac:dyDescent="0.25">
      <c r="B310" s="3"/>
      <c r="C310" s="30" t="s">
        <v>2187</v>
      </c>
      <c r="D310" s="66">
        <v>1015</v>
      </c>
      <c r="E310" s="51"/>
      <c r="F310" s="52"/>
      <c r="G310" s="52"/>
    </row>
    <row r="311" spans="1:7" s="1" customFormat="1" ht="15.75" customHeight="1" x14ac:dyDescent="0.25">
      <c r="B311" s="3"/>
      <c r="C311" s="30" t="s">
        <v>2186</v>
      </c>
      <c r="D311" s="66">
        <v>1052</v>
      </c>
      <c r="E311" s="51"/>
      <c r="F311" s="52"/>
      <c r="G311" s="52"/>
    </row>
    <row r="312" spans="1:7" s="1" customFormat="1" ht="15.75" customHeight="1" x14ac:dyDescent="0.25">
      <c r="B312" s="3"/>
      <c r="C312" s="30" t="s">
        <v>243</v>
      </c>
      <c r="D312" s="66">
        <v>1497</v>
      </c>
      <c r="E312" s="51"/>
      <c r="F312" s="52"/>
      <c r="G312" s="52"/>
    </row>
    <row r="313" spans="1:7" s="16" customFormat="1" ht="15.75" customHeight="1" x14ac:dyDescent="0.25">
      <c r="A313" s="1"/>
      <c r="B313" s="3"/>
      <c r="C313" s="30" t="s">
        <v>2185</v>
      </c>
      <c r="D313" s="66">
        <v>927</v>
      </c>
      <c r="E313" s="51"/>
      <c r="F313" s="52"/>
      <c r="G313" s="52"/>
    </row>
    <row r="314" spans="1:7" s="1" customFormat="1" ht="15.75" customHeight="1" x14ac:dyDescent="0.25">
      <c r="B314" s="3"/>
      <c r="C314" s="30" t="s">
        <v>2184</v>
      </c>
      <c r="D314" s="66">
        <v>1369</v>
      </c>
      <c r="E314" s="51"/>
      <c r="F314" s="52"/>
      <c r="G314" s="52"/>
    </row>
    <row r="315" spans="1:7" s="1" customFormat="1" ht="15.75" customHeight="1" x14ac:dyDescent="0.25">
      <c r="B315" s="3"/>
      <c r="C315" s="30" t="s">
        <v>2183</v>
      </c>
      <c r="D315" s="66">
        <v>1182</v>
      </c>
      <c r="E315" s="51"/>
      <c r="F315" s="52"/>
      <c r="G315" s="52"/>
    </row>
    <row r="316" spans="1:7" s="1" customFormat="1" ht="15.75" customHeight="1" x14ac:dyDescent="0.25">
      <c r="B316" s="3"/>
      <c r="C316" s="30" t="s">
        <v>2182</v>
      </c>
      <c r="D316" s="66">
        <v>1348</v>
      </c>
      <c r="E316" s="51"/>
      <c r="F316" s="52"/>
      <c r="G316" s="52"/>
    </row>
    <row r="317" spans="1:7" s="1" customFormat="1" ht="15.75" customHeight="1" x14ac:dyDescent="0.25">
      <c r="B317" s="3"/>
      <c r="C317" s="30" t="s">
        <v>2181</v>
      </c>
      <c r="D317" s="66">
        <v>1629</v>
      </c>
      <c r="E317" s="51"/>
      <c r="F317" s="52"/>
      <c r="G317" s="52"/>
    </row>
    <row r="318" spans="1:7" s="1" customFormat="1" ht="15.75" customHeight="1" x14ac:dyDescent="0.25">
      <c r="B318" s="3"/>
      <c r="C318" s="30" t="s">
        <v>2180</v>
      </c>
      <c r="D318" s="66">
        <v>1843</v>
      </c>
      <c r="E318" s="51"/>
      <c r="F318" s="52"/>
      <c r="G318" s="52"/>
    </row>
    <row r="319" spans="1:7" s="1" customFormat="1" ht="15.75" customHeight="1" x14ac:dyDescent="0.25">
      <c r="B319" s="3"/>
      <c r="C319" s="30" t="s">
        <v>2179</v>
      </c>
      <c r="D319" s="66">
        <v>1350</v>
      </c>
      <c r="E319" s="51"/>
      <c r="F319" s="52"/>
      <c r="G319" s="52"/>
    </row>
    <row r="320" spans="1:7" s="1" customFormat="1" ht="15.75" customHeight="1" x14ac:dyDescent="0.25">
      <c r="B320" s="3"/>
      <c r="C320" s="30" t="s">
        <v>2178</v>
      </c>
      <c r="D320" s="66">
        <v>662</v>
      </c>
      <c r="E320" s="51"/>
      <c r="F320" s="52"/>
      <c r="G320" s="52"/>
    </row>
    <row r="321" spans="2:7" s="1" customFormat="1" ht="15.75" customHeight="1" x14ac:dyDescent="0.25">
      <c r="B321" s="3"/>
      <c r="C321" s="30" t="s">
        <v>2177</v>
      </c>
      <c r="D321" s="66">
        <v>1603</v>
      </c>
      <c r="E321" s="51"/>
      <c r="F321" s="52"/>
      <c r="G321" s="52"/>
    </row>
    <row r="322" spans="2:7" s="1" customFormat="1" ht="15.75" customHeight="1" x14ac:dyDescent="0.25">
      <c r="B322" s="3"/>
      <c r="C322" s="30" t="s">
        <v>2176</v>
      </c>
      <c r="D322" s="66">
        <v>1578</v>
      </c>
      <c r="E322" s="51"/>
      <c r="F322" s="52"/>
      <c r="G322" s="52"/>
    </row>
    <row r="323" spans="2:7" s="1" customFormat="1" ht="15.75" customHeight="1" x14ac:dyDescent="0.25">
      <c r="B323" s="3"/>
      <c r="C323" s="30" t="s">
        <v>2175</v>
      </c>
      <c r="D323" s="66">
        <v>808</v>
      </c>
      <c r="E323" s="51"/>
      <c r="F323" s="52"/>
      <c r="G323" s="52"/>
    </row>
    <row r="324" spans="2:7" s="1" customFormat="1" ht="15.75" customHeight="1" x14ac:dyDescent="0.25">
      <c r="B324" s="3"/>
      <c r="C324" s="30" t="s">
        <v>2174</v>
      </c>
      <c r="D324" s="66">
        <v>660</v>
      </c>
      <c r="E324" s="51"/>
      <c r="F324" s="52"/>
      <c r="G324" s="52"/>
    </row>
    <row r="325" spans="2:7" s="1" customFormat="1" ht="15.75" customHeight="1" x14ac:dyDescent="0.25">
      <c r="B325" s="3"/>
      <c r="C325" s="30" t="s">
        <v>2173</v>
      </c>
      <c r="D325" s="66">
        <v>891</v>
      </c>
      <c r="E325" s="51"/>
      <c r="F325" s="52"/>
      <c r="G325" s="52"/>
    </row>
    <row r="326" spans="2:7" s="1" customFormat="1" ht="15.75" customHeight="1" x14ac:dyDescent="0.25">
      <c r="B326" s="3"/>
      <c r="C326" s="30" t="s">
        <v>2172</v>
      </c>
      <c r="D326" s="66">
        <v>2134</v>
      </c>
      <c r="E326" s="51"/>
      <c r="F326" s="52"/>
      <c r="G326" s="52"/>
    </row>
    <row r="327" spans="2:7" s="1" customFormat="1" ht="15.75" customHeight="1" x14ac:dyDescent="0.25">
      <c r="B327" s="3"/>
      <c r="C327" s="30" t="s">
        <v>2171</v>
      </c>
      <c r="D327" s="66">
        <v>1868</v>
      </c>
      <c r="E327" s="51"/>
      <c r="F327" s="52"/>
      <c r="G327" s="52"/>
    </row>
    <row r="328" spans="2:7" s="1" customFormat="1" ht="15.75" customHeight="1" x14ac:dyDescent="0.25">
      <c r="B328" s="3"/>
      <c r="C328" s="30" t="s">
        <v>2170</v>
      </c>
      <c r="D328" s="66">
        <v>2777</v>
      </c>
      <c r="E328" s="51"/>
      <c r="F328" s="52"/>
      <c r="G328" s="52"/>
    </row>
    <row r="329" spans="2:7" s="1" customFormat="1" ht="15.75" customHeight="1" x14ac:dyDescent="0.25">
      <c r="B329" s="3"/>
      <c r="C329" s="30" t="s">
        <v>2169</v>
      </c>
      <c r="D329" s="66">
        <v>488</v>
      </c>
      <c r="E329" s="51"/>
      <c r="F329" s="52"/>
      <c r="G329" s="52"/>
    </row>
    <row r="330" spans="2:7" s="1" customFormat="1" ht="15.75" customHeight="1" x14ac:dyDescent="0.25">
      <c r="B330" s="3"/>
      <c r="C330" s="30" t="s">
        <v>2168</v>
      </c>
      <c r="D330" s="66">
        <v>1341</v>
      </c>
      <c r="E330" s="51"/>
      <c r="F330" s="52"/>
      <c r="G330" s="52"/>
    </row>
    <row r="331" spans="2:7" s="1" customFormat="1" ht="15.75" customHeight="1" x14ac:dyDescent="0.25">
      <c r="B331" s="3"/>
      <c r="C331" s="30" t="s">
        <v>49</v>
      </c>
      <c r="D331" s="66">
        <v>1441</v>
      </c>
      <c r="E331" s="51"/>
      <c r="F331" s="52"/>
      <c r="G331" s="52"/>
    </row>
    <row r="332" spans="2:7" s="1" customFormat="1" ht="15.75" customHeight="1" x14ac:dyDescent="0.25">
      <c r="B332" s="3"/>
      <c r="C332" s="30" t="s">
        <v>208</v>
      </c>
      <c r="D332" s="66">
        <v>2507</v>
      </c>
      <c r="E332" s="51"/>
      <c r="F332" s="52"/>
      <c r="G332" s="52"/>
    </row>
    <row r="333" spans="2:7" s="1" customFormat="1" ht="15.75" customHeight="1" x14ac:dyDescent="0.25">
      <c r="B333" s="3"/>
      <c r="C333" s="30" t="s">
        <v>209</v>
      </c>
      <c r="D333" s="66">
        <v>1371</v>
      </c>
      <c r="E333" s="51"/>
      <c r="F333" s="52"/>
      <c r="G333" s="52"/>
    </row>
    <row r="334" spans="2:7" s="1" customFormat="1" ht="15.75" customHeight="1" x14ac:dyDescent="0.25">
      <c r="B334" s="3"/>
      <c r="C334" s="30" t="s">
        <v>6</v>
      </c>
      <c r="D334" s="66">
        <v>1689</v>
      </c>
      <c r="E334" s="51"/>
      <c r="F334" s="52"/>
      <c r="G334" s="52"/>
    </row>
    <row r="335" spans="2:7" s="1" customFormat="1" ht="15.75" customHeight="1" x14ac:dyDescent="0.25">
      <c r="B335" s="3"/>
      <c r="C335" s="30" t="s">
        <v>2167</v>
      </c>
      <c r="D335" s="66">
        <v>2565</v>
      </c>
      <c r="E335" s="51"/>
      <c r="F335" s="52"/>
      <c r="G335" s="52"/>
    </row>
    <row r="336" spans="2:7" s="1" customFormat="1" ht="15.75" customHeight="1" x14ac:dyDescent="0.25">
      <c r="B336" s="3"/>
      <c r="C336" s="30" t="s">
        <v>2166</v>
      </c>
      <c r="D336" s="66">
        <v>907</v>
      </c>
      <c r="E336" s="51"/>
      <c r="F336" s="52"/>
      <c r="G336" s="52"/>
    </row>
    <row r="337" spans="1:7" s="1" customFormat="1" ht="15.75" customHeight="1" x14ac:dyDescent="0.25">
      <c r="B337" s="3"/>
      <c r="C337" s="30" t="s">
        <v>1133</v>
      </c>
      <c r="D337" s="66">
        <v>930</v>
      </c>
      <c r="E337" s="51"/>
      <c r="F337" s="52"/>
      <c r="G337" s="52"/>
    </row>
    <row r="338" spans="1:7" s="1" customFormat="1" ht="15.75" customHeight="1" x14ac:dyDescent="0.25">
      <c r="B338" s="3"/>
      <c r="C338" s="30" t="s">
        <v>2165</v>
      </c>
      <c r="D338" s="66">
        <v>1657</v>
      </c>
      <c r="E338" s="51"/>
      <c r="F338" s="52"/>
      <c r="G338" s="52"/>
    </row>
    <row r="339" spans="1:7" s="1" customFormat="1" ht="15.75" customHeight="1" x14ac:dyDescent="0.25">
      <c r="B339" s="3"/>
      <c r="C339" s="30"/>
      <c r="D339" s="66"/>
      <c r="E339" s="51"/>
      <c r="F339" s="52"/>
      <c r="G339" s="52"/>
    </row>
    <row r="340" spans="1:7" s="1" customFormat="1" ht="15.75" customHeight="1" x14ac:dyDescent="0.25">
      <c r="B340" s="3"/>
      <c r="C340" s="29" t="s">
        <v>2164</v>
      </c>
      <c r="D340" s="63">
        <f>SUM(D341:D372)</f>
        <v>82953</v>
      </c>
      <c r="E340" s="51"/>
      <c r="F340" s="52"/>
      <c r="G340" s="52"/>
    </row>
    <row r="341" spans="1:7" s="1" customFormat="1" ht="15.75" customHeight="1" x14ac:dyDescent="0.25">
      <c r="B341" s="3"/>
      <c r="C341" s="30" t="s">
        <v>2163</v>
      </c>
      <c r="D341" s="66">
        <v>3603</v>
      </c>
      <c r="E341" s="51"/>
      <c r="F341" s="52"/>
      <c r="G341" s="52"/>
    </row>
    <row r="342" spans="1:7" s="1" customFormat="1" ht="15.75" customHeight="1" x14ac:dyDescent="0.25">
      <c r="B342" s="3"/>
      <c r="C342" s="30" t="s">
        <v>2162</v>
      </c>
      <c r="D342" s="66">
        <v>1957</v>
      </c>
      <c r="E342" s="51"/>
      <c r="F342" s="52"/>
      <c r="G342" s="52"/>
    </row>
    <row r="343" spans="1:7" s="1" customFormat="1" ht="15.75" customHeight="1" x14ac:dyDescent="0.25">
      <c r="B343" s="3"/>
      <c r="C343" s="30" t="s">
        <v>243</v>
      </c>
      <c r="D343" s="66">
        <v>3549</v>
      </c>
      <c r="E343" s="51"/>
      <c r="F343" s="52"/>
      <c r="G343" s="52"/>
    </row>
    <row r="344" spans="1:7" s="1" customFormat="1" ht="15.75" customHeight="1" x14ac:dyDescent="0.25">
      <c r="B344" s="3"/>
      <c r="C344" s="30" t="s">
        <v>109</v>
      </c>
      <c r="D344" s="66">
        <v>1185</v>
      </c>
      <c r="E344" s="51"/>
      <c r="F344" s="52"/>
      <c r="G344" s="52"/>
    </row>
    <row r="345" spans="1:7" s="16" customFormat="1" ht="15.75" customHeight="1" x14ac:dyDescent="0.25">
      <c r="A345" s="1"/>
      <c r="B345" s="3"/>
      <c r="C345" s="30" t="s">
        <v>2161</v>
      </c>
      <c r="D345" s="66">
        <v>2662</v>
      </c>
      <c r="E345" s="51"/>
      <c r="F345" s="52"/>
      <c r="G345" s="52"/>
    </row>
    <row r="346" spans="1:7" s="1" customFormat="1" ht="15.75" customHeight="1" x14ac:dyDescent="0.25">
      <c r="B346" s="3"/>
      <c r="C346" s="30" t="s">
        <v>160</v>
      </c>
      <c r="D346" s="66">
        <v>2413</v>
      </c>
      <c r="E346" s="51"/>
      <c r="F346" s="52"/>
      <c r="G346" s="52"/>
    </row>
    <row r="347" spans="1:7" s="1" customFormat="1" ht="15.75" customHeight="1" x14ac:dyDescent="0.25">
      <c r="B347" s="3"/>
      <c r="C347" s="30" t="s">
        <v>2160</v>
      </c>
      <c r="D347" s="66">
        <v>800</v>
      </c>
      <c r="E347" s="51"/>
      <c r="F347" s="52"/>
      <c r="G347" s="52"/>
    </row>
    <row r="348" spans="1:7" s="1" customFormat="1" ht="15.75" customHeight="1" x14ac:dyDescent="0.25">
      <c r="B348" s="3"/>
      <c r="C348" s="30" t="s">
        <v>2159</v>
      </c>
      <c r="D348" s="66">
        <v>1406</v>
      </c>
      <c r="E348" s="51"/>
      <c r="F348" s="52"/>
      <c r="G348" s="52"/>
    </row>
    <row r="349" spans="1:7" s="1" customFormat="1" ht="15.75" customHeight="1" x14ac:dyDescent="0.25">
      <c r="B349" s="3"/>
      <c r="C349" s="30" t="s">
        <v>134</v>
      </c>
      <c r="D349" s="66">
        <v>2535</v>
      </c>
      <c r="E349" s="51"/>
      <c r="F349" s="52"/>
      <c r="G349" s="52"/>
    </row>
    <row r="350" spans="1:7" s="1" customFormat="1" ht="15.75" customHeight="1" x14ac:dyDescent="0.25">
      <c r="B350" s="3"/>
      <c r="C350" s="30" t="s">
        <v>2158</v>
      </c>
      <c r="D350" s="66">
        <v>2197</v>
      </c>
      <c r="E350" s="51"/>
      <c r="F350" s="52"/>
      <c r="G350" s="52"/>
    </row>
    <row r="351" spans="1:7" s="1" customFormat="1" ht="15.75" customHeight="1" x14ac:dyDescent="0.25">
      <c r="B351" s="3"/>
      <c r="C351" s="30" t="s">
        <v>2157</v>
      </c>
      <c r="D351" s="66">
        <v>1828</v>
      </c>
      <c r="E351" s="51"/>
      <c r="F351" s="52"/>
      <c r="G351" s="52"/>
    </row>
    <row r="352" spans="1:7" s="1" customFormat="1" ht="15.75" customHeight="1" x14ac:dyDescent="0.25">
      <c r="B352" s="3"/>
      <c r="C352" s="30" t="s">
        <v>2156</v>
      </c>
      <c r="D352" s="66">
        <v>1280</v>
      </c>
      <c r="E352" s="51"/>
      <c r="F352" s="52"/>
      <c r="G352" s="52"/>
    </row>
    <row r="353" spans="1:7" s="1" customFormat="1" ht="15.75" customHeight="1" x14ac:dyDescent="0.25">
      <c r="B353" s="3"/>
      <c r="C353" s="30" t="s">
        <v>2155</v>
      </c>
      <c r="D353" s="66">
        <v>2573</v>
      </c>
      <c r="E353" s="51"/>
      <c r="F353" s="52"/>
      <c r="G353" s="52"/>
    </row>
    <row r="354" spans="1:7" s="1" customFormat="1" ht="15.75" customHeight="1" x14ac:dyDescent="0.25">
      <c r="B354" s="3"/>
      <c r="C354" s="30" t="s">
        <v>2154</v>
      </c>
      <c r="D354" s="66">
        <v>4035</v>
      </c>
      <c r="E354" s="51"/>
      <c r="F354" s="52"/>
      <c r="G354" s="52"/>
    </row>
    <row r="355" spans="1:7" s="1" customFormat="1" ht="15.75" customHeight="1" x14ac:dyDescent="0.25">
      <c r="B355" s="3"/>
      <c r="C355" s="30" t="s">
        <v>2153</v>
      </c>
      <c r="D355" s="66">
        <v>2855</v>
      </c>
      <c r="E355" s="51"/>
      <c r="F355" s="52"/>
      <c r="G355" s="52"/>
    </row>
    <row r="356" spans="1:7" s="1" customFormat="1" ht="15.75" customHeight="1" x14ac:dyDescent="0.25">
      <c r="B356" s="3"/>
      <c r="C356" s="30" t="s">
        <v>2152</v>
      </c>
      <c r="D356" s="66">
        <v>1475</v>
      </c>
      <c r="E356" s="51"/>
      <c r="F356" s="52"/>
      <c r="G356" s="52"/>
    </row>
    <row r="357" spans="1:7" s="1" customFormat="1" ht="15.75" customHeight="1" x14ac:dyDescent="0.25">
      <c r="B357" s="3"/>
      <c r="C357" s="30" t="s">
        <v>2151</v>
      </c>
      <c r="D357" s="66">
        <v>2800</v>
      </c>
      <c r="E357" s="51"/>
      <c r="F357" s="52"/>
      <c r="G357" s="52"/>
    </row>
    <row r="358" spans="1:7" s="1" customFormat="1" ht="15.75" customHeight="1" x14ac:dyDescent="0.25">
      <c r="B358" s="3"/>
      <c r="C358" s="30" t="s">
        <v>2150</v>
      </c>
      <c r="D358" s="66">
        <v>1468</v>
      </c>
      <c r="E358" s="51"/>
      <c r="F358" s="52"/>
      <c r="G358" s="52"/>
    </row>
    <row r="359" spans="1:7" s="1" customFormat="1" ht="15.75" customHeight="1" x14ac:dyDescent="0.25">
      <c r="B359" s="3"/>
      <c r="C359" s="30" t="s">
        <v>2149</v>
      </c>
      <c r="D359" s="66">
        <v>5083</v>
      </c>
      <c r="E359" s="51"/>
      <c r="F359" s="52"/>
      <c r="G359" s="52"/>
    </row>
    <row r="360" spans="1:7" s="16" customFormat="1" ht="15.75" customHeight="1" x14ac:dyDescent="0.25">
      <c r="A360" s="1"/>
      <c r="B360" s="3"/>
      <c r="C360" s="30" t="s">
        <v>150</v>
      </c>
      <c r="D360" s="66">
        <v>1875</v>
      </c>
      <c r="E360" s="51"/>
      <c r="F360" s="52"/>
      <c r="G360" s="52"/>
    </row>
    <row r="361" spans="1:7" s="1" customFormat="1" ht="15.75" customHeight="1" x14ac:dyDescent="0.25">
      <c r="B361" s="3"/>
      <c r="C361" s="30" t="s">
        <v>2148</v>
      </c>
      <c r="D361" s="66">
        <v>866</v>
      </c>
      <c r="E361" s="51"/>
      <c r="F361" s="52"/>
      <c r="G361" s="52"/>
    </row>
    <row r="362" spans="1:7" s="1" customFormat="1" ht="15.75" customHeight="1" x14ac:dyDescent="0.25">
      <c r="B362" s="3"/>
      <c r="C362" s="30" t="s">
        <v>2147</v>
      </c>
      <c r="D362" s="66">
        <v>2868</v>
      </c>
      <c r="E362" s="51"/>
      <c r="F362" s="52"/>
      <c r="G362" s="52"/>
    </row>
    <row r="363" spans="1:7" s="1" customFormat="1" ht="15.75" customHeight="1" x14ac:dyDescent="0.25">
      <c r="B363" s="3"/>
      <c r="C363" s="30" t="s">
        <v>2146</v>
      </c>
      <c r="D363" s="66">
        <v>935</v>
      </c>
      <c r="E363" s="51"/>
      <c r="F363" s="52"/>
      <c r="G363" s="52"/>
    </row>
    <row r="364" spans="1:7" s="1" customFormat="1" ht="15.75" customHeight="1" x14ac:dyDescent="0.25">
      <c r="B364" s="3"/>
      <c r="C364" s="30" t="s">
        <v>2145</v>
      </c>
      <c r="D364" s="66">
        <v>570</v>
      </c>
      <c r="E364" s="51"/>
      <c r="F364" s="52"/>
      <c r="G364" s="52"/>
    </row>
    <row r="365" spans="1:7" s="1" customFormat="1" ht="15.75" customHeight="1" x14ac:dyDescent="0.25">
      <c r="B365" s="3"/>
      <c r="C365" s="30" t="s">
        <v>2144</v>
      </c>
      <c r="D365" s="66">
        <v>1541</v>
      </c>
      <c r="E365" s="51"/>
      <c r="F365" s="52"/>
      <c r="G365" s="52"/>
    </row>
    <row r="366" spans="1:7" s="1" customFormat="1" ht="15.75" customHeight="1" x14ac:dyDescent="0.25">
      <c r="B366" s="3"/>
      <c r="C366" s="30" t="s">
        <v>241</v>
      </c>
      <c r="D366" s="66">
        <v>3006</v>
      </c>
      <c r="E366" s="51"/>
      <c r="F366" s="52"/>
      <c r="G366" s="52"/>
    </row>
    <row r="367" spans="1:7" s="1" customFormat="1" ht="15.75" customHeight="1" x14ac:dyDescent="0.25">
      <c r="B367" s="3"/>
      <c r="C367" s="30" t="s">
        <v>2143</v>
      </c>
      <c r="D367" s="66">
        <v>3518</v>
      </c>
      <c r="E367" s="51"/>
      <c r="F367" s="52"/>
      <c r="G367" s="52"/>
    </row>
    <row r="368" spans="1:7" s="1" customFormat="1" ht="15.75" customHeight="1" x14ac:dyDescent="0.25">
      <c r="B368" s="3"/>
      <c r="C368" s="30" t="s">
        <v>2142</v>
      </c>
      <c r="D368" s="66">
        <v>4358</v>
      </c>
      <c r="E368" s="51"/>
      <c r="F368" s="52"/>
      <c r="G368" s="52"/>
    </row>
    <row r="369" spans="1:7" s="1" customFormat="1" ht="15.75" customHeight="1" x14ac:dyDescent="0.25">
      <c r="B369" s="3"/>
      <c r="C369" s="30" t="s">
        <v>2</v>
      </c>
      <c r="D369" s="66">
        <v>7066</v>
      </c>
      <c r="E369" s="51"/>
      <c r="F369" s="52"/>
      <c r="G369" s="52"/>
    </row>
    <row r="370" spans="1:7" s="1" customFormat="1" ht="15.75" customHeight="1" x14ac:dyDescent="0.25">
      <c r="B370" s="3"/>
      <c r="C370" s="30" t="s">
        <v>2141</v>
      </c>
      <c r="D370" s="66">
        <v>3270</v>
      </c>
      <c r="E370" s="51"/>
      <c r="F370" s="52"/>
      <c r="G370" s="52"/>
    </row>
    <row r="371" spans="1:7" s="1" customFormat="1" ht="15.75" customHeight="1" x14ac:dyDescent="0.25">
      <c r="B371" s="3"/>
      <c r="C371" s="30" t="s">
        <v>2140</v>
      </c>
      <c r="D371" s="66">
        <v>2606</v>
      </c>
      <c r="E371" s="51"/>
      <c r="F371" s="52"/>
      <c r="G371" s="52"/>
    </row>
    <row r="372" spans="1:7" s="1" customFormat="1" ht="15.75" customHeight="1" x14ac:dyDescent="0.25">
      <c r="B372" s="3"/>
      <c r="C372" s="30" t="s">
        <v>2139</v>
      </c>
      <c r="D372" s="66">
        <v>4770</v>
      </c>
      <c r="E372" s="51"/>
      <c r="F372" s="52"/>
      <c r="G372" s="52"/>
    </row>
    <row r="373" spans="1:7" s="1" customFormat="1" ht="15.75" customHeight="1" x14ac:dyDescent="0.25">
      <c r="B373" s="3"/>
      <c r="C373" s="30"/>
      <c r="D373" s="66"/>
      <c r="E373" s="51"/>
      <c r="F373" s="52"/>
      <c r="G373" s="52"/>
    </row>
    <row r="374" spans="1:7" s="1" customFormat="1" ht="15.75" customHeight="1" x14ac:dyDescent="0.25">
      <c r="B374" s="3"/>
      <c r="C374" s="29" t="s">
        <v>2138</v>
      </c>
      <c r="D374" s="63">
        <f>SUM(D375:D401)</f>
        <v>44799</v>
      </c>
      <c r="E374" s="51"/>
      <c r="F374" s="52"/>
      <c r="G374" s="52"/>
    </row>
    <row r="375" spans="1:7" s="1" customFormat="1" ht="15.75" customHeight="1" x14ac:dyDescent="0.25">
      <c r="B375" s="3"/>
      <c r="C375" s="30" t="s">
        <v>2137</v>
      </c>
      <c r="D375" s="66">
        <v>2239</v>
      </c>
      <c r="E375" s="51"/>
      <c r="F375" s="52"/>
      <c r="G375" s="52"/>
    </row>
    <row r="376" spans="1:7" s="1" customFormat="1" ht="15.75" customHeight="1" x14ac:dyDescent="0.25">
      <c r="B376" s="3"/>
      <c r="C376" s="30" t="s">
        <v>243</v>
      </c>
      <c r="D376" s="66">
        <v>1825</v>
      </c>
      <c r="E376" s="51"/>
      <c r="F376" s="52"/>
      <c r="G376" s="52"/>
    </row>
    <row r="377" spans="1:7" s="1" customFormat="1" ht="15.75" customHeight="1" x14ac:dyDescent="0.25">
      <c r="B377" s="3"/>
      <c r="C377" s="30" t="s">
        <v>1068</v>
      </c>
      <c r="D377" s="66">
        <v>1004</v>
      </c>
      <c r="E377" s="51"/>
      <c r="F377" s="52"/>
      <c r="G377" s="52"/>
    </row>
    <row r="378" spans="1:7" s="1" customFormat="1" ht="15.75" customHeight="1" x14ac:dyDescent="0.25">
      <c r="B378" s="3"/>
      <c r="C378" s="30" t="s">
        <v>286</v>
      </c>
      <c r="D378" s="66">
        <v>2047</v>
      </c>
      <c r="E378" s="51"/>
      <c r="F378" s="52"/>
      <c r="G378" s="52"/>
    </row>
    <row r="379" spans="1:7" s="1" customFormat="1" ht="15.75" customHeight="1" x14ac:dyDescent="0.25">
      <c r="B379" s="3"/>
      <c r="C379" s="30" t="s">
        <v>2136</v>
      </c>
      <c r="D379" s="66">
        <v>3533</v>
      </c>
      <c r="E379" s="51"/>
      <c r="F379" s="52"/>
      <c r="G379" s="52"/>
    </row>
    <row r="380" spans="1:7" s="1" customFormat="1" ht="15.75" customHeight="1" x14ac:dyDescent="0.25">
      <c r="B380" s="3"/>
      <c r="C380" s="30" t="s">
        <v>1071</v>
      </c>
      <c r="D380" s="66">
        <v>2076</v>
      </c>
      <c r="E380" s="51"/>
      <c r="F380" s="52"/>
      <c r="G380" s="52"/>
    </row>
    <row r="381" spans="1:7" s="1" customFormat="1" ht="15.75" customHeight="1" x14ac:dyDescent="0.25">
      <c r="B381" s="3"/>
      <c r="C381" s="30" t="s">
        <v>2135</v>
      </c>
      <c r="D381" s="66">
        <v>3467</v>
      </c>
      <c r="E381" s="51"/>
      <c r="F381" s="52"/>
      <c r="G381" s="52"/>
    </row>
    <row r="382" spans="1:7" s="16" customFormat="1" ht="15.75" customHeight="1" x14ac:dyDescent="0.25">
      <c r="A382" s="1"/>
      <c r="B382" s="3"/>
      <c r="C382" s="30" t="s">
        <v>276</v>
      </c>
      <c r="D382" s="66">
        <v>2401</v>
      </c>
      <c r="E382" s="51"/>
      <c r="F382" s="52"/>
      <c r="G382" s="52"/>
    </row>
    <row r="383" spans="1:7" s="1" customFormat="1" ht="15.75" customHeight="1" x14ac:dyDescent="0.25">
      <c r="B383" s="3"/>
      <c r="C383" s="30" t="s">
        <v>18</v>
      </c>
      <c r="D383" s="66">
        <v>836</v>
      </c>
      <c r="E383" s="51"/>
      <c r="F383" s="52"/>
      <c r="G383" s="52"/>
    </row>
    <row r="384" spans="1:7" s="1" customFormat="1" ht="15.75" customHeight="1" x14ac:dyDescent="0.25">
      <c r="B384" s="3"/>
      <c r="C384" s="30" t="s">
        <v>2134</v>
      </c>
      <c r="D384" s="66">
        <v>1428</v>
      </c>
      <c r="E384" s="51"/>
      <c r="F384" s="52"/>
      <c r="G384" s="52"/>
    </row>
    <row r="385" spans="2:7" s="1" customFormat="1" ht="15.75" customHeight="1" x14ac:dyDescent="0.25">
      <c r="B385" s="3"/>
      <c r="C385" s="30" t="s">
        <v>220</v>
      </c>
      <c r="D385" s="66">
        <v>1240</v>
      </c>
      <c r="E385" s="51"/>
      <c r="F385" s="52"/>
      <c r="G385" s="52"/>
    </row>
    <row r="386" spans="2:7" s="1" customFormat="1" ht="15.75" customHeight="1" x14ac:dyDescent="0.25">
      <c r="B386" s="3"/>
      <c r="C386" s="30" t="s">
        <v>920</v>
      </c>
      <c r="D386" s="66">
        <v>1154</v>
      </c>
      <c r="E386" s="51"/>
      <c r="F386" s="52"/>
      <c r="G386" s="52"/>
    </row>
    <row r="387" spans="2:7" s="1" customFormat="1" ht="15.75" customHeight="1" x14ac:dyDescent="0.25">
      <c r="B387" s="3"/>
      <c r="C387" s="30" t="s">
        <v>2133</v>
      </c>
      <c r="D387" s="66">
        <v>2133</v>
      </c>
      <c r="E387" s="51"/>
      <c r="F387" s="52"/>
      <c r="G387" s="52"/>
    </row>
    <row r="388" spans="2:7" s="1" customFormat="1" ht="15.75" customHeight="1" x14ac:dyDescent="0.25">
      <c r="B388" s="3"/>
      <c r="C388" s="30" t="s">
        <v>2132</v>
      </c>
      <c r="D388" s="66">
        <v>2214</v>
      </c>
      <c r="E388" s="51"/>
      <c r="F388" s="52"/>
      <c r="G388" s="52"/>
    </row>
    <row r="389" spans="2:7" s="1" customFormat="1" ht="15.75" customHeight="1" x14ac:dyDescent="0.25">
      <c r="B389" s="3"/>
      <c r="C389" s="30" t="s">
        <v>2131</v>
      </c>
      <c r="D389" s="66">
        <v>2277</v>
      </c>
      <c r="E389" s="51"/>
      <c r="F389" s="52"/>
      <c r="G389" s="52"/>
    </row>
    <row r="390" spans="2:7" s="1" customFormat="1" ht="15.75" customHeight="1" x14ac:dyDescent="0.25">
      <c r="B390" s="3"/>
      <c r="C390" s="30" t="s">
        <v>2130</v>
      </c>
      <c r="D390" s="66">
        <v>2046</v>
      </c>
      <c r="E390" s="51"/>
      <c r="F390" s="52"/>
      <c r="G390" s="52"/>
    </row>
    <row r="391" spans="2:7" s="1" customFormat="1" ht="15.75" customHeight="1" x14ac:dyDescent="0.25">
      <c r="B391" s="3"/>
      <c r="C391" s="30" t="s">
        <v>2</v>
      </c>
      <c r="D391" s="66">
        <v>1099</v>
      </c>
      <c r="E391" s="51"/>
      <c r="F391" s="52"/>
      <c r="G391" s="52"/>
    </row>
    <row r="392" spans="2:7" s="1" customFormat="1" ht="15.75" customHeight="1" x14ac:dyDescent="0.25">
      <c r="B392" s="3"/>
      <c r="C392" s="30" t="s">
        <v>2129</v>
      </c>
      <c r="D392" s="66">
        <v>767</v>
      </c>
      <c r="E392" s="51"/>
      <c r="F392" s="52"/>
      <c r="G392" s="52"/>
    </row>
    <row r="393" spans="2:7" s="1" customFormat="1" ht="15.75" customHeight="1" x14ac:dyDescent="0.25">
      <c r="B393" s="3"/>
      <c r="C393" s="30" t="s">
        <v>2128</v>
      </c>
      <c r="D393" s="66">
        <v>1089</v>
      </c>
      <c r="E393" s="51"/>
      <c r="F393" s="52"/>
      <c r="G393" s="52"/>
    </row>
    <row r="394" spans="2:7" s="1" customFormat="1" ht="15.75" customHeight="1" x14ac:dyDescent="0.25">
      <c r="B394" s="3"/>
      <c r="C394" s="30" t="s">
        <v>5</v>
      </c>
      <c r="D394" s="66">
        <v>824</v>
      </c>
      <c r="E394" s="51"/>
      <c r="F394" s="52"/>
      <c r="G394" s="52"/>
    </row>
    <row r="395" spans="2:7" s="1" customFormat="1" ht="15.75" customHeight="1" x14ac:dyDescent="0.25">
      <c r="B395" s="3"/>
      <c r="C395" s="30" t="s">
        <v>6</v>
      </c>
      <c r="D395" s="66">
        <v>1474</v>
      </c>
      <c r="E395" s="51"/>
      <c r="F395" s="52"/>
      <c r="G395" s="52"/>
    </row>
    <row r="396" spans="2:7" s="1" customFormat="1" ht="15.75" customHeight="1" x14ac:dyDescent="0.25">
      <c r="B396" s="3"/>
      <c r="C396" s="30" t="s">
        <v>2127</v>
      </c>
      <c r="D396" s="66">
        <v>148</v>
      </c>
      <c r="E396" s="51"/>
      <c r="F396" s="52"/>
      <c r="G396" s="52"/>
    </row>
    <row r="397" spans="2:7" s="1" customFormat="1" ht="15.75" customHeight="1" x14ac:dyDescent="0.25">
      <c r="B397" s="3"/>
      <c r="C397" s="30" t="s">
        <v>280</v>
      </c>
      <c r="D397" s="66">
        <v>923</v>
      </c>
      <c r="E397" s="51"/>
      <c r="F397" s="52"/>
      <c r="G397" s="52"/>
    </row>
    <row r="398" spans="2:7" s="1" customFormat="1" ht="15.75" customHeight="1" x14ac:dyDescent="0.25">
      <c r="B398" s="3"/>
      <c r="C398" s="30" t="s">
        <v>2126</v>
      </c>
      <c r="D398" s="66">
        <v>1917</v>
      </c>
      <c r="E398" s="51"/>
      <c r="F398" s="52"/>
      <c r="G398" s="52"/>
    </row>
    <row r="399" spans="2:7" s="1" customFormat="1" ht="15.75" customHeight="1" x14ac:dyDescent="0.25">
      <c r="B399" s="3"/>
      <c r="C399" s="30" t="s">
        <v>2125</v>
      </c>
      <c r="D399" s="66">
        <v>1652</v>
      </c>
      <c r="E399" s="51"/>
      <c r="F399" s="52"/>
      <c r="G399" s="52"/>
    </row>
    <row r="400" spans="2:7" s="1" customFormat="1" ht="15.75" customHeight="1" x14ac:dyDescent="0.25">
      <c r="B400" s="3"/>
      <c r="C400" s="30" t="s">
        <v>104</v>
      </c>
      <c r="D400" s="66">
        <v>1263</v>
      </c>
      <c r="E400" s="51"/>
      <c r="F400" s="52"/>
      <c r="G400" s="52"/>
    </row>
    <row r="401" spans="1:7" s="1" customFormat="1" ht="15.75" customHeight="1" x14ac:dyDescent="0.25">
      <c r="B401" s="3"/>
      <c r="C401" s="30" t="s">
        <v>299</v>
      </c>
      <c r="D401" s="66">
        <v>1723</v>
      </c>
      <c r="E401" s="51"/>
      <c r="F401" s="52"/>
      <c r="G401" s="52"/>
    </row>
    <row r="402" spans="1:7" s="1" customFormat="1" ht="15.75" customHeight="1" x14ac:dyDescent="0.25">
      <c r="B402" s="3"/>
      <c r="C402" s="30"/>
      <c r="D402" s="66"/>
      <c r="E402" s="51"/>
      <c r="F402" s="52"/>
      <c r="G402" s="52"/>
    </row>
    <row r="403" spans="1:7" s="1" customFormat="1" ht="15.75" customHeight="1" x14ac:dyDescent="0.25">
      <c r="B403" s="3"/>
      <c r="C403" s="29" t="s">
        <v>2124</v>
      </c>
      <c r="D403" s="63">
        <f>SUM(D404:D419)</f>
        <v>39805</v>
      </c>
      <c r="E403" s="51"/>
      <c r="F403" s="52"/>
      <c r="G403" s="52"/>
    </row>
    <row r="404" spans="1:7" s="1" customFormat="1" ht="15.75" customHeight="1" x14ac:dyDescent="0.25">
      <c r="B404" s="3"/>
      <c r="C404" s="30" t="s">
        <v>2123</v>
      </c>
      <c r="D404" s="66">
        <v>922</v>
      </c>
      <c r="E404" s="51"/>
      <c r="G404" s="52"/>
    </row>
    <row r="405" spans="1:7" s="1" customFormat="1" ht="15.75" customHeight="1" x14ac:dyDescent="0.25">
      <c r="B405" s="3"/>
      <c r="C405" s="30" t="s">
        <v>2122</v>
      </c>
      <c r="D405" s="66">
        <v>2260</v>
      </c>
      <c r="E405" s="51"/>
      <c r="F405" s="2"/>
      <c r="G405" s="52"/>
    </row>
    <row r="406" spans="1:7" s="1" customFormat="1" ht="15.75" customHeight="1" x14ac:dyDescent="0.25">
      <c r="B406" s="3"/>
      <c r="C406" s="30" t="s">
        <v>2121</v>
      </c>
      <c r="D406" s="66">
        <v>1656</v>
      </c>
      <c r="E406" s="51"/>
      <c r="F406" s="53"/>
      <c r="G406" s="52"/>
    </row>
    <row r="407" spans="1:7" s="1" customFormat="1" ht="15.75" customHeight="1" x14ac:dyDescent="0.25">
      <c r="B407" s="3"/>
      <c r="C407" s="30" t="s">
        <v>2120</v>
      </c>
      <c r="D407" s="66">
        <v>3089</v>
      </c>
      <c r="E407" s="51"/>
      <c r="F407" s="53"/>
      <c r="G407" s="52"/>
    </row>
    <row r="408" spans="1:7" s="1" customFormat="1" ht="15.75" customHeight="1" x14ac:dyDescent="0.25">
      <c r="B408" s="3"/>
      <c r="C408" s="30" t="s">
        <v>64</v>
      </c>
      <c r="D408" s="66">
        <v>1643</v>
      </c>
      <c r="E408" s="51"/>
      <c r="F408" s="2"/>
      <c r="G408" s="52"/>
    </row>
    <row r="409" spans="1:7" s="1" customFormat="1" ht="15.75" customHeight="1" x14ac:dyDescent="0.25">
      <c r="B409" s="3"/>
      <c r="C409" s="30" t="s">
        <v>2119</v>
      </c>
      <c r="D409" s="66">
        <v>1348</v>
      </c>
      <c r="E409" s="51"/>
      <c r="F409" s="2"/>
      <c r="G409" s="52"/>
    </row>
    <row r="410" spans="1:7" s="1" customFormat="1" ht="15.75" customHeight="1" x14ac:dyDescent="0.25">
      <c r="B410" s="3"/>
      <c r="C410" s="30" t="s">
        <v>2118</v>
      </c>
      <c r="D410" s="66">
        <v>1646</v>
      </c>
      <c r="E410" s="51"/>
      <c r="F410" s="2"/>
      <c r="G410" s="52"/>
    </row>
    <row r="411" spans="1:7" s="1" customFormat="1" ht="15.75" customHeight="1" x14ac:dyDescent="0.25">
      <c r="B411" s="3"/>
      <c r="C411" s="30" t="s">
        <v>2117</v>
      </c>
      <c r="D411" s="66">
        <v>3110</v>
      </c>
      <c r="E411" s="51"/>
      <c r="F411" s="2"/>
      <c r="G411" s="52"/>
    </row>
    <row r="412" spans="1:7" s="1" customFormat="1" ht="15.75" customHeight="1" x14ac:dyDescent="0.25">
      <c r="B412" s="3"/>
      <c r="C412" s="30" t="s">
        <v>2116</v>
      </c>
      <c r="D412" s="66">
        <v>2014</v>
      </c>
      <c r="E412" s="51"/>
      <c r="F412" s="2"/>
      <c r="G412" s="52"/>
    </row>
    <row r="413" spans="1:7" s="1" customFormat="1" ht="15.75" customHeight="1" x14ac:dyDescent="0.25">
      <c r="B413" s="3"/>
      <c r="C413" s="30" t="s">
        <v>1530</v>
      </c>
      <c r="D413" s="66">
        <v>1608</v>
      </c>
      <c r="E413" s="51"/>
      <c r="F413" s="2"/>
      <c r="G413" s="52"/>
    </row>
    <row r="414" spans="1:7" s="1" customFormat="1" ht="15.75" customHeight="1" x14ac:dyDescent="0.25">
      <c r="B414" s="3"/>
      <c r="C414" s="30" t="s">
        <v>2</v>
      </c>
      <c r="D414" s="66">
        <v>7165</v>
      </c>
      <c r="E414" s="51"/>
      <c r="F414" s="2"/>
      <c r="G414" s="52"/>
    </row>
    <row r="415" spans="1:7" s="16" customFormat="1" ht="15.75" customHeight="1" x14ac:dyDescent="0.25">
      <c r="A415" s="1"/>
      <c r="B415" s="3"/>
      <c r="C415" s="30" t="s">
        <v>5</v>
      </c>
      <c r="D415" s="66">
        <v>3217</v>
      </c>
      <c r="E415" s="51"/>
      <c r="F415" s="2"/>
      <c r="G415" s="52"/>
    </row>
    <row r="416" spans="1:7" s="1" customFormat="1" ht="15.75" customHeight="1" x14ac:dyDescent="0.25">
      <c r="B416" s="3"/>
      <c r="C416" s="30" t="s">
        <v>2115</v>
      </c>
      <c r="D416" s="66">
        <v>3214</v>
      </c>
      <c r="E416" s="51"/>
      <c r="F416" s="2"/>
      <c r="G416" s="52"/>
    </row>
    <row r="417" spans="2:7" s="1" customFormat="1" ht="15.75" customHeight="1" x14ac:dyDescent="0.25">
      <c r="B417" s="3"/>
      <c r="C417" s="30" t="s">
        <v>2114</v>
      </c>
      <c r="D417" s="66">
        <v>2184</v>
      </c>
      <c r="E417" s="51"/>
      <c r="F417" s="2"/>
      <c r="G417" s="52"/>
    </row>
    <row r="418" spans="2:7" s="1" customFormat="1" ht="15.75" customHeight="1" x14ac:dyDescent="0.25">
      <c r="B418" s="3"/>
      <c r="C418" s="30" t="s">
        <v>2113</v>
      </c>
      <c r="D418" s="66">
        <v>1867</v>
      </c>
      <c r="E418" s="51"/>
      <c r="F418" s="2"/>
      <c r="G418" s="52"/>
    </row>
    <row r="419" spans="2:7" s="1" customFormat="1" ht="15.75" customHeight="1" x14ac:dyDescent="0.25">
      <c r="B419" s="3"/>
      <c r="C419" s="30" t="s">
        <v>2112</v>
      </c>
      <c r="D419" s="66">
        <v>2862</v>
      </c>
      <c r="E419" s="51"/>
      <c r="F419" s="2"/>
      <c r="G419" s="52"/>
    </row>
    <row r="420" spans="2:7" s="1" customFormat="1" ht="15.75" customHeight="1" x14ac:dyDescent="0.25">
      <c r="B420" s="3"/>
      <c r="C420" s="30"/>
      <c r="D420" s="66"/>
      <c r="E420" s="51"/>
      <c r="F420" s="2"/>
      <c r="G420" s="52"/>
    </row>
    <row r="421" spans="2:7" s="1" customFormat="1" ht="15.75" customHeight="1" x14ac:dyDescent="0.25">
      <c r="B421" s="3"/>
      <c r="C421" s="29" t="s">
        <v>2111</v>
      </c>
      <c r="D421" s="63">
        <f>SUM(D422:D435)</f>
        <v>21956</v>
      </c>
      <c r="E421" s="51"/>
      <c r="F421" s="2"/>
      <c r="G421" s="52"/>
    </row>
    <row r="422" spans="2:7" s="1" customFormat="1" ht="15.75" customHeight="1" x14ac:dyDescent="0.25">
      <c r="B422" s="3"/>
      <c r="C422" s="30" t="s">
        <v>229</v>
      </c>
      <c r="D422" s="66">
        <v>870</v>
      </c>
      <c r="E422" s="51"/>
      <c r="F422" s="2"/>
      <c r="G422" s="52"/>
    </row>
    <row r="423" spans="2:7" s="1" customFormat="1" ht="15.75" customHeight="1" x14ac:dyDescent="0.25">
      <c r="B423" s="3"/>
      <c r="C423" s="30" t="s">
        <v>156</v>
      </c>
      <c r="D423" s="66">
        <v>693</v>
      </c>
      <c r="E423" s="51"/>
      <c r="F423" s="2"/>
      <c r="G423" s="52"/>
    </row>
    <row r="424" spans="2:7" s="1" customFormat="1" ht="15.75" customHeight="1" x14ac:dyDescent="0.25">
      <c r="B424" s="3"/>
      <c r="C424" s="30" t="s">
        <v>2110</v>
      </c>
      <c r="D424" s="66">
        <v>693</v>
      </c>
      <c r="E424" s="51"/>
      <c r="F424" s="2"/>
      <c r="G424" s="52"/>
    </row>
    <row r="425" spans="2:7" s="1" customFormat="1" ht="15.75" customHeight="1" x14ac:dyDescent="0.25">
      <c r="B425" s="3"/>
      <c r="C425" s="30" t="s">
        <v>2109</v>
      </c>
      <c r="D425" s="66">
        <v>1758</v>
      </c>
      <c r="E425" s="51"/>
      <c r="F425" s="2"/>
      <c r="G425" s="52"/>
    </row>
    <row r="426" spans="2:7" s="1" customFormat="1" ht="15.75" customHeight="1" x14ac:dyDescent="0.25">
      <c r="B426" s="3"/>
      <c r="C426" s="30" t="s">
        <v>2108</v>
      </c>
      <c r="D426" s="66">
        <v>1089</v>
      </c>
      <c r="E426" s="51"/>
      <c r="F426" s="2"/>
      <c r="G426" s="52"/>
    </row>
    <row r="427" spans="2:7" s="1" customFormat="1" ht="15.75" customHeight="1" x14ac:dyDescent="0.25">
      <c r="B427" s="3"/>
      <c r="C427" s="30" t="s">
        <v>2107</v>
      </c>
      <c r="D427" s="66">
        <v>2004</v>
      </c>
      <c r="E427" s="51"/>
      <c r="F427" s="2"/>
      <c r="G427" s="70"/>
    </row>
    <row r="428" spans="2:7" s="1" customFormat="1" ht="15.75" customHeight="1" x14ac:dyDescent="0.25">
      <c r="B428" s="3"/>
      <c r="C428" s="30" t="s">
        <v>2106</v>
      </c>
      <c r="D428" s="66">
        <v>1040</v>
      </c>
      <c r="E428" s="51"/>
      <c r="F428" s="2"/>
      <c r="G428" s="71"/>
    </row>
    <row r="429" spans="2:7" s="1" customFormat="1" ht="15.75" customHeight="1" x14ac:dyDescent="0.25">
      <c r="B429" s="3"/>
      <c r="C429" s="30" t="s">
        <v>2</v>
      </c>
      <c r="D429" s="66">
        <v>915</v>
      </c>
      <c r="E429" s="51"/>
      <c r="F429" s="2"/>
      <c r="G429" s="72"/>
    </row>
    <row r="430" spans="2:7" s="1" customFormat="1" ht="15.75" customHeight="1" x14ac:dyDescent="0.25">
      <c r="B430" s="3"/>
      <c r="C430" s="30" t="s">
        <v>17</v>
      </c>
      <c r="D430" s="66">
        <v>853</v>
      </c>
      <c r="E430" s="51"/>
      <c r="F430" s="2"/>
      <c r="G430" s="72"/>
    </row>
    <row r="431" spans="2:7" s="1" customFormat="1" ht="15.75" customHeight="1" x14ac:dyDescent="0.25">
      <c r="B431" s="3"/>
      <c r="C431" s="30" t="s">
        <v>15</v>
      </c>
      <c r="D431" s="66">
        <v>2509</v>
      </c>
      <c r="E431" s="51"/>
      <c r="F431" s="2"/>
      <c r="G431" s="71"/>
    </row>
    <row r="432" spans="2:7" s="1" customFormat="1" ht="15.75" customHeight="1" x14ac:dyDescent="0.25">
      <c r="B432" s="3"/>
      <c r="C432" s="30" t="s">
        <v>2105</v>
      </c>
      <c r="D432" s="66">
        <v>1980</v>
      </c>
      <c r="E432" s="51"/>
      <c r="F432" s="2"/>
      <c r="G432" s="71"/>
    </row>
    <row r="433" spans="2:7" s="1" customFormat="1" ht="15.75" customHeight="1" x14ac:dyDescent="0.25">
      <c r="B433" s="3"/>
      <c r="C433" s="30" t="s">
        <v>2104</v>
      </c>
      <c r="D433" s="66">
        <v>2357</v>
      </c>
      <c r="E433" s="51"/>
      <c r="F433" s="2"/>
      <c r="G433" s="71"/>
    </row>
    <row r="434" spans="2:7" s="1" customFormat="1" ht="15.75" customHeight="1" x14ac:dyDescent="0.25">
      <c r="B434" s="3"/>
      <c r="C434" s="30" t="s">
        <v>2103</v>
      </c>
      <c r="D434" s="66">
        <v>2260</v>
      </c>
      <c r="E434" s="51"/>
      <c r="F434" s="2"/>
      <c r="G434" s="71"/>
    </row>
    <row r="435" spans="2:7" s="1" customFormat="1" ht="15.75" customHeight="1" x14ac:dyDescent="0.25">
      <c r="B435" s="3"/>
      <c r="C435" s="30" t="s">
        <v>2102</v>
      </c>
      <c r="D435" s="66">
        <v>2935</v>
      </c>
      <c r="E435" s="51"/>
      <c r="F435" s="2"/>
      <c r="G435" s="71"/>
    </row>
    <row r="436" spans="2:7" s="1" customFormat="1" ht="15.75" customHeight="1" x14ac:dyDescent="0.25">
      <c r="B436" s="3"/>
      <c r="C436" s="30"/>
      <c r="D436" s="66"/>
      <c r="E436" s="51"/>
      <c r="F436" s="2"/>
      <c r="G436" s="71"/>
    </row>
    <row r="437" spans="2:7" s="1" customFormat="1" ht="15.75" customHeight="1" x14ac:dyDescent="0.25">
      <c r="B437" s="3"/>
      <c r="C437" s="30"/>
      <c r="D437" s="66"/>
      <c r="E437" s="51"/>
      <c r="F437" s="2"/>
      <c r="G437" s="71"/>
    </row>
    <row r="438" spans="2:7" s="1" customFormat="1" ht="15.75" customHeight="1" x14ac:dyDescent="0.25">
      <c r="B438" s="3"/>
      <c r="C438" s="30"/>
      <c r="D438" s="66"/>
      <c r="E438" s="51"/>
      <c r="F438" s="2"/>
      <c r="G438" s="71"/>
    </row>
    <row r="439" spans="2:7" s="1" customFormat="1" ht="15.75" customHeight="1" x14ac:dyDescent="0.25">
      <c r="B439" s="3"/>
      <c r="C439" s="29" t="s">
        <v>2101</v>
      </c>
      <c r="D439" s="63">
        <f>SUM(D440:D461)</f>
        <v>77501</v>
      </c>
      <c r="E439" s="51"/>
      <c r="F439" s="2"/>
      <c r="G439" s="71"/>
    </row>
    <row r="440" spans="2:7" s="1" customFormat="1" ht="15.75" customHeight="1" x14ac:dyDescent="0.25">
      <c r="B440" s="3"/>
      <c r="C440" s="30" t="s">
        <v>2100</v>
      </c>
      <c r="D440" s="66">
        <v>4197</v>
      </c>
      <c r="E440" s="51"/>
      <c r="F440" s="2"/>
      <c r="G440" s="71"/>
    </row>
    <row r="441" spans="2:7" s="1" customFormat="1" ht="15.75" customHeight="1" x14ac:dyDescent="0.25">
      <c r="B441" s="3"/>
      <c r="C441" s="30" t="s">
        <v>2099</v>
      </c>
      <c r="D441" s="66">
        <v>1787</v>
      </c>
      <c r="E441" s="51"/>
      <c r="F441" s="2"/>
      <c r="G441" s="71"/>
    </row>
    <row r="442" spans="2:7" s="1" customFormat="1" ht="15.75" customHeight="1" x14ac:dyDescent="0.25">
      <c r="B442" s="3"/>
      <c r="C442" s="30" t="s">
        <v>26</v>
      </c>
      <c r="D442" s="66">
        <v>1182</v>
      </c>
      <c r="E442" s="51"/>
      <c r="F442" s="2"/>
      <c r="G442" s="71"/>
    </row>
    <row r="443" spans="2:7" s="1" customFormat="1" ht="15.75" customHeight="1" x14ac:dyDescent="0.25">
      <c r="B443" s="3"/>
      <c r="C443" s="30" t="s">
        <v>2098</v>
      </c>
      <c r="D443" s="66">
        <v>2872</v>
      </c>
      <c r="E443" s="51"/>
      <c r="F443" s="2"/>
      <c r="G443" s="71"/>
    </row>
    <row r="444" spans="2:7" s="1" customFormat="1" ht="15.75" customHeight="1" x14ac:dyDescent="0.25">
      <c r="B444" s="3"/>
      <c r="C444" s="30" t="s">
        <v>2097</v>
      </c>
      <c r="D444" s="66">
        <v>1662</v>
      </c>
      <c r="E444" s="51"/>
      <c r="F444" s="2"/>
      <c r="G444" s="71"/>
    </row>
    <row r="445" spans="2:7" s="1" customFormat="1" ht="15.75" customHeight="1" x14ac:dyDescent="0.25">
      <c r="B445" s="3"/>
      <c r="C445" s="30" t="s">
        <v>2096</v>
      </c>
      <c r="D445" s="66">
        <v>4319</v>
      </c>
      <c r="E445" s="51"/>
      <c r="F445" s="2"/>
      <c r="G445" s="71"/>
    </row>
    <row r="446" spans="2:7" s="1" customFormat="1" ht="15.75" customHeight="1" x14ac:dyDescent="0.25">
      <c r="B446" s="3"/>
      <c r="C446" s="30" t="s">
        <v>2095</v>
      </c>
      <c r="D446" s="66">
        <v>5953</v>
      </c>
      <c r="E446" s="51"/>
      <c r="F446" s="2"/>
      <c r="G446" s="71"/>
    </row>
    <row r="447" spans="2:7" s="1" customFormat="1" ht="15.75" customHeight="1" x14ac:dyDescent="0.25">
      <c r="B447" s="3"/>
      <c r="C447" s="30" t="s">
        <v>64</v>
      </c>
      <c r="D447" s="66">
        <v>1577</v>
      </c>
      <c r="E447" s="51"/>
      <c r="F447" s="2"/>
      <c r="G447" s="71"/>
    </row>
    <row r="448" spans="2:7" s="1" customFormat="1" ht="15.75" customHeight="1" x14ac:dyDescent="0.25">
      <c r="B448" s="3"/>
      <c r="C448" s="30" t="s">
        <v>638</v>
      </c>
      <c r="D448" s="66">
        <v>1770</v>
      </c>
      <c r="E448" s="51"/>
      <c r="F448" s="2"/>
      <c r="G448" s="71"/>
    </row>
    <row r="449" spans="1:7" s="1" customFormat="1" ht="15.75" customHeight="1" x14ac:dyDescent="0.25">
      <c r="B449" s="3"/>
      <c r="C449" s="30" t="s">
        <v>2094</v>
      </c>
      <c r="D449" s="66">
        <v>4999</v>
      </c>
      <c r="E449" s="51"/>
      <c r="F449" s="2"/>
      <c r="G449" s="71"/>
    </row>
    <row r="450" spans="1:7" s="1" customFormat="1" ht="15.75" customHeight="1" x14ac:dyDescent="0.25">
      <c r="B450" s="3"/>
      <c r="C450" s="30" t="s">
        <v>2093</v>
      </c>
      <c r="D450" s="66">
        <v>1123</v>
      </c>
      <c r="E450" s="51"/>
      <c r="F450" s="2"/>
      <c r="G450" s="71"/>
    </row>
    <row r="451" spans="1:7" s="1" customFormat="1" ht="15.75" customHeight="1" x14ac:dyDescent="0.25">
      <c r="B451" s="3"/>
      <c r="C451" s="30" t="s">
        <v>2092</v>
      </c>
      <c r="D451" s="66">
        <v>3599</v>
      </c>
      <c r="E451" s="51"/>
      <c r="F451" s="2"/>
      <c r="G451" s="71"/>
    </row>
    <row r="452" spans="1:7" s="1" customFormat="1" ht="15.75" customHeight="1" x14ac:dyDescent="0.25">
      <c r="B452" s="3"/>
      <c r="C452" s="30" t="s">
        <v>2091</v>
      </c>
      <c r="D452" s="66">
        <v>3029</v>
      </c>
      <c r="E452" s="51"/>
      <c r="F452" s="2"/>
      <c r="G452" s="71"/>
    </row>
    <row r="453" spans="1:7" s="1" customFormat="1" ht="15.75" customHeight="1" x14ac:dyDescent="0.25">
      <c r="B453" s="3"/>
      <c r="C453" s="30" t="s">
        <v>2090</v>
      </c>
      <c r="D453" s="66">
        <v>5829</v>
      </c>
      <c r="E453" s="51"/>
      <c r="F453" s="2"/>
      <c r="G453" s="71"/>
    </row>
    <row r="454" spans="1:7" s="1" customFormat="1" ht="15.75" customHeight="1" x14ac:dyDescent="0.25">
      <c r="B454" s="3"/>
      <c r="C454" s="30" t="s">
        <v>2089</v>
      </c>
      <c r="D454" s="66">
        <v>2287</v>
      </c>
      <c r="E454" s="51"/>
      <c r="F454" s="2"/>
      <c r="G454" s="71"/>
    </row>
    <row r="455" spans="1:7" s="1" customFormat="1" ht="15.75" customHeight="1" x14ac:dyDescent="0.25">
      <c r="B455" s="3"/>
      <c r="C455" s="30" t="s">
        <v>2</v>
      </c>
      <c r="D455" s="66">
        <v>14034</v>
      </c>
      <c r="E455" s="51"/>
      <c r="F455" s="2"/>
      <c r="G455" s="71"/>
    </row>
    <row r="456" spans="1:7" s="1" customFormat="1" ht="15.75" customHeight="1" x14ac:dyDescent="0.25">
      <c r="B456" s="3"/>
      <c r="C456" s="30" t="s">
        <v>7</v>
      </c>
      <c r="D456" s="66">
        <v>4545</v>
      </c>
      <c r="E456" s="51"/>
      <c r="F456" s="2"/>
      <c r="G456" s="71"/>
    </row>
    <row r="457" spans="1:7" s="1" customFormat="1" ht="15.75" customHeight="1" x14ac:dyDescent="0.25">
      <c r="B457" s="3"/>
      <c r="C457" s="30" t="s">
        <v>6</v>
      </c>
      <c r="D457" s="66">
        <v>2492</v>
      </c>
      <c r="E457" s="51"/>
      <c r="F457" s="2"/>
      <c r="G457" s="71"/>
    </row>
    <row r="458" spans="1:7" s="16" customFormat="1" ht="15.75" customHeight="1" x14ac:dyDescent="0.25">
      <c r="A458" s="1"/>
      <c r="B458" s="3"/>
      <c r="C458" s="30" t="s">
        <v>4</v>
      </c>
      <c r="D458" s="66">
        <v>1433</v>
      </c>
      <c r="E458" s="51"/>
      <c r="F458" s="2"/>
      <c r="G458" s="71"/>
    </row>
    <row r="459" spans="1:7" s="1" customFormat="1" ht="15.75" customHeight="1" x14ac:dyDescent="0.25">
      <c r="B459" s="3"/>
      <c r="C459" s="30" t="s">
        <v>11</v>
      </c>
      <c r="D459" s="66">
        <v>2984</v>
      </c>
      <c r="E459" s="51"/>
      <c r="F459" s="2"/>
      <c r="G459" s="71"/>
    </row>
    <row r="460" spans="1:7" s="1" customFormat="1" ht="15.75" customHeight="1" x14ac:dyDescent="0.25">
      <c r="B460" s="3"/>
      <c r="C460" s="30" t="s">
        <v>145</v>
      </c>
      <c r="D460" s="66">
        <v>1063</v>
      </c>
      <c r="E460" s="51"/>
      <c r="F460" s="2"/>
      <c r="G460" s="71"/>
    </row>
    <row r="461" spans="1:7" s="1" customFormat="1" ht="15.75" customHeight="1" x14ac:dyDescent="0.25">
      <c r="B461" s="3"/>
      <c r="C461" s="30" t="s">
        <v>2088</v>
      </c>
      <c r="D461" s="66">
        <v>4765</v>
      </c>
      <c r="E461" s="51"/>
      <c r="F461" s="2"/>
      <c r="G461" s="71"/>
    </row>
    <row r="462" spans="1:7" s="1" customFormat="1" ht="15.75" customHeight="1" x14ac:dyDescent="0.25">
      <c r="B462" s="3"/>
      <c r="C462" s="30"/>
      <c r="D462" s="66"/>
      <c r="E462" s="51"/>
      <c r="F462" s="2"/>
      <c r="G462" s="71"/>
    </row>
    <row r="463" spans="1:7" s="1" customFormat="1" ht="15.75" customHeight="1" x14ac:dyDescent="0.25">
      <c r="B463" s="3"/>
      <c r="C463" s="29" t="s">
        <v>2087</v>
      </c>
      <c r="D463" s="63">
        <f>SUM(D464:D489)</f>
        <v>83082</v>
      </c>
      <c r="E463" s="51"/>
      <c r="F463" s="2"/>
      <c r="G463" s="71"/>
    </row>
    <row r="464" spans="1:7" s="1" customFormat="1" ht="15.75" customHeight="1" x14ac:dyDescent="0.25">
      <c r="B464" s="3"/>
      <c r="C464" s="30" t="s">
        <v>2086</v>
      </c>
      <c r="D464" s="66">
        <v>1941</v>
      </c>
      <c r="E464" s="51"/>
      <c r="F464" s="2"/>
      <c r="G464" s="71"/>
    </row>
    <row r="465" spans="2:7" s="1" customFormat="1" ht="15.75" customHeight="1" x14ac:dyDescent="0.25">
      <c r="B465" s="3"/>
      <c r="C465" s="30" t="s">
        <v>2085</v>
      </c>
      <c r="D465" s="66">
        <v>2378</v>
      </c>
      <c r="E465" s="51"/>
      <c r="F465" s="2"/>
      <c r="G465" s="71"/>
    </row>
    <row r="466" spans="2:7" s="1" customFormat="1" ht="15.75" customHeight="1" x14ac:dyDescent="0.25">
      <c r="B466" s="3"/>
      <c r="C466" s="30" t="s">
        <v>2084</v>
      </c>
      <c r="D466" s="66">
        <v>9288</v>
      </c>
      <c r="E466" s="51"/>
      <c r="F466" s="2"/>
      <c r="G466" s="71"/>
    </row>
    <row r="467" spans="2:7" s="1" customFormat="1" ht="15.75" customHeight="1" x14ac:dyDescent="0.25">
      <c r="B467" s="3"/>
      <c r="C467" s="30" t="s">
        <v>846</v>
      </c>
      <c r="D467" s="66">
        <v>2136</v>
      </c>
      <c r="E467" s="51"/>
      <c r="F467" s="2"/>
      <c r="G467" s="71"/>
    </row>
    <row r="468" spans="2:7" s="1" customFormat="1" ht="15.75" customHeight="1" x14ac:dyDescent="0.25">
      <c r="B468" s="3"/>
      <c r="C468" s="30" t="s">
        <v>126</v>
      </c>
      <c r="D468" s="66">
        <v>3688</v>
      </c>
      <c r="E468" s="51"/>
      <c r="F468" s="2"/>
      <c r="G468" s="71"/>
    </row>
    <row r="469" spans="2:7" s="1" customFormat="1" ht="15.75" customHeight="1" x14ac:dyDescent="0.25">
      <c r="B469" s="3"/>
      <c r="C469" s="30" t="s">
        <v>2083</v>
      </c>
      <c r="D469" s="66">
        <v>3548</v>
      </c>
      <c r="E469" s="51"/>
      <c r="F469" s="2"/>
      <c r="G469" s="71"/>
    </row>
    <row r="470" spans="2:7" s="1" customFormat="1" ht="15.75" customHeight="1" x14ac:dyDescent="0.25">
      <c r="B470" s="3"/>
      <c r="C470" s="30" t="s">
        <v>2082</v>
      </c>
      <c r="D470" s="66">
        <v>4108</v>
      </c>
      <c r="E470" s="51"/>
      <c r="F470" s="2"/>
      <c r="G470" s="71"/>
    </row>
    <row r="471" spans="2:7" s="1" customFormat="1" ht="15.75" customHeight="1" x14ac:dyDescent="0.25">
      <c r="B471" s="3"/>
      <c r="C471" s="30" t="s">
        <v>1839</v>
      </c>
      <c r="D471" s="66">
        <v>2767</v>
      </c>
      <c r="E471" s="51"/>
      <c r="F471" s="2"/>
      <c r="G471" s="71"/>
    </row>
    <row r="472" spans="2:7" s="1" customFormat="1" ht="15.75" customHeight="1" x14ac:dyDescent="0.25">
      <c r="B472" s="3"/>
      <c r="C472" s="30" t="s">
        <v>552</v>
      </c>
      <c r="D472" s="66">
        <v>2232</v>
      </c>
      <c r="E472" s="51"/>
      <c r="F472" s="2"/>
      <c r="G472" s="71"/>
    </row>
    <row r="473" spans="2:7" s="1" customFormat="1" ht="15.75" customHeight="1" x14ac:dyDescent="0.25">
      <c r="B473" s="3"/>
      <c r="C473" s="30" t="s">
        <v>2081</v>
      </c>
      <c r="D473" s="66">
        <v>5214</v>
      </c>
      <c r="E473" s="51"/>
      <c r="F473" s="2"/>
      <c r="G473" s="71"/>
    </row>
    <row r="474" spans="2:7" s="1" customFormat="1" ht="15.75" customHeight="1" x14ac:dyDescent="0.25">
      <c r="B474" s="3"/>
      <c r="C474" s="30" t="s">
        <v>2080</v>
      </c>
      <c r="D474" s="66">
        <v>1915</v>
      </c>
      <c r="E474" s="51"/>
      <c r="F474" s="2"/>
      <c r="G474" s="71"/>
    </row>
    <row r="475" spans="2:7" s="1" customFormat="1" ht="15.75" customHeight="1" x14ac:dyDescent="0.25">
      <c r="B475" s="3"/>
      <c r="C475" s="30" t="s">
        <v>2079</v>
      </c>
      <c r="D475" s="66">
        <v>3622</v>
      </c>
      <c r="E475" s="51"/>
      <c r="F475" s="2"/>
      <c r="G475" s="71"/>
    </row>
    <row r="476" spans="2:7" s="1" customFormat="1" ht="15.75" customHeight="1" x14ac:dyDescent="0.25">
      <c r="B476" s="3"/>
      <c r="C476" s="30" t="s">
        <v>2078</v>
      </c>
      <c r="D476" s="66">
        <v>6421</v>
      </c>
      <c r="E476" s="51"/>
      <c r="F476" s="2"/>
      <c r="G476" s="71"/>
    </row>
    <row r="477" spans="2:7" s="1" customFormat="1" ht="15.75" customHeight="1" x14ac:dyDescent="0.25">
      <c r="B477" s="3"/>
      <c r="C477" s="30" t="s">
        <v>2077</v>
      </c>
      <c r="D477" s="66">
        <v>3002</v>
      </c>
      <c r="E477" s="51"/>
      <c r="F477" s="2"/>
      <c r="G477" s="71"/>
    </row>
    <row r="478" spans="2:7" s="1" customFormat="1" ht="15.75" customHeight="1" x14ac:dyDescent="0.25">
      <c r="B478" s="3"/>
      <c r="C478" s="30" t="s">
        <v>2076</v>
      </c>
      <c r="D478" s="66">
        <v>2220</v>
      </c>
      <c r="E478" s="51"/>
      <c r="F478" s="2"/>
      <c r="G478" s="71"/>
    </row>
    <row r="479" spans="2:7" s="1" customFormat="1" ht="15.75" customHeight="1" x14ac:dyDescent="0.25">
      <c r="B479" s="3"/>
      <c r="C479" s="30" t="s">
        <v>2075</v>
      </c>
      <c r="D479" s="66">
        <v>3521</v>
      </c>
      <c r="E479" s="51"/>
      <c r="F479" s="2"/>
      <c r="G479" s="71"/>
    </row>
    <row r="480" spans="2:7" s="1" customFormat="1" ht="15.75" customHeight="1" x14ac:dyDescent="0.25">
      <c r="B480" s="3"/>
      <c r="C480" s="30" t="s">
        <v>807</v>
      </c>
      <c r="D480" s="66">
        <v>1886</v>
      </c>
      <c r="E480" s="51"/>
      <c r="F480" s="2"/>
      <c r="G480" s="71"/>
    </row>
    <row r="481" spans="1:7" s="1" customFormat="1" ht="15.75" customHeight="1" x14ac:dyDescent="0.25">
      <c r="B481" s="3"/>
      <c r="C481" s="30" t="s">
        <v>808</v>
      </c>
      <c r="D481" s="66">
        <v>2168</v>
      </c>
      <c r="E481" s="51"/>
      <c r="F481" s="2"/>
      <c r="G481" s="71"/>
    </row>
    <row r="482" spans="1:7" s="16" customFormat="1" ht="15.75" customHeight="1" x14ac:dyDescent="0.25">
      <c r="A482" s="1"/>
      <c r="B482" s="3"/>
      <c r="C482" s="30" t="s">
        <v>926</v>
      </c>
      <c r="D482" s="66">
        <v>3608</v>
      </c>
      <c r="E482" s="51"/>
      <c r="F482" s="2"/>
      <c r="G482" s="71"/>
    </row>
    <row r="483" spans="1:7" s="1" customFormat="1" ht="15.75" customHeight="1" x14ac:dyDescent="0.25">
      <c r="B483" s="3"/>
      <c r="C483" s="30" t="s">
        <v>2074</v>
      </c>
      <c r="D483" s="66">
        <v>2051</v>
      </c>
      <c r="E483" s="51"/>
      <c r="F483" s="2"/>
      <c r="G483" s="71"/>
    </row>
    <row r="484" spans="1:7" s="1" customFormat="1" ht="15.75" customHeight="1" x14ac:dyDescent="0.25">
      <c r="B484" s="3"/>
      <c r="C484" s="30" t="s">
        <v>1655</v>
      </c>
      <c r="D484" s="66">
        <v>2617</v>
      </c>
      <c r="E484" s="51"/>
      <c r="F484" s="2"/>
      <c r="G484" s="71"/>
    </row>
    <row r="485" spans="1:7" s="16" customFormat="1" ht="15.75" customHeight="1" x14ac:dyDescent="0.25">
      <c r="A485" s="1"/>
      <c r="B485" s="3"/>
      <c r="C485" s="30" t="s">
        <v>6</v>
      </c>
      <c r="D485" s="66">
        <v>1269</v>
      </c>
      <c r="E485" s="51"/>
      <c r="F485" s="2"/>
      <c r="G485" s="71"/>
    </row>
    <row r="486" spans="1:7" s="1" customFormat="1" ht="15.75" customHeight="1" x14ac:dyDescent="0.25">
      <c r="B486" s="3"/>
      <c r="C486" s="30" t="s">
        <v>2073</v>
      </c>
      <c r="D486" s="66">
        <v>3419</v>
      </c>
      <c r="E486" s="51"/>
      <c r="F486" s="2"/>
      <c r="G486" s="71"/>
    </row>
    <row r="487" spans="1:7" s="1" customFormat="1" ht="15.75" customHeight="1" x14ac:dyDescent="0.25">
      <c r="B487" s="3"/>
      <c r="C487" s="30" t="s">
        <v>2072</v>
      </c>
      <c r="D487" s="66">
        <v>2599</v>
      </c>
      <c r="E487" s="51"/>
      <c r="F487" s="2"/>
      <c r="G487" s="71"/>
    </row>
    <row r="488" spans="1:7" s="1" customFormat="1" ht="15.75" customHeight="1" x14ac:dyDescent="0.25">
      <c r="B488" s="3"/>
      <c r="C488" s="30" t="s">
        <v>2071</v>
      </c>
      <c r="D488" s="66">
        <v>2354</v>
      </c>
      <c r="E488" s="51"/>
      <c r="F488" s="2"/>
      <c r="G488" s="71"/>
    </row>
    <row r="489" spans="1:7" s="1" customFormat="1" ht="15.75" customHeight="1" x14ac:dyDescent="0.25">
      <c r="B489" s="3"/>
      <c r="C489" s="30" t="s">
        <v>2070</v>
      </c>
      <c r="D489" s="66">
        <v>3110</v>
      </c>
      <c r="E489" s="51"/>
      <c r="F489" s="2"/>
      <c r="G489" s="71"/>
    </row>
    <row r="490" spans="1:7" s="1" customFormat="1" ht="15.75" customHeight="1" x14ac:dyDescent="0.25">
      <c r="B490" s="3"/>
      <c r="C490" s="30"/>
      <c r="D490" s="66"/>
      <c r="E490" s="51"/>
      <c r="F490" s="2"/>
      <c r="G490" s="71"/>
    </row>
    <row r="491" spans="1:7" s="1" customFormat="1" ht="15.75" customHeight="1" x14ac:dyDescent="0.25">
      <c r="B491" s="3"/>
      <c r="C491" s="29" t="s">
        <v>2069</v>
      </c>
      <c r="D491" s="63">
        <f>SUM(D492:D506)</f>
        <v>64343</v>
      </c>
      <c r="E491" s="51"/>
      <c r="F491" s="2"/>
      <c r="G491" s="71"/>
    </row>
    <row r="492" spans="1:7" s="1" customFormat="1" ht="15.75" customHeight="1" x14ac:dyDescent="0.25">
      <c r="B492" s="3"/>
      <c r="C492" s="30" t="s">
        <v>2068</v>
      </c>
      <c r="D492" s="66">
        <v>2472</v>
      </c>
      <c r="E492" s="51"/>
      <c r="F492" s="2"/>
      <c r="G492" s="71"/>
    </row>
    <row r="493" spans="1:7" s="1" customFormat="1" ht="15.75" customHeight="1" x14ac:dyDescent="0.25">
      <c r="B493" s="3"/>
      <c r="C493" s="30" t="s">
        <v>2067</v>
      </c>
      <c r="D493" s="66">
        <v>3545</v>
      </c>
      <c r="E493" s="51"/>
      <c r="F493" s="2"/>
      <c r="G493" s="71"/>
    </row>
    <row r="494" spans="1:7" s="16" customFormat="1" ht="15.75" customHeight="1" x14ac:dyDescent="0.25">
      <c r="A494" s="1"/>
      <c r="B494" s="3"/>
      <c r="C494" s="30" t="s">
        <v>2016</v>
      </c>
      <c r="D494" s="66">
        <v>2473</v>
      </c>
      <c r="E494" s="51"/>
      <c r="F494" s="2"/>
      <c r="G494" s="71"/>
    </row>
    <row r="495" spans="1:7" s="1" customFormat="1" ht="15.75" customHeight="1" x14ac:dyDescent="0.25">
      <c r="B495" s="3"/>
      <c r="C495" s="30" t="s">
        <v>1183</v>
      </c>
      <c r="D495" s="66">
        <v>9495</v>
      </c>
      <c r="E495" s="51"/>
      <c r="F495" s="2"/>
      <c r="G495" s="71"/>
    </row>
    <row r="496" spans="1:7" s="1" customFormat="1" ht="15.75" customHeight="1" x14ac:dyDescent="0.25">
      <c r="B496" s="3"/>
      <c r="C496" s="30" t="s">
        <v>2066</v>
      </c>
      <c r="D496" s="66">
        <v>1891</v>
      </c>
      <c r="E496" s="51"/>
      <c r="F496" s="2"/>
      <c r="G496" s="71"/>
    </row>
    <row r="497" spans="2:7" s="1" customFormat="1" ht="15.75" customHeight="1" x14ac:dyDescent="0.25">
      <c r="B497" s="3"/>
      <c r="C497" s="30" t="s">
        <v>2065</v>
      </c>
      <c r="D497" s="66">
        <v>7360</v>
      </c>
      <c r="E497" s="51"/>
      <c r="F497" s="2"/>
      <c r="G497" s="71"/>
    </row>
    <row r="498" spans="2:7" s="1" customFormat="1" ht="15.75" customHeight="1" x14ac:dyDescent="0.25">
      <c r="B498" s="3"/>
      <c r="C498" s="30" t="s">
        <v>1983</v>
      </c>
      <c r="D498" s="66">
        <v>856</v>
      </c>
      <c r="E498" s="51"/>
      <c r="F498" s="2"/>
      <c r="G498" s="71"/>
    </row>
    <row r="499" spans="2:7" s="1" customFormat="1" ht="15.75" customHeight="1" x14ac:dyDescent="0.25">
      <c r="B499" s="3"/>
      <c r="C499" s="30" t="s">
        <v>663</v>
      </c>
      <c r="D499" s="66">
        <v>5138</v>
      </c>
      <c r="E499" s="51"/>
      <c r="F499" s="2"/>
      <c r="G499" s="71"/>
    </row>
    <row r="500" spans="2:7" s="1" customFormat="1" ht="15.75" customHeight="1" x14ac:dyDescent="0.25">
      <c r="B500" s="3"/>
      <c r="C500" s="30" t="s">
        <v>2064</v>
      </c>
      <c r="D500" s="66">
        <v>6597</v>
      </c>
      <c r="E500" s="51"/>
      <c r="F500" s="2"/>
      <c r="G500" s="71"/>
    </row>
    <row r="501" spans="2:7" s="1" customFormat="1" ht="15.75" customHeight="1" x14ac:dyDescent="0.25">
      <c r="B501" s="3"/>
      <c r="C501" s="30" t="s">
        <v>2063</v>
      </c>
      <c r="D501" s="66">
        <v>2676</v>
      </c>
      <c r="E501" s="51"/>
      <c r="F501" s="2"/>
      <c r="G501" s="71"/>
    </row>
    <row r="502" spans="2:7" s="1" customFormat="1" ht="15.75" customHeight="1" x14ac:dyDescent="0.25">
      <c r="B502" s="3"/>
      <c r="C502" s="30" t="s">
        <v>337</v>
      </c>
      <c r="D502" s="66">
        <v>5194</v>
      </c>
      <c r="E502" s="51"/>
      <c r="F502" s="2"/>
      <c r="G502" s="71"/>
    </row>
    <row r="503" spans="2:7" s="1" customFormat="1" ht="15.75" customHeight="1" x14ac:dyDescent="0.25">
      <c r="B503" s="3"/>
      <c r="C503" s="30" t="s">
        <v>2</v>
      </c>
      <c r="D503" s="66">
        <v>5517</v>
      </c>
      <c r="E503" s="51"/>
      <c r="F503" s="2"/>
      <c r="G503" s="71"/>
    </row>
    <row r="504" spans="2:7" s="1" customFormat="1" ht="15.75" customHeight="1" x14ac:dyDescent="0.25">
      <c r="B504" s="3"/>
      <c r="C504" s="30" t="s">
        <v>3</v>
      </c>
      <c r="D504" s="66">
        <v>3068</v>
      </c>
      <c r="E504" s="51"/>
      <c r="F504" s="2"/>
      <c r="G504" s="71"/>
    </row>
    <row r="505" spans="2:7" s="1" customFormat="1" ht="15.75" customHeight="1" x14ac:dyDescent="0.25">
      <c r="B505" s="3"/>
      <c r="C505" s="30" t="s">
        <v>1981</v>
      </c>
      <c r="D505" s="66">
        <v>1033</v>
      </c>
      <c r="E505" s="51"/>
      <c r="F505" s="2"/>
      <c r="G505" s="71"/>
    </row>
    <row r="506" spans="2:7" s="1" customFormat="1" ht="15.75" customHeight="1" x14ac:dyDescent="0.25">
      <c r="B506" s="3"/>
      <c r="C506" s="30" t="s">
        <v>2062</v>
      </c>
      <c r="D506" s="66">
        <v>7028</v>
      </c>
      <c r="E506" s="51"/>
      <c r="F506" s="2"/>
      <c r="G506" s="71"/>
    </row>
    <row r="507" spans="2:7" s="1" customFormat="1" ht="15.75" customHeight="1" x14ac:dyDescent="0.25">
      <c r="B507" s="3"/>
      <c r="C507" s="30"/>
      <c r="D507" s="66"/>
      <c r="E507" s="51"/>
      <c r="F507" s="2"/>
      <c r="G507" s="71"/>
    </row>
    <row r="508" spans="2:7" s="1" customFormat="1" ht="15.75" customHeight="1" x14ac:dyDescent="0.25">
      <c r="B508" s="3"/>
      <c r="C508" s="30"/>
      <c r="D508" s="66"/>
      <c r="E508" s="51"/>
      <c r="F508" s="2"/>
      <c r="G508" s="71"/>
    </row>
    <row r="509" spans="2:7" s="1" customFormat="1" ht="15.75" customHeight="1" x14ac:dyDescent="0.25">
      <c r="B509" s="3"/>
      <c r="C509" s="30"/>
      <c r="D509" s="66"/>
      <c r="E509" s="51"/>
      <c r="F509" s="2"/>
      <c r="G509" s="71"/>
    </row>
    <row r="510" spans="2:7" s="1" customFormat="1" ht="15.75" customHeight="1" x14ac:dyDescent="0.25">
      <c r="B510" s="3"/>
      <c r="C510" s="30"/>
      <c r="D510" s="66"/>
      <c r="E510" s="51"/>
      <c r="F510" s="2"/>
      <c r="G510" s="71"/>
    </row>
    <row r="511" spans="2:7" s="1" customFormat="1" ht="15.75" customHeight="1" x14ac:dyDescent="0.25">
      <c r="B511" s="3"/>
      <c r="C511" s="29" t="s">
        <v>2061</v>
      </c>
      <c r="D511" s="63">
        <f>SUM(D512:D535)</f>
        <v>82642</v>
      </c>
      <c r="E511" s="51"/>
      <c r="F511" s="2"/>
      <c r="G511" s="71"/>
    </row>
    <row r="512" spans="2:7" s="1" customFormat="1" ht="15.75" customHeight="1" x14ac:dyDescent="0.25">
      <c r="B512" s="3"/>
      <c r="C512" s="30" t="s">
        <v>2060</v>
      </c>
      <c r="D512" s="66">
        <v>5193</v>
      </c>
      <c r="E512" s="51"/>
      <c r="F512" s="2"/>
      <c r="G512" s="71"/>
    </row>
    <row r="513" spans="2:7" s="1" customFormat="1" ht="15.75" customHeight="1" x14ac:dyDescent="0.25">
      <c r="B513" s="3"/>
      <c r="C513" s="30" t="s">
        <v>2059</v>
      </c>
      <c r="D513" s="66">
        <v>2154</v>
      </c>
      <c r="E513" s="51"/>
      <c r="F513" s="2"/>
      <c r="G513" s="71"/>
    </row>
    <row r="514" spans="2:7" s="1" customFormat="1" ht="15.75" customHeight="1" x14ac:dyDescent="0.25">
      <c r="B514" s="3"/>
      <c r="C514" s="30" t="s">
        <v>172</v>
      </c>
      <c r="D514" s="66">
        <v>3266</v>
      </c>
      <c r="E514" s="51"/>
      <c r="F514" s="2"/>
      <c r="G514" s="71"/>
    </row>
    <row r="515" spans="2:7" s="1" customFormat="1" ht="15.75" customHeight="1" x14ac:dyDescent="0.25">
      <c r="B515" s="3"/>
      <c r="C515" s="30" t="s">
        <v>1672</v>
      </c>
      <c r="D515" s="66">
        <v>2338</v>
      </c>
      <c r="E515" s="51"/>
      <c r="F515" s="2"/>
      <c r="G515" s="71"/>
    </row>
    <row r="516" spans="2:7" s="1" customFormat="1" ht="15.75" customHeight="1" x14ac:dyDescent="0.25">
      <c r="B516" s="3"/>
      <c r="C516" s="30" t="s">
        <v>2058</v>
      </c>
      <c r="D516" s="66">
        <v>4976</v>
      </c>
      <c r="E516" s="51"/>
      <c r="F516" s="2"/>
      <c r="G516" s="71"/>
    </row>
    <row r="517" spans="2:7" s="1" customFormat="1" ht="15.75" customHeight="1" x14ac:dyDescent="0.25">
      <c r="B517" s="3"/>
      <c r="C517" s="30" t="s">
        <v>2057</v>
      </c>
      <c r="D517" s="66">
        <v>3763</v>
      </c>
      <c r="E517" s="51"/>
      <c r="F517" s="2"/>
      <c r="G517" s="71"/>
    </row>
    <row r="518" spans="2:7" s="1" customFormat="1" ht="15.75" customHeight="1" x14ac:dyDescent="0.25">
      <c r="B518" s="3"/>
      <c r="C518" s="30" t="s">
        <v>2056</v>
      </c>
      <c r="D518" s="66">
        <v>5125</v>
      </c>
      <c r="E518" s="51"/>
      <c r="F518" s="2"/>
      <c r="G518" s="71"/>
    </row>
    <row r="519" spans="2:7" s="1" customFormat="1" ht="15.75" customHeight="1" x14ac:dyDescent="0.25">
      <c r="B519" s="3"/>
      <c r="C519" s="30" t="s">
        <v>2055</v>
      </c>
      <c r="D519" s="66">
        <v>1892</v>
      </c>
      <c r="E519" s="51"/>
      <c r="F519" s="2"/>
      <c r="G519" s="71"/>
    </row>
    <row r="520" spans="2:7" s="1" customFormat="1" ht="15.75" customHeight="1" x14ac:dyDescent="0.25">
      <c r="B520" s="3"/>
      <c r="C520" s="30" t="s">
        <v>2054</v>
      </c>
      <c r="D520" s="66">
        <v>1315</v>
      </c>
      <c r="E520" s="51"/>
      <c r="F520" s="2"/>
      <c r="G520" s="71"/>
    </row>
    <row r="521" spans="2:7" s="1" customFormat="1" ht="15.75" customHeight="1" x14ac:dyDescent="0.25">
      <c r="B521" s="3"/>
      <c r="C521" s="30" t="s">
        <v>2053</v>
      </c>
      <c r="D521" s="66">
        <v>2001</v>
      </c>
      <c r="E521" s="51"/>
      <c r="F521" s="2"/>
      <c r="G521" s="71"/>
    </row>
    <row r="522" spans="2:7" s="1" customFormat="1" ht="15.75" customHeight="1" x14ac:dyDescent="0.25">
      <c r="B522" s="3"/>
      <c r="C522" s="30" t="s">
        <v>2052</v>
      </c>
      <c r="D522" s="66">
        <v>2986</v>
      </c>
      <c r="E522" s="51"/>
      <c r="F522" s="2"/>
      <c r="G522" s="71"/>
    </row>
    <row r="523" spans="2:7" s="1" customFormat="1" ht="15.75" customHeight="1" x14ac:dyDescent="0.25">
      <c r="B523" s="3"/>
      <c r="C523" s="30" t="s">
        <v>2051</v>
      </c>
      <c r="D523" s="66">
        <v>1022</v>
      </c>
      <c r="E523" s="51"/>
      <c r="F523" s="2"/>
      <c r="G523" s="71"/>
    </row>
    <row r="524" spans="2:7" s="1" customFormat="1" ht="15.75" customHeight="1" x14ac:dyDescent="0.25">
      <c r="B524" s="3"/>
      <c r="C524" s="30" t="s">
        <v>2050</v>
      </c>
      <c r="D524" s="66">
        <v>3233</v>
      </c>
      <c r="E524" s="51"/>
      <c r="F524" s="2"/>
      <c r="G524" s="71"/>
    </row>
    <row r="525" spans="2:7" s="1" customFormat="1" ht="15.75" customHeight="1" x14ac:dyDescent="0.25">
      <c r="B525" s="3"/>
      <c r="C525" s="30" t="s">
        <v>2049</v>
      </c>
      <c r="D525" s="66">
        <v>1177</v>
      </c>
      <c r="E525" s="51"/>
      <c r="F525" s="2"/>
      <c r="G525" s="71"/>
    </row>
    <row r="526" spans="2:7" s="1" customFormat="1" ht="15.75" customHeight="1" x14ac:dyDescent="0.25">
      <c r="B526" s="3"/>
      <c r="C526" s="30" t="s">
        <v>2048</v>
      </c>
      <c r="D526" s="66">
        <v>2268</v>
      </c>
      <c r="E526" s="51"/>
      <c r="F526" s="2"/>
      <c r="G526" s="71"/>
    </row>
    <row r="527" spans="2:7" s="1" customFormat="1" ht="15.75" customHeight="1" x14ac:dyDescent="0.25">
      <c r="B527" s="3"/>
      <c r="C527" s="30" t="s">
        <v>2047</v>
      </c>
      <c r="D527" s="66">
        <v>1424</v>
      </c>
      <c r="E527" s="51"/>
      <c r="F527" s="2"/>
      <c r="G527" s="71"/>
    </row>
    <row r="528" spans="2:7" s="1" customFormat="1" ht="15.75" customHeight="1" x14ac:dyDescent="0.25">
      <c r="B528" s="3"/>
      <c r="C528" s="30" t="s">
        <v>119</v>
      </c>
      <c r="D528" s="66">
        <v>3746</v>
      </c>
      <c r="E528" s="51"/>
      <c r="F528" s="2"/>
      <c r="G528" s="71"/>
    </row>
    <row r="529" spans="2:7" s="1" customFormat="1" ht="15.75" customHeight="1" x14ac:dyDescent="0.25">
      <c r="B529" s="3"/>
      <c r="C529" s="30" t="s">
        <v>5</v>
      </c>
      <c r="D529" s="66">
        <v>4325</v>
      </c>
      <c r="E529" s="51"/>
      <c r="F529" s="2"/>
      <c r="G529" s="71"/>
    </row>
    <row r="530" spans="2:7" s="1" customFormat="1" ht="15.75" customHeight="1" x14ac:dyDescent="0.25">
      <c r="B530" s="3"/>
      <c r="C530" s="30" t="s">
        <v>6</v>
      </c>
      <c r="D530" s="66">
        <v>4166</v>
      </c>
      <c r="E530" s="51"/>
      <c r="F530" s="2"/>
      <c r="G530" s="71"/>
    </row>
    <row r="531" spans="2:7" s="1" customFormat="1" ht="15.75" customHeight="1" x14ac:dyDescent="0.25">
      <c r="B531" s="3"/>
      <c r="C531" s="30" t="s">
        <v>4</v>
      </c>
      <c r="D531" s="66">
        <v>3345</v>
      </c>
      <c r="E531" s="51"/>
      <c r="F531" s="2"/>
      <c r="G531" s="71"/>
    </row>
    <row r="532" spans="2:7" s="1" customFormat="1" ht="15.75" customHeight="1" x14ac:dyDescent="0.25">
      <c r="B532" s="3"/>
      <c r="C532" s="30" t="s">
        <v>2046</v>
      </c>
      <c r="D532" s="66">
        <v>4975</v>
      </c>
      <c r="E532" s="51"/>
      <c r="F532" s="2"/>
      <c r="G532" s="71"/>
    </row>
    <row r="533" spans="2:7" s="1" customFormat="1" ht="15.75" customHeight="1" x14ac:dyDescent="0.25">
      <c r="B533" s="3"/>
      <c r="C533" s="30" t="s">
        <v>2045</v>
      </c>
      <c r="D533" s="66">
        <v>5063</v>
      </c>
      <c r="E533" s="51"/>
      <c r="F533" s="2"/>
      <c r="G533" s="71"/>
    </row>
    <row r="534" spans="2:7" s="1" customFormat="1" ht="15.75" customHeight="1" x14ac:dyDescent="0.25">
      <c r="B534" s="3"/>
      <c r="C534" s="30" t="s">
        <v>15</v>
      </c>
      <c r="D534" s="66">
        <v>6816</v>
      </c>
      <c r="E534" s="51"/>
      <c r="F534" s="2"/>
      <c r="G534" s="71"/>
    </row>
    <row r="535" spans="2:7" s="1" customFormat="1" ht="15.75" customHeight="1" x14ac:dyDescent="0.25">
      <c r="B535" s="3"/>
      <c r="C535" s="30" t="s">
        <v>113</v>
      </c>
      <c r="D535" s="66">
        <v>6073</v>
      </c>
      <c r="E535" s="51"/>
      <c r="F535" s="2"/>
      <c r="G535" s="71"/>
    </row>
    <row r="536" spans="2:7" s="1" customFormat="1" ht="15.75" customHeight="1" x14ac:dyDescent="0.25">
      <c r="B536" s="3"/>
      <c r="C536" s="30"/>
      <c r="D536" s="66"/>
      <c r="E536" s="51"/>
      <c r="F536" s="2"/>
      <c r="G536" s="71"/>
    </row>
    <row r="537" spans="2:7" s="1" customFormat="1" ht="15.75" customHeight="1" x14ac:dyDescent="0.25">
      <c r="B537" s="3"/>
      <c r="C537" s="29" t="s">
        <v>2044</v>
      </c>
      <c r="D537" s="63">
        <f>SUM(D538:D565)</f>
        <v>38159</v>
      </c>
      <c r="E537" s="51"/>
      <c r="F537" s="2"/>
      <c r="G537" s="71"/>
    </row>
    <row r="538" spans="2:7" s="1" customFormat="1" ht="15.75" customHeight="1" x14ac:dyDescent="0.25">
      <c r="B538" s="3"/>
      <c r="C538" s="30" t="s">
        <v>63</v>
      </c>
      <c r="D538" s="66">
        <v>393</v>
      </c>
      <c r="E538" s="51"/>
      <c r="F538" s="2"/>
      <c r="G538" s="71"/>
    </row>
    <row r="539" spans="2:7" s="1" customFormat="1" ht="15.75" customHeight="1" x14ac:dyDescent="0.25">
      <c r="B539" s="3"/>
      <c r="C539" s="30" t="s">
        <v>166</v>
      </c>
      <c r="D539" s="66">
        <v>2895</v>
      </c>
      <c r="E539" s="51"/>
      <c r="F539" s="2"/>
      <c r="G539" s="71"/>
    </row>
    <row r="540" spans="2:7" s="1" customFormat="1" ht="15.75" customHeight="1" x14ac:dyDescent="0.25">
      <c r="B540" s="3"/>
      <c r="C540" s="30" t="s">
        <v>2043</v>
      </c>
      <c r="D540" s="66">
        <v>937</v>
      </c>
      <c r="E540" s="51"/>
      <c r="F540" s="2"/>
      <c r="G540" s="71"/>
    </row>
    <row r="541" spans="2:7" s="1" customFormat="1" ht="15.75" customHeight="1" x14ac:dyDescent="0.25">
      <c r="B541" s="3"/>
      <c r="C541" s="30" t="s">
        <v>2042</v>
      </c>
      <c r="D541" s="66">
        <v>876</v>
      </c>
      <c r="E541" s="51"/>
      <c r="F541" s="2"/>
      <c r="G541" s="71"/>
    </row>
    <row r="542" spans="2:7" s="1" customFormat="1" ht="15.75" customHeight="1" x14ac:dyDescent="0.25">
      <c r="B542" s="3"/>
      <c r="C542" s="30" t="s">
        <v>2041</v>
      </c>
      <c r="D542" s="66">
        <v>1224</v>
      </c>
      <c r="E542" s="51"/>
      <c r="F542" s="2"/>
      <c r="G542" s="71"/>
    </row>
    <row r="543" spans="2:7" s="1" customFormat="1" ht="15.75" customHeight="1" x14ac:dyDescent="0.25">
      <c r="B543" s="3"/>
      <c r="C543" s="30" t="s">
        <v>2040</v>
      </c>
      <c r="D543" s="66">
        <v>822</v>
      </c>
      <c r="E543" s="51"/>
      <c r="F543" s="2"/>
      <c r="G543" s="71"/>
    </row>
    <row r="544" spans="2:7" s="1" customFormat="1" ht="15.75" customHeight="1" x14ac:dyDescent="0.25">
      <c r="B544" s="3"/>
      <c r="C544" s="30" t="s">
        <v>2039</v>
      </c>
      <c r="D544" s="66">
        <v>2190</v>
      </c>
      <c r="E544" s="51"/>
      <c r="F544" s="2"/>
      <c r="G544" s="71"/>
    </row>
    <row r="545" spans="1:7" s="1" customFormat="1" ht="15.75" customHeight="1" x14ac:dyDescent="0.25">
      <c r="B545" s="3"/>
      <c r="C545" s="30" t="s">
        <v>2038</v>
      </c>
      <c r="D545" s="66">
        <v>899</v>
      </c>
      <c r="E545" s="51"/>
      <c r="F545" s="2"/>
      <c r="G545" s="71"/>
    </row>
    <row r="546" spans="1:7" s="1" customFormat="1" ht="15.75" customHeight="1" x14ac:dyDescent="0.25">
      <c r="B546" s="3"/>
      <c r="C546" s="30" t="s">
        <v>2037</v>
      </c>
      <c r="D546" s="66">
        <v>1262</v>
      </c>
      <c r="E546" s="51"/>
      <c r="F546" s="2"/>
      <c r="G546" s="71"/>
    </row>
    <row r="547" spans="1:7" s="1" customFormat="1" ht="15.75" customHeight="1" x14ac:dyDescent="0.25">
      <c r="B547" s="3"/>
      <c r="C547" s="30" t="s">
        <v>2036</v>
      </c>
      <c r="D547" s="66">
        <v>1808</v>
      </c>
      <c r="E547" s="51"/>
      <c r="F547" s="2"/>
      <c r="G547" s="71"/>
    </row>
    <row r="548" spans="1:7" s="1" customFormat="1" ht="15.75" customHeight="1" x14ac:dyDescent="0.25">
      <c r="B548" s="3"/>
      <c r="C548" s="30" t="s">
        <v>55</v>
      </c>
      <c r="D548" s="66">
        <v>1110</v>
      </c>
      <c r="E548" s="51"/>
      <c r="F548" s="2"/>
      <c r="G548" s="71"/>
    </row>
    <row r="549" spans="1:7" s="1" customFormat="1" ht="15.75" customHeight="1" x14ac:dyDescent="0.25">
      <c r="B549" s="3"/>
      <c r="C549" s="30" t="s">
        <v>2035</v>
      </c>
      <c r="D549" s="66">
        <v>1207</v>
      </c>
      <c r="E549" s="51"/>
      <c r="F549" s="2"/>
      <c r="G549" s="71"/>
    </row>
    <row r="550" spans="1:7" s="1" customFormat="1" ht="15.75" customHeight="1" x14ac:dyDescent="0.25">
      <c r="B550" s="3"/>
      <c r="C550" s="30" t="s">
        <v>2034</v>
      </c>
      <c r="D550" s="66">
        <v>613</v>
      </c>
      <c r="E550" s="51"/>
      <c r="F550" s="2"/>
      <c r="G550" s="71"/>
    </row>
    <row r="551" spans="1:7" s="1" customFormat="1" ht="15.75" customHeight="1" x14ac:dyDescent="0.25">
      <c r="B551" s="3"/>
      <c r="C551" s="30" t="s">
        <v>2033</v>
      </c>
      <c r="D551" s="66">
        <v>694</v>
      </c>
      <c r="E551" s="51"/>
      <c r="F551" s="2"/>
      <c r="G551" s="71"/>
    </row>
    <row r="552" spans="1:7" s="1" customFormat="1" ht="15.75" customHeight="1" x14ac:dyDescent="0.25">
      <c r="B552" s="3"/>
      <c r="C552" s="30" t="s">
        <v>2032</v>
      </c>
      <c r="D552" s="66">
        <v>613</v>
      </c>
      <c r="E552" s="51"/>
      <c r="F552" s="2"/>
      <c r="G552" s="71"/>
    </row>
    <row r="553" spans="1:7" s="1" customFormat="1" ht="15.75" customHeight="1" x14ac:dyDescent="0.25">
      <c r="B553" s="3"/>
      <c r="C553" s="30" t="s">
        <v>2031</v>
      </c>
      <c r="D553" s="66">
        <v>2109</v>
      </c>
      <c r="E553" s="51"/>
      <c r="F553" s="2"/>
      <c r="G553" s="71"/>
    </row>
    <row r="554" spans="1:7" s="1" customFormat="1" ht="15.75" customHeight="1" x14ac:dyDescent="0.25">
      <c r="B554" s="3"/>
      <c r="C554" s="30" t="s">
        <v>2030</v>
      </c>
      <c r="D554" s="66">
        <v>466</v>
      </c>
      <c r="E554" s="51"/>
      <c r="F554" s="2"/>
      <c r="G554" s="71"/>
    </row>
    <row r="555" spans="1:7" s="1" customFormat="1" ht="15.75" customHeight="1" x14ac:dyDescent="0.25">
      <c r="B555" s="3"/>
      <c r="C555" s="30" t="s">
        <v>2029</v>
      </c>
      <c r="D555" s="66">
        <v>2041</v>
      </c>
      <c r="E555" s="51"/>
      <c r="F555" s="2"/>
      <c r="G555" s="71"/>
    </row>
    <row r="556" spans="1:7" s="1" customFormat="1" ht="15.75" customHeight="1" x14ac:dyDescent="0.25">
      <c r="B556" s="3"/>
      <c r="C556" s="30" t="s">
        <v>2028</v>
      </c>
      <c r="D556" s="66">
        <v>2329</v>
      </c>
      <c r="E556" s="51"/>
      <c r="F556" s="2"/>
      <c r="G556" s="71"/>
    </row>
    <row r="557" spans="1:7" s="1" customFormat="1" ht="15.75" customHeight="1" x14ac:dyDescent="0.25">
      <c r="B557" s="3"/>
      <c r="C557" s="30" t="s">
        <v>2027</v>
      </c>
      <c r="D557" s="66">
        <v>1090</v>
      </c>
      <c r="E557" s="51"/>
      <c r="F557" s="2"/>
      <c r="G557" s="71"/>
    </row>
    <row r="558" spans="1:7" s="1" customFormat="1" ht="15.75" customHeight="1" x14ac:dyDescent="0.25">
      <c r="B558" s="3"/>
      <c r="C558" s="30" t="s">
        <v>1996</v>
      </c>
      <c r="D558" s="66">
        <v>2208</v>
      </c>
      <c r="E558" s="51"/>
      <c r="F558" s="2"/>
      <c r="G558" s="71"/>
    </row>
    <row r="559" spans="1:7" s="1" customFormat="1" ht="15.75" customHeight="1" x14ac:dyDescent="0.25">
      <c r="B559" s="3"/>
      <c r="C559" s="30" t="s">
        <v>2</v>
      </c>
      <c r="D559" s="66">
        <v>2309</v>
      </c>
      <c r="E559" s="51"/>
      <c r="F559" s="2"/>
      <c r="G559" s="71"/>
    </row>
    <row r="560" spans="1:7" s="16" customFormat="1" ht="15.75" customHeight="1" x14ac:dyDescent="0.25">
      <c r="A560" s="1"/>
      <c r="B560" s="3"/>
      <c r="C560" s="30" t="s">
        <v>13</v>
      </c>
      <c r="D560" s="66">
        <v>829</v>
      </c>
      <c r="E560" s="51"/>
      <c r="F560" s="2"/>
      <c r="G560" s="71"/>
    </row>
    <row r="561" spans="2:7" s="1" customFormat="1" ht="15.75" customHeight="1" x14ac:dyDescent="0.25">
      <c r="B561" s="3"/>
      <c r="C561" s="30" t="s">
        <v>2026</v>
      </c>
      <c r="D561" s="66">
        <v>643</v>
      </c>
      <c r="E561" s="51"/>
      <c r="F561" s="2"/>
      <c r="G561" s="71"/>
    </row>
    <row r="562" spans="2:7" s="1" customFormat="1" ht="15.75" customHeight="1" x14ac:dyDescent="0.25">
      <c r="B562" s="3"/>
      <c r="C562" s="30" t="s">
        <v>2025</v>
      </c>
      <c r="D562" s="66">
        <v>688</v>
      </c>
      <c r="E562" s="51"/>
      <c r="F562" s="2"/>
      <c r="G562" s="71"/>
    </row>
    <row r="563" spans="2:7" s="1" customFormat="1" ht="15.75" customHeight="1" x14ac:dyDescent="0.25">
      <c r="B563" s="3"/>
      <c r="C563" s="30" t="s">
        <v>2024</v>
      </c>
      <c r="D563" s="66">
        <v>1485</v>
      </c>
      <c r="E563" s="51"/>
      <c r="F563" s="2"/>
      <c r="G563" s="71"/>
    </row>
    <row r="564" spans="2:7" s="1" customFormat="1" ht="15.75" customHeight="1" x14ac:dyDescent="0.25">
      <c r="B564" s="3"/>
      <c r="C564" s="30" t="s">
        <v>2023</v>
      </c>
      <c r="D564" s="66">
        <v>3410</v>
      </c>
      <c r="E564" s="51"/>
      <c r="F564" s="2"/>
      <c r="G564" s="71"/>
    </row>
    <row r="565" spans="2:7" s="1" customFormat="1" ht="15.75" customHeight="1" x14ac:dyDescent="0.25">
      <c r="B565" s="3"/>
      <c r="C565" s="30" t="s">
        <v>2022</v>
      </c>
      <c r="D565" s="66">
        <v>1009</v>
      </c>
      <c r="E565" s="51"/>
      <c r="F565" s="2"/>
      <c r="G565" s="71"/>
    </row>
    <row r="566" spans="2:7" s="1" customFormat="1" ht="15.75" customHeight="1" x14ac:dyDescent="0.25">
      <c r="B566" s="3"/>
      <c r="C566" s="30"/>
      <c r="D566" s="66"/>
      <c r="E566" s="51"/>
      <c r="F566" s="2"/>
      <c r="G566" s="71"/>
    </row>
    <row r="567" spans="2:7" s="1" customFormat="1" ht="15.75" customHeight="1" x14ac:dyDescent="0.25">
      <c r="B567" s="3"/>
      <c r="C567" s="29" t="s">
        <v>2021</v>
      </c>
      <c r="D567" s="63">
        <f>SUM(D568:D591)</f>
        <v>38733</v>
      </c>
      <c r="E567" s="51"/>
      <c r="F567" s="2"/>
      <c r="G567" s="71"/>
    </row>
    <row r="568" spans="2:7" s="1" customFormat="1" ht="15.75" customHeight="1" x14ac:dyDescent="0.25">
      <c r="B568" s="3"/>
      <c r="C568" s="30" t="s">
        <v>2020</v>
      </c>
      <c r="D568" s="66">
        <v>1732</v>
      </c>
      <c r="E568" s="51"/>
      <c r="F568" s="2"/>
      <c r="G568" s="71"/>
    </row>
    <row r="569" spans="2:7" s="1" customFormat="1" ht="15.75" customHeight="1" x14ac:dyDescent="0.25">
      <c r="B569" s="3"/>
      <c r="C569" s="30" t="s">
        <v>2019</v>
      </c>
      <c r="D569" s="66">
        <v>3916</v>
      </c>
      <c r="E569" s="51"/>
      <c r="F569" s="2"/>
      <c r="G569" s="71"/>
    </row>
    <row r="570" spans="2:7" s="1" customFormat="1" ht="15.75" customHeight="1" x14ac:dyDescent="0.25">
      <c r="B570" s="3"/>
      <c r="C570" s="30" t="s">
        <v>2018</v>
      </c>
      <c r="D570" s="66">
        <v>2085</v>
      </c>
      <c r="E570" s="51"/>
      <c r="F570" s="2"/>
      <c r="G570" s="71"/>
    </row>
    <row r="571" spans="2:7" s="1" customFormat="1" ht="15.75" customHeight="1" x14ac:dyDescent="0.25">
      <c r="B571" s="3"/>
      <c r="C571" s="30" t="s">
        <v>2017</v>
      </c>
      <c r="D571" s="66">
        <v>1472</v>
      </c>
      <c r="E571" s="51"/>
      <c r="F571" s="2"/>
      <c r="G571" s="71"/>
    </row>
    <row r="572" spans="2:7" s="1" customFormat="1" ht="15.75" customHeight="1" x14ac:dyDescent="0.25">
      <c r="B572" s="3"/>
      <c r="C572" s="30" t="s">
        <v>647</v>
      </c>
      <c r="D572" s="66">
        <v>607</v>
      </c>
      <c r="E572" s="51"/>
      <c r="F572" s="2"/>
      <c r="G572" s="71"/>
    </row>
    <row r="573" spans="2:7" s="1" customFormat="1" ht="15.75" customHeight="1" x14ac:dyDescent="0.25">
      <c r="B573" s="3"/>
      <c r="C573" s="30" t="s">
        <v>2016</v>
      </c>
      <c r="D573" s="66">
        <v>2222</v>
      </c>
      <c r="E573" s="51"/>
      <c r="F573" s="2"/>
      <c r="G573" s="71"/>
    </row>
    <row r="574" spans="2:7" s="1" customFormat="1" ht="15.75" customHeight="1" x14ac:dyDescent="0.25">
      <c r="B574" s="3"/>
      <c r="C574" s="30" t="s">
        <v>459</v>
      </c>
      <c r="D574" s="66">
        <v>1527</v>
      </c>
      <c r="E574" s="51"/>
      <c r="F574" s="2"/>
      <c r="G574" s="71"/>
    </row>
    <row r="575" spans="2:7" s="1" customFormat="1" ht="15.75" customHeight="1" x14ac:dyDescent="0.25">
      <c r="B575" s="3"/>
      <c r="C575" s="30" t="s">
        <v>2015</v>
      </c>
      <c r="D575" s="66">
        <v>3228</v>
      </c>
      <c r="E575" s="51"/>
      <c r="F575" s="2"/>
      <c r="G575" s="71"/>
    </row>
    <row r="576" spans="2:7" s="1" customFormat="1" ht="15.75" customHeight="1" x14ac:dyDescent="0.25">
      <c r="B576" s="3"/>
      <c r="C576" s="30" t="s">
        <v>2014</v>
      </c>
      <c r="D576" s="66">
        <v>1362</v>
      </c>
      <c r="E576" s="51"/>
      <c r="F576" s="2"/>
      <c r="G576" s="71"/>
    </row>
    <row r="577" spans="1:7" s="1" customFormat="1" ht="15.75" customHeight="1" x14ac:dyDescent="0.25">
      <c r="B577" s="3"/>
      <c r="C577" s="30" t="s">
        <v>2013</v>
      </c>
      <c r="D577" s="66">
        <v>589</v>
      </c>
      <c r="E577" s="51"/>
      <c r="F577" s="2"/>
      <c r="G577" s="71"/>
    </row>
    <row r="578" spans="1:7" s="1" customFormat="1" ht="15.75" customHeight="1" x14ac:dyDescent="0.25">
      <c r="B578" s="3"/>
      <c r="C578" s="30" t="s">
        <v>1122</v>
      </c>
      <c r="D578" s="66">
        <v>1475</v>
      </c>
      <c r="E578" s="51"/>
      <c r="F578" s="2"/>
      <c r="G578" s="71"/>
    </row>
    <row r="579" spans="1:7" s="1" customFormat="1" ht="15.75" customHeight="1" x14ac:dyDescent="0.25">
      <c r="B579" s="3"/>
      <c r="C579" s="30" t="s">
        <v>2012</v>
      </c>
      <c r="D579" s="66">
        <v>2639</v>
      </c>
      <c r="E579" s="51"/>
      <c r="F579" s="2"/>
      <c r="G579" s="71"/>
    </row>
    <row r="580" spans="1:7" s="1" customFormat="1" ht="15.75" customHeight="1" x14ac:dyDescent="0.25">
      <c r="B580" s="3"/>
      <c r="C580" s="30" t="s">
        <v>2011</v>
      </c>
      <c r="D580" s="66">
        <v>1620</v>
      </c>
      <c r="E580" s="51"/>
      <c r="F580" s="2"/>
      <c r="G580" s="71"/>
    </row>
    <row r="581" spans="1:7" s="1" customFormat="1" ht="15.75" customHeight="1" x14ac:dyDescent="0.25">
      <c r="B581" s="3"/>
      <c r="C581" s="30" t="s">
        <v>2010</v>
      </c>
      <c r="D581" s="66">
        <v>1224</v>
      </c>
      <c r="E581" s="51"/>
      <c r="F581" s="2"/>
      <c r="G581" s="71"/>
    </row>
    <row r="582" spans="1:7" s="1" customFormat="1" ht="15.75" customHeight="1" x14ac:dyDescent="0.25">
      <c r="B582" s="3"/>
      <c r="C582" s="30" t="s">
        <v>2009</v>
      </c>
      <c r="D582" s="66">
        <v>1044</v>
      </c>
      <c r="E582" s="51"/>
      <c r="F582" s="2"/>
      <c r="G582" s="71"/>
    </row>
    <row r="583" spans="1:7" s="1" customFormat="1" ht="15.75" customHeight="1" x14ac:dyDescent="0.25">
      <c r="B583" s="3"/>
      <c r="C583" s="30" t="s">
        <v>2008</v>
      </c>
      <c r="D583" s="66">
        <v>799</v>
      </c>
      <c r="E583" s="51"/>
      <c r="F583" s="2"/>
      <c r="G583" s="71"/>
    </row>
    <row r="584" spans="1:7" s="1" customFormat="1" ht="15.75" customHeight="1" x14ac:dyDescent="0.25">
      <c r="B584" s="3"/>
      <c r="C584" s="30" t="s">
        <v>2007</v>
      </c>
      <c r="D584" s="66">
        <v>2136</v>
      </c>
      <c r="E584" s="51"/>
      <c r="F584" s="2"/>
      <c r="G584" s="71"/>
    </row>
    <row r="585" spans="1:7" s="1" customFormat="1" ht="15.75" customHeight="1" x14ac:dyDescent="0.25">
      <c r="B585" s="3"/>
      <c r="C585" s="30" t="s">
        <v>2006</v>
      </c>
      <c r="D585" s="66">
        <v>513</v>
      </c>
      <c r="E585" s="51"/>
      <c r="F585" s="2"/>
      <c r="G585" s="71"/>
    </row>
    <row r="586" spans="1:7" s="1" customFormat="1" ht="15.75" customHeight="1" x14ac:dyDescent="0.25">
      <c r="B586" s="3"/>
      <c r="C586" s="30" t="s">
        <v>2005</v>
      </c>
      <c r="D586" s="66">
        <v>3352</v>
      </c>
      <c r="E586" s="51"/>
      <c r="F586" s="2"/>
      <c r="G586" s="71"/>
    </row>
    <row r="587" spans="1:7" s="1" customFormat="1" ht="15.75" customHeight="1" x14ac:dyDescent="0.25">
      <c r="B587" s="3"/>
      <c r="C587" s="30" t="s">
        <v>1499</v>
      </c>
      <c r="D587" s="66">
        <v>738</v>
      </c>
      <c r="E587" s="51"/>
      <c r="F587" s="2"/>
      <c r="G587" s="71"/>
    </row>
    <row r="588" spans="1:7" s="1" customFormat="1" ht="15.75" customHeight="1" x14ac:dyDescent="0.25">
      <c r="B588" s="3"/>
      <c r="C588" s="30" t="s">
        <v>1500</v>
      </c>
      <c r="D588" s="66">
        <v>557</v>
      </c>
      <c r="E588" s="51"/>
      <c r="F588" s="2"/>
      <c r="G588" s="71"/>
    </row>
    <row r="589" spans="1:7" s="1" customFormat="1" ht="15.75" customHeight="1" x14ac:dyDescent="0.25">
      <c r="B589" s="3"/>
      <c r="C589" s="30" t="s">
        <v>2004</v>
      </c>
      <c r="D589" s="66">
        <v>1986</v>
      </c>
      <c r="E589" s="51"/>
      <c r="F589" s="2"/>
      <c r="G589" s="71"/>
    </row>
    <row r="590" spans="1:7" s="16" customFormat="1" ht="15.75" customHeight="1" x14ac:dyDescent="0.25">
      <c r="A590" s="1"/>
      <c r="B590" s="3"/>
      <c r="C590" s="30" t="s">
        <v>1783</v>
      </c>
      <c r="D590" s="66">
        <v>1031</v>
      </c>
      <c r="E590" s="51"/>
      <c r="F590" s="2"/>
      <c r="G590" s="71"/>
    </row>
    <row r="591" spans="1:7" s="1" customFormat="1" ht="15.75" customHeight="1" x14ac:dyDescent="0.25">
      <c r="B591" s="3"/>
      <c r="C591" s="30" t="s">
        <v>2003</v>
      </c>
      <c r="D591" s="66">
        <v>879</v>
      </c>
      <c r="E591" s="51"/>
      <c r="F591" s="2"/>
      <c r="G591" s="71"/>
    </row>
    <row r="592" spans="1:7" s="1" customFormat="1" ht="15.75" customHeight="1" x14ac:dyDescent="0.25">
      <c r="B592" s="3"/>
      <c r="C592" s="30"/>
      <c r="D592" s="66"/>
      <c r="E592" s="51"/>
      <c r="F592" s="2"/>
      <c r="G592" s="71"/>
    </row>
    <row r="593" spans="1:7" s="1" customFormat="1" ht="15.75" customHeight="1" x14ac:dyDescent="0.25">
      <c r="B593" s="3"/>
      <c r="C593" s="29" t="s">
        <v>2002</v>
      </c>
      <c r="D593" s="63">
        <f>SUM(D594:D608)</f>
        <v>40779</v>
      </c>
      <c r="E593" s="51"/>
      <c r="F593" s="2"/>
      <c r="G593" s="71"/>
    </row>
    <row r="594" spans="1:7" s="1" customFormat="1" ht="15.75" customHeight="1" x14ac:dyDescent="0.25">
      <c r="B594" s="3"/>
      <c r="C594" s="30" t="s">
        <v>2001</v>
      </c>
      <c r="D594" s="66">
        <v>5803</v>
      </c>
      <c r="E594" s="51"/>
      <c r="F594" s="2"/>
      <c r="G594" s="71"/>
    </row>
    <row r="595" spans="1:7" s="1" customFormat="1" ht="15.75" customHeight="1" x14ac:dyDescent="0.25">
      <c r="B595" s="3"/>
      <c r="C595" s="30" t="s">
        <v>1101</v>
      </c>
      <c r="D595" s="66">
        <v>610</v>
      </c>
      <c r="E595" s="51"/>
      <c r="F595" s="2"/>
      <c r="G595" s="71"/>
    </row>
    <row r="596" spans="1:7" s="1" customFormat="1" ht="15.75" customHeight="1" x14ac:dyDescent="0.25">
      <c r="B596" s="3"/>
      <c r="C596" s="30" t="s">
        <v>2000</v>
      </c>
      <c r="D596" s="66">
        <v>2042</v>
      </c>
      <c r="E596" s="51"/>
      <c r="F596" s="2"/>
      <c r="G596" s="71"/>
    </row>
    <row r="597" spans="1:7" s="1" customFormat="1" ht="15.75" customHeight="1" x14ac:dyDescent="0.25">
      <c r="B597" s="3"/>
      <c r="C597" s="30" t="s">
        <v>162</v>
      </c>
      <c r="D597" s="66">
        <v>1974</v>
      </c>
      <c r="E597" s="51"/>
      <c r="F597" s="2"/>
      <c r="G597" s="71"/>
    </row>
    <row r="598" spans="1:7" s="1" customFormat="1" ht="15.75" customHeight="1" x14ac:dyDescent="0.25">
      <c r="B598" s="3"/>
      <c r="C598" s="30" t="s">
        <v>129</v>
      </c>
      <c r="D598" s="66">
        <v>1427</v>
      </c>
      <c r="E598" s="51"/>
      <c r="F598" s="2"/>
      <c r="G598" s="71"/>
    </row>
    <row r="599" spans="1:7" s="1" customFormat="1" ht="15.75" customHeight="1" x14ac:dyDescent="0.25">
      <c r="B599" s="3"/>
      <c r="C599" s="30" t="s">
        <v>1999</v>
      </c>
      <c r="D599" s="66">
        <v>1502</v>
      </c>
      <c r="E599" s="51"/>
      <c r="F599" s="2"/>
      <c r="G599" s="71"/>
    </row>
    <row r="600" spans="1:7" s="1" customFormat="1" ht="15.75" customHeight="1" x14ac:dyDescent="0.25">
      <c r="B600" s="3"/>
      <c r="C600" s="30" t="s">
        <v>1998</v>
      </c>
      <c r="D600" s="66">
        <v>2124</v>
      </c>
      <c r="E600" s="51"/>
      <c r="F600" s="2"/>
      <c r="G600" s="71"/>
    </row>
    <row r="601" spans="1:7" s="1" customFormat="1" ht="15.75" customHeight="1" x14ac:dyDescent="0.25">
      <c r="B601" s="3"/>
      <c r="C601" s="30" t="s">
        <v>231</v>
      </c>
      <c r="D601" s="66">
        <v>1982</v>
      </c>
      <c r="E601" s="51"/>
      <c r="F601" s="2"/>
      <c r="G601" s="71"/>
    </row>
    <row r="602" spans="1:7" s="16" customFormat="1" ht="15.75" customHeight="1" x14ac:dyDescent="0.25">
      <c r="A602" s="1"/>
      <c r="B602" s="3"/>
      <c r="C602" s="30" t="s">
        <v>1997</v>
      </c>
      <c r="D602" s="66">
        <v>1525</v>
      </c>
      <c r="E602" s="51"/>
      <c r="F602" s="2"/>
      <c r="G602" s="71"/>
    </row>
    <row r="603" spans="1:7" s="1" customFormat="1" ht="15.75" customHeight="1" x14ac:dyDescent="0.25">
      <c r="B603" s="3"/>
      <c r="C603" s="30" t="s">
        <v>1996</v>
      </c>
      <c r="D603" s="66">
        <v>4845</v>
      </c>
      <c r="E603" s="51"/>
      <c r="F603" s="2"/>
      <c r="G603" s="71"/>
    </row>
    <row r="604" spans="1:7" s="1" customFormat="1" ht="15.75" customHeight="1" x14ac:dyDescent="0.25">
      <c r="B604" s="3"/>
      <c r="C604" s="30" t="s">
        <v>2</v>
      </c>
      <c r="D604" s="66">
        <v>4928</v>
      </c>
      <c r="E604" s="51"/>
      <c r="F604" s="2"/>
      <c r="G604" s="71"/>
    </row>
    <row r="605" spans="1:7" s="1" customFormat="1" ht="15.75" customHeight="1" x14ac:dyDescent="0.25">
      <c r="B605" s="3"/>
      <c r="C605" s="30" t="s">
        <v>1995</v>
      </c>
      <c r="D605" s="66">
        <v>2186</v>
      </c>
      <c r="E605" s="51"/>
      <c r="F605" s="2"/>
      <c r="G605" s="71"/>
    </row>
    <row r="606" spans="1:7" s="1" customFormat="1" ht="15.75" customHeight="1" x14ac:dyDescent="0.25">
      <c r="B606" s="3"/>
      <c r="C606" s="30" t="s">
        <v>122</v>
      </c>
      <c r="D606" s="66">
        <v>3320</v>
      </c>
      <c r="E606" s="51"/>
      <c r="F606" s="2"/>
      <c r="G606" s="71"/>
    </row>
    <row r="607" spans="1:7" s="1" customFormat="1" ht="15.75" customHeight="1" x14ac:dyDescent="0.25">
      <c r="B607" s="3"/>
      <c r="C607" s="30" t="s">
        <v>1994</v>
      </c>
      <c r="D607" s="66">
        <v>4081</v>
      </c>
      <c r="E607" s="51"/>
      <c r="F607" s="2"/>
      <c r="G607" s="71"/>
    </row>
    <row r="608" spans="1:7" s="1" customFormat="1" ht="15.75" customHeight="1" x14ac:dyDescent="0.25">
      <c r="B608" s="3"/>
      <c r="C608" s="30" t="s">
        <v>1993</v>
      </c>
      <c r="D608" s="66">
        <v>2430</v>
      </c>
      <c r="E608" s="51"/>
      <c r="F608" s="2"/>
      <c r="G608" s="71"/>
    </row>
    <row r="609" spans="1:7" s="1" customFormat="1" ht="15.75" customHeight="1" x14ac:dyDescent="0.25">
      <c r="B609" s="3"/>
      <c r="C609" s="30"/>
      <c r="D609" s="66"/>
      <c r="E609" s="51"/>
      <c r="F609" s="2"/>
      <c r="G609" s="71"/>
    </row>
    <row r="610" spans="1:7" s="1" customFormat="1" ht="15.75" customHeight="1" x14ac:dyDescent="0.25">
      <c r="B610" s="3"/>
      <c r="C610" s="29" t="s">
        <v>1992</v>
      </c>
      <c r="D610" s="63">
        <f>SUM(D611:D620)</f>
        <v>29569</v>
      </c>
      <c r="E610" s="51"/>
      <c r="F610" s="2"/>
      <c r="G610" s="71"/>
    </row>
    <row r="611" spans="1:7" s="1" customFormat="1" ht="15.75" customHeight="1" x14ac:dyDescent="0.25">
      <c r="B611" s="3"/>
      <c r="C611" s="30" t="s">
        <v>750</v>
      </c>
      <c r="D611" s="66">
        <v>2505</v>
      </c>
      <c r="E611" s="51"/>
      <c r="F611" s="2"/>
      <c r="G611" s="71"/>
    </row>
    <row r="612" spans="1:7" s="1" customFormat="1" ht="15.75" customHeight="1" x14ac:dyDescent="0.25">
      <c r="B612" s="3"/>
      <c r="C612" s="30" t="s">
        <v>1991</v>
      </c>
      <c r="D612" s="66">
        <v>1721</v>
      </c>
      <c r="E612" s="51"/>
      <c r="F612" s="2"/>
      <c r="G612" s="71"/>
    </row>
    <row r="613" spans="1:7" s="1" customFormat="1" ht="15.75" customHeight="1" x14ac:dyDescent="0.25">
      <c r="B613" s="3"/>
      <c r="C613" s="30" t="s">
        <v>1990</v>
      </c>
      <c r="D613" s="66">
        <v>2131</v>
      </c>
      <c r="E613" s="51"/>
      <c r="F613" s="2"/>
      <c r="G613" s="71"/>
    </row>
    <row r="614" spans="1:7" s="1" customFormat="1" ht="15.75" customHeight="1" x14ac:dyDescent="0.25">
      <c r="B614" s="3"/>
      <c r="C614" s="30" t="s">
        <v>1989</v>
      </c>
      <c r="D614" s="66">
        <v>1114</v>
      </c>
      <c r="E614" s="51"/>
      <c r="F614" s="2"/>
      <c r="G614" s="71"/>
    </row>
    <row r="615" spans="1:7" s="1" customFormat="1" ht="15.75" customHeight="1" x14ac:dyDescent="0.25">
      <c r="B615" s="3"/>
      <c r="C615" s="30" t="s">
        <v>1988</v>
      </c>
      <c r="D615" s="66">
        <v>3752</v>
      </c>
      <c r="E615" s="51"/>
      <c r="F615" s="2"/>
      <c r="G615" s="71"/>
    </row>
    <row r="616" spans="1:7" s="1" customFormat="1" ht="15.75" customHeight="1" x14ac:dyDescent="0.25">
      <c r="B616" s="3"/>
      <c r="C616" s="30" t="s">
        <v>1987</v>
      </c>
      <c r="D616" s="66">
        <v>7612</v>
      </c>
      <c r="E616" s="51"/>
      <c r="F616" s="2"/>
      <c r="G616" s="71"/>
    </row>
    <row r="617" spans="1:7" s="16" customFormat="1" ht="15.75" customHeight="1" x14ac:dyDescent="0.25">
      <c r="A617" s="1"/>
      <c r="B617" s="3"/>
      <c r="C617" s="30" t="s">
        <v>1986</v>
      </c>
      <c r="D617" s="66">
        <v>1261</v>
      </c>
      <c r="E617" s="51"/>
      <c r="F617" s="2"/>
      <c r="G617" s="71"/>
    </row>
    <row r="618" spans="1:7" s="1" customFormat="1" ht="15.75" customHeight="1" x14ac:dyDescent="0.25">
      <c r="B618" s="3"/>
      <c r="C618" s="30" t="s">
        <v>1985</v>
      </c>
      <c r="D618" s="66">
        <v>1482</v>
      </c>
      <c r="E618" s="51"/>
      <c r="F618" s="2"/>
      <c r="G618" s="71"/>
    </row>
    <row r="619" spans="1:7" s="1" customFormat="1" ht="15.75" customHeight="1" x14ac:dyDescent="0.25">
      <c r="B619" s="3"/>
      <c r="C619" s="30" t="s">
        <v>1984</v>
      </c>
      <c r="D619" s="66">
        <v>1541</v>
      </c>
      <c r="E619" s="51"/>
      <c r="F619" s="2"/>
      <c r="G619" s="71"/>
    </row>
    <row r="620" spans="1:7" s="1" customFormat="1" ht="15.75" customHeight="1" x14ac:dyDescent="0.25">
      <c r="B620" s="3"/>
      <c r="C620" s="30" t="s">
        <v>2</v>
      </c>
      <c r="D620" s="66">
        <v>6450</v>
      </c>
      <c r="E620" s="51"/>
      <c r="F620" s="2"/>
      <c r="G620" s="71"/>
    </row>
    <row r="621" spans="1:7" s="1" customFormat="1" ht="15.75" customHeight="1" x14ac:dyDescent="0.25">
      <c r="B621" s="3"/>
      <c r="C621" s="25"/>
      <c r="D621" s="25"/>
      <c r="E621" s="51"/>
      <c r="F621" s="2"/>
      <c r="G621" s="71"/>
    </row>
    <row r="622" spans="1:7" s="1" customFormat="1" ht="15.75" customHeight="1" x14ac:dyDescent="0.25">
      <c r="B622" s="3"/>
      <c r="C622" s="61"/>
      <c r="E622" s="51"/>
      <c r="F622" s="2"/>
      <c r="G622" s="71"/>
    </row>
    <row r="623" spans="1:7" s="1" customFormat="1" ht="15.75" customHeight="1" x14ac:dyDescent="0.25">
      <c r="B623" s="3"/>
      <c r="C623" s="60" t="s">
        <v>1975</v>
      </c>
      <c r="D623" s="59"/>
      <c r="E623" s="51"/>
      <c r="F623" s="2"/>
      <c r="G623" s="71"/>
    </row>
    <row r="624" spans="1:7" s="1" customFormat="1" ht="15.75" customHeight="1" x14ac:dyDescent="0.25">
      <c r="B624" s="3"/>
      <c r="C624" s="79" t="s">
        <v>2423</v>
      </c>
      <c r="D624" s="79"/>
      <c r="E624" s="51"/>
      <c r="F624" s="2"/>
      <c r="G624" s="71"/>
    </row>
    <row r="625" spans="1:7" s="1" customFormat="1" ht="15.75" customHeight="1" x14ac:dyDescent="0.25">
      <c r="B625" s="3"/>
      <c r="C625" s="80" t="s">
        <v>2420</v>
      </c>
      <c r="D625" s="80"/>
      <c r="E625" s="51"/>
      <c r="F625" s="2"/>
      <c r="G625" s="71"/>
    </row>
    <row r="626" spans="1:7" s="1" customFormat="1" ht="15.75" customHeight="1" x14ac:dyDescent="0.25">
      <c r="B626" s="3"/>
      <c r="C626" s="80" t="s">
        <v>2421</v>
      </c>
      <c r="D626" s="80"/>
      <c r="E626" s="51"/>
      <c r="F626" s="2"/>
      <c r="G626" s="71"/>
    </row>
    <row r="627" spans="1:7" s="1" customFormat="1" ht="15.75" customHeight="1" x14ac:dyDescent="0.25">
      <c r="B627" s="3"/>
      <c r="C627" s="80" t="s">
        <v>2422</v>
      </c>
      <c r="D627" s="80"/>
      <c r="E627" s="51"/>
      <c r="F627" s="2"/>
      <c r="G627" s="71"/>
    </row>
    <row r="628" spans="1:7" s="1" customFormat="1" ht="15.75" customHeight="1" x14ac:dyDescent="0.25">
      <c r="B628" s="3"/>
      <c r="C628" s="80"/>
      <c r="D628" s="80"/>
      <c r="E628" s="51"/>
      <c r="F628" s="2"/>
      <c r="G628" s="71"/>
    </row>
    <row r="629" spans="1:7" ht="15.75" customHeight="1" x14ac:dyDescent="0.25">
      <c r="A629" s="1"/>
      <c r="B629" s="3"/>
      <c r="C629" s="60" t="s">
        <v>1974</v>
      </c>
      <c r="D629" s="59"/>
      <c r="E629" s="51"/>
    </row>
    <row r="630" spans="1:7" ht="15.75" customHeight="1" x14ac:dyDescent="0.25">
      <c r="A630" s="1"/>
      <c r="B630" s="3"/>
      <c r="C630" s="28" t="s">
        <v>1978</v>
      </c>
      <c r="D630" s="58"/>
      <c r="E630" s="51"/>
    </row>
  </sheetData>
  <mergeCells count="2">
    <mergeCell ref="C1:D1"/>
    <mergeCell ref="C2:D2"/>
  </mergeCells>
  <conditionalFormatting sqref="D629:D630">
    <cfRule type="cellIs" dxfId="0" priority="3" stopIfTrue="1" operator="notBetween">
      <formula>0</formula>
      <formula>3</formula>
    </cfRule>
  </conditionalFormatting>
  <printOptions horizontalCentered="1"/>
  <pageMargins left="0.98425196850393704" right="0.98425196850393704" top="0.98425196850393704" bottom="0.98425196850393704" header="0.51181102362204722" footer="0.51181102362204722"/>
  <pageSetup firstPageNumber="78" orientation="portrait" useFirstPageNumber="1" r:id="rId1"/>
  <headerFooter differentOddEven="1">
    <oddHeader>&amp;L&amp;"Arial,Bold Italic"&amp;10Negros Oriental&amp;R&amp;"Arial,Bold Italic"&amp;10 2020 Census of Population and Housing</oddHeader>
    <oddFooter>&amp;L&amp;"Arial,Bold"&amp;10&amp;P&amp;R&amp;"Arial,Bold Italic"&amp;10Philippine Statistics Authority</oddFooter>
    <evenHeader>&amp;L&amp;"Arial,Bold Italic"&amp;10 2020 Census of Population and Housing&amp;R&amp;"Arial,Bold Italic"&amp;10Negros Oriental</evenHeader>
    <evenFooter>&amp;L&amp;"Arial,Bold Italic"&amp;10Philippine Statistics Authority&amp;R&amp;"Arial,Bold"&amp;10&amp;P</evenFooter>
  </headerFooter>
  <rowBreaks count="1" manualBreakCount="1">
    <brk id="42" min="2" max="3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58"/>
  <sheetViews>
    <sheetView view="pageBreakPreview" zoomScaleSheetLayoutView="100" workbookViewId="0">
      <selection activeCell="B1" sqref="A1:B1048576"/>
    </sheetView>
  </sheetViews>
  <sheetFormatPr defaultRowHeight="15.75" customHeight="1" x14ac:dyDescent="0.25"/>
  <cols>
    <col min="1" max="2" width="9.140625" style="2"/>
    <col min="3" max="3" width="56.7109375" style="2" customWidth="1"/>
    <col min="4" max="4" width="19.7109375" style="2" customWidth="1"/>
    <col min="5" max="5" width="9.140625" style="18"/>
    <col min="6" max="6" width="17.42578125" style="2" bestFit="1" customWidth="1"/>
    <col min="7" max="7" width="26.42578125" style="71" bestFit="1" customWidth="1"/>
    <col min="8" max="16384" width="9.140625" style="2"/>
  </cols>
  <sheetData>
    <row r="1" spans="1:7" s="1" customFormat="1" ht="15.75" customHeight="1" x14ac:dyDescent="0.25">
      <c r="C1" s="83" t="s">
        <v>1979</v>
      </c>
      <c r="D1" s="83"/>
      <c r="G1" s="70"/>
    </row>
    <row r="2" spans="1:7" s="1" customFormat="1" ht="15.75" customHeight="1" x14ac:dyDescent="0.25">
      <c r="C2" s="83" t="s">
        <v>1980</v>
      </c>
      <c r="D2" s="83"/>
      <c r="E2" s="16"/>
      <c r="G2" s="70"/>
    </row>
    <row r="3" spans="1:7" s="1" customFormat="1" ht="15.75" customHeight="1" thickBot="1" x14ac:dyDescent="0.3">
      <c r="E3" s="16"/>
      <c r="G3" s="70"/>
    </row>
    <row r="4" spans="1:7" s="1" customFormat="1" ht="15.75" customHeight="1" thickTop="1" x14ac:dyDescent="0.25">
      <c r="C4" s="49" t="s">
        <v>1972</v>
      </c>
      <c r="D4" s="76" t="s">
        <v>1977</v>
      </c>
      <c r="E4" s="16"/>
      <c r="G4" s="70"/>
    </row>
    <row r="5" spans="1:7" s="1" customFormat="1" ht="15.75" customHeight="1" thickBot="1" x14ac:dyDescent="0.3">
      <c r="C5" s="50" t="s">
        <v>0</v>
      </c>
      <c r="D5" s="77" t="s">
        <v>1</v>
      </c>
      <c r="E5" s="16"/>
      <c r="G5" s="70"/>
    </row>
    <row r="6" spans="1:7" s="1" customFormat="1" ht="15.75" customHeight="1" thickTop="1" x14ac:dyDescent="0.25">
      <c r="E6" s="16"/>
      <c r="G6" s="70"/>
    </row>
    <row r="7" spans="1:7" s="9" customFormat="1" ht="15.75" customHeight="1" x14ac:dyDescent="0.25">
      <c r="A7" s="1"/>
      <c r="B7" s="3"/>
      <c r="C7" s="67" t="s">
        <v>1840</v>
      </c>
      <c r="D7" s="44">
        <f>D9+D25+D50+D70+D94+D111</f>
        <v>103395</v>
      </c>
      <c r="E7" s="51"/>
      <c r="F7" s="52"/>
      <c r="G7" s="52"/>
    </row>
    <row r="8" spans="1:7" s="9" customFormat="1" ht="15.75" customHeight="1" x14ac:dyDescent="0.25">
      <c r="A8" s="1"/>
      <c r="B8" s="3"/>
      <c r="C8" s="67"/>
      <c r="D8" s="48"/>
      <c r="E8" s="51"/>
      <c r="F8" s="52"/>
      <c r="G8" s="52"/>
    </row>
    <row r="9" spans="1:7" s="9" customFormat="1" ht="15.75" customHeight="1" x14ac:dyDescent="0.25">
      <c r="A9" s="1"/>
      <c r="B9" s="3"/>
      <c r="C9" s="67" t="s">
        <v>1841</v>
      </c>
      <c r="D9" s="44">
        <f>SUM(D10:D23)</f>
        <v>6790</v>
      </c>
      <c r="E9" s="51"/>
      <c r="F9" s="52"/>
      <c r="G9" s="52"/>
    </row>
    <row r="10" spans="1:7" s="9" customFormat="1" ht="15.75" customHeight="1" x14ac:dyDescent="0.25">
      <c r="A10" s="1"/>
      <c r="B10" s="3"/>
      <c r="C10" s="68" t="s">
        <v>1842</v>
      </c>
      <c r="D10" s="45">
        <v>145</v>
      </c>
      <c r="E10" s="51"/>
      <c r="F10" s="52"/>
      <c r="G10" s="52"/>
    </row>
    <row r="11" spans="1:7" s="9" customFormat="1" ht="15.75" customHeight="1" x14ac:dyDescent="0.25">
      <c r="A11" s="1"/>
      <c r="B11" s="3"/>
      <c r="C11" s="68" t="s">
        <v>1843</v>
      </c>
      <c r="D11" s="45">
        <v>498</v>
      </c>
      <c r="E11" s="51"/>
      <c r="F11" s="52"/>
      <c r="G11" s="52"/>
    </row>
    <row r="12" spans="1:7" s="9" customFormat="1" ht="15.75" customHeight="1" x14ac:dyDescent="0.25">
      <c r="A12" s="1"/>
      <c r="B12" s="3"/>
      <c r="C12" s="68" t="s">
        <v>1844</v>
      </c>
      <c r="D12" s="45">
        <v>1012</v>
      </c>
      <c r="E12" s="51"/>
      <c r="F12" s="52"/>
      <c r="G12" s="52"/>
    </row>
    <row r="13" spans="1:7" s="9" customFormat="1" ht="15.75" customHeight="1" x14ac:dyDescent="0.25">
      <c r="A13" s="1"/>
      <c r="B13" s="3"/>
      <c r="C13" s="68" t="s">
        <v>1845</v>
      </c>
      <c r="D13" s="45">
        <v>202</v>
      </c>
      <c r="E13" s="51"/>
      <c r="F13" s="52"/>
      <c r="G13" s="52"/>
    </row>
    <row r="14" spans="1:7" s="10" customFormat="1" ht="15.75" customHeight="1" x14ac:dyDescent="0.25">
      <c r="A14" s="1"/>
      <c r="B14" s="3"/>
      <c r="C14" s="68" t="s">
        <v>1846</v>
      </c>
      <c r="D14" s="45">
        <v>352</v>
      </c>
      <c r="E14" s="51"/>
      <c r="F14" s="52"/>
      <c r="G14" s="52"/>
    </row>
    <row r="15" spans="1:7" s="10" customFormat="1" ht="15.75" customHeight="1" x14ac:dyDescent="0.25">
      <c r="A15" s="1"/>
      <c r="B15" s="3"/>
      <c r="C15" s="68" t="s">
        <v>1847</v>
      </c>
      <c r="D15" s="45">
        <v>449</v>
      </c>
      <c r="E15" s="51"/>
      <c r="F15" s="52"/>
      <c r="G15" s="52"/>
    </row>
    <row r="16" spans="1:7" s="10" customFormat="1" ht="15.75" customHeight="1" x14ac:dyDescent="0.25">
      <c r="A16" s="1"/>
      <c r="B16" s="3"/>
      <c r="C16" s="68" t="s">
        <v>1622</v>
      </c>
      <c r="D16" s="45">
        <v>938</v>
      </c>
      <c r="E16" s="51"/>
      <c r="F16" s="52"/>
      <c r="G16" s="52"/>
    </row>
    <row r="17" spans="1:7" s="10" customFormat="1" ht="15.75" customHeight="1" x14ac:dyDescent="0.25">
      <c r="A17" s="1"/>
      <c r="B17" s="3"/>
      <c r="C17" s="68" t="s">
        <v>1848</v>
      </c>
      <c r="D17" s="45">
        <v>744</v>
      </c>
      <c r="E17" s="51"/>
      <c r="F17" s="52"/>
      <c r="G17" s="52"/>
    </row>
    <row r="18" spans="1:7" s="10" customFormat="1" ht="15.75" customHeight="1" x14ac:dyDescent="0.25">
      <c r="A18" s="1"/>
      <c r="B18" s="3"/>
      <c r="C18" s="68" t="s">
        <v>1849</v>
      </c>
      <c r="D18" s="45">
        <v>492</v>
      </c>
      <c r="E18" s="51"/>
      <c r="F18" s="52"/>
      <c r="G18" s="52"/>
    </row>
    <row r="19" spans="1:7" s="10" customFormat="1" ht="15.75" customHeight="1" x14ac:dyDescent="0.25">
      <c r="A19" s="1"/>
      <c r="B19" s="3"/>
      <c r="C19" s="68" t="s">
        <v>1850</v>
      </c>
      <c r="D19" s="45">
        <v>180</v>
      </c>
      <c r="E19" s="51"/>
      <c r="F19" s="52"/>
      <c r="G19" s="52"/>
    </row>
    <row r="20" spans="1:7" s="10" customFormat="1" ht="15.75" customHeight="1" x14ac:dyDescent="0.25">
      <c r="A20" s="1"/>
      <c r="B20" s="3"/>
      <c r="C20" s="68" t="s">
        <v>1851</v>
      </c>
      <c r="D20" s="45">
        <v>208</v>
      </c>
      <c r="E20" s="51"/>
      <c r="F20" s="52"/>
      <c r="G20" s="52"/>
    </row>
    <row r="21" spans="1:7" s="10" customFormat="1" ht="15.75" customHeight="1" x14ac:dyDescent="0.25">
      <c r="A21" s="1"/>
      <c r="B21" s="3"/>
      <c r="C21" s="68" t="s">
        <v>169</v>
      </c>
      <c r="D21" s="45">
        <v>206</v>
      </c>
      <c r="E21" s="51"/>
      <c r="F21" s="52"/>
      <c r="G21" s="52"/>
    </row>
    <row r="22" spans="1:7" s="10" customFormat="1" ht="15.75" customHeight="1" x14ac:dyDescent="0.25">
      <c r="A22" s="1"/>
      <c r="B22" s="3"/>
      <c r="C22" s="68" t="s">
        <v>2</v>
      </c>
      <c r="D22" s="45">
        <v>530</v>
      </c>
      <c r="E22" s="51"/>
      <c r="F22" s="52"/>
      <c r="G22" s="52"/>
    </row>
    <row r="23" spans="1:7" s="10" customFormat="1" ht="15.75" customHeight="1" x14ac:dyDescent="0.25">
      <c r="A23" s="1"/>
      <c r="B23" s="3"/>
      <c r="C23" s="68" t="s">
        <v>1852</v>
      </c>
      <c r="D23" s="45">
        <v>834</v>
      </c>
      <c r="E23" s="51"/>
      <c r="F23" s="52"/>
      <c r="G23" s="52"/>
    </row>
    <row r="24" spans="1:7" s="10" customFormat="1" ht="15.75" customHeight="1" x14ac:dyDescent="0.25">
      <c r="A24" s="1"/>
      <c r="B24" s="3"/>
      <c r="C24" s="68"/>
      <c r="D24" s="46"/>
      <c r="E24" s="51"/>
      <c r="F24" s="52"/>
      <c r="G24" s="52"/>
    </row>
    <row r="25" spans="1:7" s="10" customFormat="1" ht="15.75" customHeight="1" x14ac:dyDescent="0.25">
      <c r="A25" s="1"/>
      <c r="B25" s="3"/>
      <c r="C25" s="67" t="s">
        <v>1853</v>
      </c>
      <c r="D25" s="57">
        <f>SUM(D26:D48)</f>
        <v>14454</v>
      </c>
      <c r="E25" s="51"/>
      <c r="F25" s="52"/>
      <c r="G25" s="52"/>
    </row>
    <row r="26" spans="1:7" s="10" customFormat="1" ht="15.75" customHeight="1" x14ac:dyDescent="0.25">
      <c r="A26" s="1"/>
      <c r="B26" s="3"/>
      <c r="C26" s="68" t="s">
        <v>42</v>
      </c>
      <c r="D26" s="45">
        <v>593</v>
      </c>
      <c r="E26" s="51"/>
      <c r="F26" s="52"/>
      <c r="G26" s="52"/>
    </row>
    <row r="27" spans="1:7" s="10" customFormat="1" ht="15.75" customHeight="1" x14ac:dyDescent="0.25">
      <c r="A27" s="1"/>
      <c r="B27" s="3"/>
      <c r="C27" s="68" t="s">
        <v>1854</v>
      </c>
      <c r="D27" s="45">
        <v>343</v>
      </c>
      <c r="E27" s="51"/>
      <c r="F27" s="52"/>
      <c r="G27" s="52"/>
    </row>
    <row r="28" spans="1:7" s="10" customFormat="1" ht="15.75" customHeight="1" x14ac:dyDescent="0.25">
      <c r="A28" s="1"/>
      <c r="B28" s="3"/>
      <c r="C28" s="68" t="s">
        <v>750</v>
      </c>
      <c r="D28" s="45">
        <v>1022</v>
      </c>
      <c r="E28" s="51"/>
      <c r="F28" s="52"/>
      <c r="G28" s="52"/>
    </row>
    <row r="29" spans="1:7" s="10" customFormat="1" ht="15.75" customHeight="1" x14ac:dyDescent="0.25">
      <c r="A29" s="1"/>
      <c r="B29" s="3"/>
      <c r="C29" s="68" t="s">
        <v>1855</v>
      </c>
      <c r="D29" s="45">
        <v>350</v>
      </c>
      <c r="E29" s="51"/>
      <c r="F29" s="52"/>
      <c r="G29" s="52"/>
    </row>
    <row r="30" spans="1:7" s="10" customFormat="1" ht="15.75" customHeight="1" x14ac:dyDescent="0.25">
      <c r="A30" s="1"/>
      <c r="B30" s="3"/>
      <c r="C30" s="68" t="s">
        <v>1856</v>
      </c>
      <c r="D30" s="45">
        <v>571</v>
      </c>
      <c r="E30" s="51"/>
      <c r="F30" s="52"/>
      <c r="G30" s="52"/>
    </row>
    <row r="31" spans="1:7" s="10" customFormat="1" ht="15.75" customHeight="1" x14ac:dyDescent="0.25">
      <c r="A31" s="1"/>
      <c r="B31" s="3"/>
      <c r="C31" s="68" t="s">
        <v>129</v>
      </c>
      <c r="D31" s="45">
        <v>318</v>
      </c>
      <c r="E31" s="51"/>
      <c r="F31" s="52"/>
      <c r="G31" s="52"/>
    </row>
    <row r="32" spans="1:7" s="11" customFormat="1" ht="15.75" customHeight="1" x14ac:dyDescent="0.25">
      <c r="A32" s="1"/>
      <c r="B32" s="3"/>
      <c r="C32" s="68" t="s">
        <v>399</v>
      </c>
      <c r="D32" s="45">
        <v>401</v>
      </c>
      <c r="E32" s="51"/>
      <c r="F32" s="52"/>
      <c r="G32" s="52"/>
    </row>
    <row r="33" spans="1:7" s="11" customFormat="1" ht="15.75" customHeight="1" x14ac:dyDescent="0.25">
      <c r="A33" s="1"/>
      <c r="B33" s="3"/>
      <c r="C33" s="68" t="s">
        <v>1857</v>
      </c>
      <c r="D33" s="45">
        <v>426</v>
      </c>
      <c r="E33" s="51"/>
      <c r="F33" s="52"/>
      <c r="G33" s="52"/>
    </row>
    <row r="34" spans="1:7" s="9" customFormat="1" ht="15.75" customHeight="1" x14ac:dyDescent="0.25">
      <c r="A34" s="1"/>
      <c r="B34" s="3"/>
      <c r="C34" s="68" t="s">
        <v>1858</v>
      </c>
      <c r="D34" s="45">
        <v>386</v>
      </c>
      <c r="E34" s="51"/>
      <c r="F34" s="52"/>
      <c r="G34" s="52"/>
    </row>
    <row r="35" spans="1:7" s="12" customFormat="1" ht="15.75" customHeight="1" x14ac:dyDescent="0.25">
      <c r="A35" s="1"/>
      <c r="B35" s="3"/>
      <c r="C35" s="68" t="s">
        <v>1859</v>
      </c>
      <c r="D35" s="45">
        <v>454</v>
      </c>
      <c r="E35" s="51"/>
      <c r="F35" s="52"/>
      <c r="G35" s="52"/>
    </row>
    <row r="36" spans="1:7" s="10" customFormat="1" ht="15.75" customHeight="1" x14ac:dyDescent="0.25">
      <c r="A36" s="1"/>
      <c r="B36" s="3"/>
      <c r="C36" s="68" t="s">
        <v>1860</v>
      </c>
      <c r="D36" s="45">
        <v>1039</v>
      </c>
      <c r="E36" s="51"/>
      <c r="F36" s="52"/>
      <c r="G36" s="52"/>
    </row>
    <row r="37" spans="1:7" s="10" customFormat="1" ht="15.75" customHeight="1" x14ac:dyDescent="0.25">
      <c r="A37" s="1"/>
      <c r="B37" s="3"/>
      <c r="C37" s="68" t="s">
        <v>1861</v>
      </c>
      <c r="D37" s="45">
        <v>465</v>
      </c>
      <c r="E37" s="51"/>
      <c r="F37" s="52"/>
      <c r="G37" s="52"/>
    </row>
    <row r="38" spans="1:7" s="10" customFormat="1" ht="15.75" customHeight="1" x14ac:dyDescent="0.25">
      <c r="A38" s="1"/>
      <c r="B38" s="3"/>
      <c r="C38" s="68" t="s">
        <v>1862</v>
      </c>
      <c r="D38" s="45">
        <v>779</v>
      </c>
      <c r="E38" s="51"/>
      <c r="F38" s="52"/>
      <c r="G38" s="52"/>
    </row>
    <row r="39" spans="1:7" s="10" customFormat="1" ht="15.75" customHeight="1" x14ac:dyDescent="0.25">
      <c r="A39" s="1"/>
      <c r="B39" s="3"/>
      <c r="C39" s="68" t="s">
        <v>1863</v>
      </c>
      <c r="D39" s="45">
        <v>329</v>
      </c>
      <c r="E39" s="51"/>
      <c r="F39" s="52"/>
      <c r="G39" s="52"/>
    </row>
    <row r="40" spans="1:7" s="10" customFormat="1" ht="15.75" customHeight="1" x14ac:dyDescent="0.25">
      <c r="A40" s="1"/>
      <c r="B40" s="3"/>
      <c r="C40" s="68" t="s">
        <v>1864</v>
      </c>
      <c r="D40" s="45">
        <v>545</v>
      </c>
      <c r="E40" s="51"/>
      <c r="F40" s="52"/>
      <c r="G40" s="52"/>
    </row>
    <row r="41" spans="1:7" s="10" customFormat="1" ht="15.75" customHeight="1" x14ac:dyDescent="0.25">
      <c r="A41" s="1"/>
      <c r="B41" s="3"/>
      <c r="C41" s="68" t="s">
        <v>1865</v>
      </c>
      <c r="D41" s="45">
        <v>1348</v>
      </c>
      <c r="E41" s="51"/>
      <c r="F41" s="52"/>
      <c r="G41" s="52"/>
    </row>
    <row r="42" spans="1:7" s="10" customFormat="1" ht="15.75" customHeight="1" x14ac:dyDescent="0.25">
      <c r="A42" s="1"/>
      <c r="B42" s="3"/>
      <c r="C42" s="68" t="s">
        <v>1866</v>
      </c>
      <c r="D42" s="45">
        <v>1176</v>
      </c>
      <c r="E42" s="51"/>
      <c r="F42" s="52"/>
      <c r="G42" s="52"/>
    </row>
    <row r="43" spans="1:7" s="10" customFormat="1" ht="15.75" customHeight="1" x14ac:dyDescent="0.25">
      <c r="A43" s="1"/>
      <c r="B43" s="3"/>
      <c r="C43" s="68" t="s">
        <v>1499</v>
      </c>
      <c r="D43" s="45">
        <v>861</v>
      </c>
      <c r="E43" s="51"/>
      <c r="F43" s="52"/>
      <c r="G43" s="52"/>
    </row>
    <row r="44" spans="1:7" s="10" customFormat="1" ht="15.75" customHeight="1" x14ac:dyDescent="0.25">
      <c r="A44" s="1"/>
      <c r="B44" s="3"/>
      <c r="C44" s="68" t="s">
        <v>1500</v>
      </c>
      <c r="D44" s="45">
        <v>827</v>
      </c>
      <c r="E44" s="51"/>
      <c r="F44" s="52"/>
      <c r="G44" s="52"/>
    </row>
    <row r="45" spans="1:7" s="10" customFormat="1" ht="15.75" customHeight="1" x14ac:dyDescent="0.25">
      <c r="A45" s="1"/>
      <c r="B45" s="3"/>
      <c r="C45" s="68" t="s">
        <v>257</v>
      </c>
      <c r="D45" s="45">
        <v>302</v>
      </c>
      <c r="E45" s="51"/>
      <c r="F45" s="52"/>
      <c r="G45" s="52"/>
    </row>
    <row r="46" spans="1:7" s="10" customFormat="1" ht="15.75" customHeight="1" x14ac:dyDescent="0.25">
      <c r="A46" s="1"/>
      <c r="B46" s="3"/>
      <c r="C46" s="68" t="s">
        <v>32</v>
      </c>
      <c r="D46" s="45">
        <v>451</v>
      </c>
      <c r="E46" s="51"/>
      <c r="F46" s="52"/>
      <c r="G46" s="52"/>
    </row>
    <row r="47" spans="1:7" s="10" customFormat="1" ht="15.75" customHeight="1" x14ac:dyDescent="0.25">
      <c r="A47" s="1"/>
      <c r="B47" s="3"/>
      <c r="C47" s="68" t="s">
        <v>1867</v>
      </c>
      <c r="D47" s="45">
        <v>1077</v>
      </c>
      <c r="E47" s="51"/>
      <c r="F47" s="52"/>
      <c r="G47" s="52"/>
    </row>
    <row r="48" spans="1:7" s="11" customFormat="1" ht="15.75" customHeight="1" x14ac:dyDescent="0.25">
      <c r="A48" s="1"/>
      <c r="B48" s="3"/>
      <c r="C48" s="68" t="s">
        <v>248</v>
      </c>
      <c r="D48" s="45">
        <v>391</v>
      </c>
      <c r="E48" s="51"/>
      <c r="F48" s="52"/>
      <c r="G48" s="52"/>
    </row>
    <row r="49" spans="1:7" s="11" customFormat="1" ht="15.75" customHeight="1" x14ac:dyDescent="0.25">
      <c r="A49" s="1"/>
      <c r="B49" s="3"/>
      <c r="C49" s="68"/>
      <c r="D49" s="45"/>
      <c r="E49" s="51"/>
      <c r="F49" s="52"/>
      <c r="G49" s="52"/>
    </row>
    <row r="50" spans="1:7" s="9" customFormat="1" ht="15.75" customHeight="1" x14ac:dyDescent="0.25">
      <c r="A50" s="1"/>
      <c r="B50" s="3"/>
      <c r="C50" s="67" t="s">
        <v>1868</v>
      </c>
      <c r="D50" s="44">
        <f>SUM(D51:D68)</f>
        <v>22488</v>
      </c>
      <c r="E50" s="51"/>
      <c r="F50" s="52"/>
      <c r="G50" s="52"/>
    </row>
    <row r="51" spans="1:7" s="10" customFormat="1" ht="15.75" customHeight="1" x14ac:dyDescent="0.25">
      <c r="A51" s="1"/>
      <c r="B51" s="3"/>
      <c r="C51" s="68" t="s">
        <v>1869</v>
      </c>
      <c r="D51" s="45">
        <v>2215</v>
      </c>
      <c r="E51" s="51"/>
      <c r="F51" s="52"/>
      <c r="G51" s="52"/>
    </row>
    <row r="52" spans="1:7" s="10" customFormat="1" ht="15.75" customHeight="1" x14ac:dyDescent="0.25">
      <c r="A52" s="1"/>
      <c r="B52" s="3"/>
      <c r="C52" s="68" t="s">
        <v>1870</v>
      </c>
      <c r="D52" s="45">
        <v>598</v>
      </c>
      <c r="E52" s="51"/>
      <c r="F52" s="52"/>
      <c r="G52" s="52"/>
    </row>
    <row r="53" spans="1:7" s="10" customFormat="1" ht="15.75" customHeight="1" x14ac:dyDescent="0.25">
      <c r="A53" s="1"/>
      <c r="B53" s="3"/>
      <c r="C53" s="68" t="s">
        <v>1871</v>
      </c>
      <c r="D53" s="45">
        <v>1130</v>
      </c>
      <c r="E53" s="51"/>
      <c r="F53" s="52"/>
      <c r="G53" s="52"/>
    </row>
    <row r="54" spans="1:7" s="10" customFormat="1" ht="15.75" customHeight="1" x14ac:dyDescent="0.25">
      <c r="A54" s="1"/>
      <c r="B54" s="3"/>
      <c r="C54" s="68" t="s">
        <v>1872</v>
      </c>
      <c r="D54" s="45">
        <v>1286</v>
      </c>
      <c r="E54" s="51"/>
      <c r="F54" s="52"/>
      <c r="G54" s="52"/>
    </row>
    <row r="55" spans="1:7" s="10" customFormat="1" ht="15.75" customHeight="1" x14ac:dyDescent="0.25">
      <c r="A55" s="1"/>
      <c r="B55" s="3"/>
      <c r="C55" s="68" t="s">
        <v>1873</v>
      </c>
      <c r="D55" s="45">
        <v>1809</v>
      </c>
      <c r="E55" s="51"/>
      <c r="F55" s="52"/>
      <c r="G55" s="52"/>
    </row>
    <row r="56" spans="1:7" s="10" customFormat="1" ht="15.75" customHeight="1" x14ac:dyDescent="0.25">
      <c r="A56" s="1"/>
      <c r="B56" s="3"/>
      <c r="C56" s="68" t="s">
        <v>1874</v>
      </c>
      <c r="D56" s="45">
        <v>2097</v>
      </c>
      <c r="E56" s="51"/>
      <c r="F56" s="52"/>
      <c r="G56" s="52"/>
    </row>
    <row r="57" spans="1:7" s="10" customFormat="1" ht="15.75" customHeight="1" x14ac:dyDescent="0.25">
      <c r="A57" s="1"/>
      <c r="B57" s="3"/>
      <c r="C57" s="68" t="s">
        <v>1875</v>
      </c>
      <c r="D57" s="45">
        <v>828</v>
      </c>
      <c r="E57" s="51"/>
      <c r="F57" s="52"/>
      <c r="G57" s="52"/>
    </row>
    <row r="58" spans="1:7" s="10" customFormat="1" ht="15.75" customHeight="1" x14ac:dyDescent="0.25">
      <c r="A58" s="1"/>
      <c r="B58" s="3"/>
      <c r="C58" s="68" t="s">
        <v>1876</v>
      </c>
      <c r="D58" s="45">
        <v>1039</v>
      </c>
      <c r="E58" s="51"/>
      <c r="F58" s="52"/>
      <c r="G58" s="52"/>
    </row>
    <row r="59" spans="1:7" s="10" customFormat="1" ht="15.75" customHeight="1" x14ac:dyDescent="0.25">
      <c r="A59" s="1"/>
      <c r="B59" s="3"/>
      <c r="C59" s="68" t="s">
        <v>1877</v>
      </c>
      <c r="D59" s="45">
        <v>1053</v>
      </c>
      <c r="E59" s="51"/>
      <c r="F59" s="52"/>
      <c r="G59" s="52"/>
    </row>
    <row r="60" spans="1:7" s="10" customFormat="1" ht="15.75" customHeight="1" x14ac:dyDescent="0.25">
      <c r="A60" s="1"/>
      <c r="B60" s="3"/>
      <c r="C60" s="68" t="s">
        <v>1878</v>
      </c>
      <c r="D60" s="45">
        <v>1562</v>
      </c>
      <c r="E60" s="51"/>
      <c r="F60" s="52"/>
      <c r="G60" s="52"/>
    </row>
    <row r="61" spans="1:7" s="10" customFormat="1" ht="15.75" customHeight="1" x14ac:dyDescent="0.25">
      <c r="A61" s="1"/>
      <c r="B61" s="3"/>
      <c r="C61" s="68" t="s">
        <v>1879</v>
      </c>
      <c r="D61" s="45">
        <v>746</v>
      </c>
      <c r="E61" s="51"/>
      <c r="F61" s="52"/>
      <c r="G61" s="52"/>
    </row>
    <row r="62" spans="1:7" s="10" customFormat="1" ht="15.75" customHeight="1" x14ac:dyDescent="0.25">
      <c r="A62" s="1"/>
      <c r="B62" s="3"/>
      <c r="C62" s="68" t="s">
        <v>1880</v>
      </c>
      <c r="D62" s="45">
        <v>2120</v>
      </c>
      <c r="E62" s="51"/>
      <c r="F62" s="52"/>
      <c r="G62" s="52"/>
    </row>
    <row r="63" spans="1:7" s="10" customFormat="1" ht="15.75" customHeight="1" x14ac:dyDescent="0.25">
      <c r="A63" s="1"/>
      <c r="B63" s="3"/>
      <c r="C63" s="68" t="s">
        <v>1881</v>
      </c>
      <c r="D63" s="45">
        <v>930</v>
      </c>
      <c r="E63" s="51"/>
      <c r="F63" s="52"/>
      <c r="G63" s="52"/>
    </row>
    <row r="64" spans="1:7" s="10" customFormat="1" ht="15.75" customHeight="1" x14ac:dyDescent="0.25">
      <c r="A64" s="1"/>
      <c r="B64" s="3"/>
      <c r="C64" s="68" t="s">
        <v>1133</v>
      </c>
      <c r="D64" s="45">
        <v>661</v>
      </c>
      <c r="E64" s="51"/>
      <c r="F64" s="52"/>
      <c r="G64" s="52"/>
    </row>
    <row r="65" spans="1:7" s="10" customFormat="1" ht="15.75" customHeight="1" x14ac:dyDescent="0.25">
      <c r="A65" s="1"/>
      <c r="B65" s="3"/>
      <c r="C65" s="68" t="s">
        <v>1882</v>
      </c>
      <c r="D65" s="45">
        <v>1642</v>
      </c>
      <c r="E65" s="51"/>
      <c r="F65" s="52"/>
      <c r="G65" s="52"/>
    </row>
    <row r="66" spans="1:7" s="10" customFormat="1" ht="15.75" customHeight="1" x14ac:dyDescent="0.25">
      <c r="A66" s="1"/>
      <c r="B66" s="3"/>
      <c r="C66" s="68" t="s">
        <v>1883</v>
      </c>
      <c r="D66" s="45">
        <v>957</v>
      </c>
      <c r="E66" s="51"/>
      <c r="F66" s="52"/>
      <c r="G66" s="52"/>
    </row>
    <row r="67" spans="1:7" s="10" customFormat="1" ht="15.75" customHeight="1" x14ac:dyDescent="0.25">
      <c r="A67" s="1"/>
      <c r="B67" s="3"/>
      <c r="C67" s="68" t="s">
        <v>1884</v>
      </c>
      <c r="D67" s="45">
        <v>770</v>
      </c>
      <c r="E67" s="51"/>
      <c r="F67" s="52"/>
      <c r="G67" s="52"/>
    </row>
    <row r="68" spans="1:7" s="10" customFormat="1" ht="15.75" customHeight="1" x14ac:dyDescent="0.25">
      <c r="A68" s="1"/>
      <c r="B68" s="3"/>
      <c r="C68" s="68" t="s">
        <v>1885</v>
      </c>
      <c r="D68" s="45">
        <v>1045</v>
      </c>
      <c r="E68" s="51"/>
      <c r="F68" s="52"/>
      <c r="G68" s="52"/>
    </row>
    <row r="69" spans="1:7" s="10" customFormat="1" ht="15.75" customHeight="1" x14ac:dyDescent="0.25">
      <c r="A69" s="1"/>
      <c r="B69" s="3"/>
      <c r="C69" s="68"/>
      <c r="D69" s="46"/>
      <c r="E69" s="51"/>
      <c r="F69" s="52"/>
      <c r="G69" s="52"/>
    </row>
    <row r="70" spans="1:7" s="10" customFormat="1" ht="15.75" customHeight="1" x14ac:dyDescent="0.25">
      <c r="A70" s="1"/>
      <c r="B70" s="3"/>
      <c r="C70" s="67" t="s">
        <v>1886</v>
      </c>
      <c r="D70" s="57">
        <f>SUM(D71:D92)</f>
        <v>14385</v>
      </c>
      <c r="E70" s="51"/>
      <c r="F70" s="52"/>
      <c r="G70" s="52"/>
    </row>
    <row r="71" spans="1:7" s="10" customFormat="1" ht="15.75" customHeight="1" x14ac:dyDescent="0.25">
      <c r="A71" s="1"/>
      <c r="B71" s="3"/>
      <c r="C71" s="68" t="s">
        <v>845</v>
      </c>
      <c r="D71" s="45">
        <v>851</v>
      </c>
      <c r="E71" s="51"/>
      <c r="F71" s="52"/>
      <c r="G71" s="52"/>
    </row>
    <row r="72" spans="1:7" s="10" customFormat="1" ht="15.75" customHeight="1" x14ac:dyDescent="0.25">
      <c r="A72" s="1"/>
      <c r="B72" s="3"/>
      <c r="C72" s="68" t="s">
        <v>58</v>
      </c>
      <c r="D72" s="45">
        <v>555</v>
      </c>
      <c r="E72" s="51"/>
      <c r="F72" s="52"/>
      <c r="G72" s="52"/>
    </row>
    <row r="73" spans="1:7" s="10" customFormat="1" ht="15.75" customHeight="1" x14ac:dyDescent="0.25">
      <c r="A73" s="1"/>
      <c r="B73" s="3"/>
      <c r="C73" s="68" t="s">
        <v>1887</v>
      </c>
      <c r="D73" s="45">
        <v>389</v>
      </c>
      <c r="E73" s="51"/>
      <c r="F73" s="52"/>
      <c r="G73" s="52"/>
    </row>
    <row r="74" spans="1:7" s="10" customFormat="1" ht="15.75" customHeight="1" x14ac:dyDescent="0.25">
      <c r="A74" s="1"/>
      <c r="B74" s="3"/>
      <c r="C74" s="68" t="s">
        <v>399</v>
      </c>
      <c r="D74" s="45">
        <v>643</v>
      </c>
      <c r="E74" s="51"/>
      <c r="F74" s="52"/>
      <c r="G74" s="52"/>
    </row>
    <row r="75" spans="1:7" s="12" customFormat="1" ht="15.75" customHeight="1" x14ac:dyDescent="0.25">
      <c r="A75" s="1"/>
      <c r="B75" s="3"/>
      <c r="C75" s="68" t="s">
        <v>1888</v>
      </c>
      <c r="D75" s="45">
        <v>582</v>
      </c>
      <c r="E75" s="51"/>
      <c r="F75" s="52"/>
      <c r="G75" s="52"/>
    </row>
    <row r="76" spans="1:7" s="10" customFormat="1" ht="15.75" customHeight="1" x14ac:dyDescent="0.25">
      <c r="A76" s="1"/>
      <c r="B76" s="3"/>
      <c r="C76" s="68" t="s">
        <v>1889</v>
      </c>
      <c r="D76" s="45">
        <v>684</v>
      </c>
      <c r="E76" s="51"/>
      <c r="F76" s="52"/>
      <c r="G76" s="52"/>
    </row>
    <row r="77" spans="1:7" s="10" customFormat="1" ht="15.75" customHeight="1" x14ac:dyDescent="0.25">
      <c r="A77" s="1"/>
      <c r="B77" s="3"/>
      <c r="C77" s="68" t="s">
        <v>1890</v>
      </c>
      <c r="D77" s="45">
        <v>462</v>
      </c>
      <c r="E77" s="51"/>
      <c r="F77" s="52"/>
      <c r="G77" s="52"/>
    </row>
    <row r="78" spans="1:7" s="10" customFormat="1" ht="15.75" customHeight="1" x14ac:dyDescent="0.25">
      <c r="A78" s="1"/>
      <c r="B78" s="3"/>
      <c r="C78" s="68" t="s">
        <v>1891</v>
      </c>
      <c r="D78" s="45">
        <v>501</v>
      </c>
      <c r="E78" s="51"/>
      <c r="F78" s="52"/>
      <c r="G78" s="52"/>
    </row>
    <row r="79" spans="1:7" s="10" customFormat="1" ht="15.75" customHeight="1" x14ac:dyDescent="0.25">
      <c r="A79" s="1"/>
      <c r="B79" s="3"/>
      <c r="C79" s="68" t="s">
        <v>1892</v>
      </c>
      <c r="D79" s="45">
        <v>412</v>
      </c>
      <c r="E79" s="51"/>
      <c r="F79" s="52"/>
      <c r="G79" s="52"/>
    </row>
    <row r="80" spans="1:7" s="10" customFormat="1" ht="15.75" customHeight="1" x14ac:dyDescent="0.25">
      <c r="A80" s="1"/>
      <c r="B80" s="3"/>
      <c r="C80" s="68" t="s">
        <v>180</v>
      </c>
      <c r="D80" s="45">
        <v>496</v>
      </c>
      <c r="E80" s="51"/>
      <c r="F80" s="52"/>
      <c r="G80" s="52"/>
    </row>
    <row r="81" spans="1:7" s="10" customFormat="1" ht="15.75" customHeight="1" x14ac:dyDescent="0.25">
      <c r="A81" s="1"/>
      <c r="B81" s="3"/>
      <c r="C81" s="68" t="s">
        <v>131</v>
      </c>
      <c r="D81" s="45">
        <v>1459</v>
      </c>
      <c r="E81" s="51"/>
      <c r="F81" s="52"/>
      <c r="G81" s="52"/>
    </row>
    <row r="82" spans="1:7" s="10" customFormat="1" ht="15.75" customHeight="1" x14ac:dyDescent="0.25">
      <c r="A82" s="1"/>
      <c r="B82" s="3"/>
      <c r="C82" s="68" t="s">
        <v>663</v>
      </c>
      <c r="D82" s="45">
        <v>489</v>
      </c>
      <c r="E82" s="51"/>
      <c r="F82" s="52"/>
      <c r="G82" s="52"/>
    </row>
    <row r="83" spans="1:7" s="10" customFormat="1" ht="15.75" customHeight="1" x14ac:dyDescent="0.25">
      <c r="A83" s="1"/>
      <c r="B83" s="3"/>
      <c r="C83" s="68" t="s">
        <v>1893</v>
      </c>
      <c r="D83" s="45">
        <v>647</v>
      </c>
      <c r="E83" s="51"/>
      <c r="F83" s="52"/>
      <c r="G83" s="52"/>
    </row>
    <row r="84" spans="1:7" s="10" customFormat="1" ht="15.75" customHeight="1" x14ac:dyDescent="0.25">
      <c r="A84" s="1"/>
      <c r="B84" s="3"/>
      <c r="C84" s="68" t="s">
        <v>1894</v>
      </c>
      <c r="D84" s="45">
        <v>843</v>
      </c>
      <c r="E84" s="51"/>
      <c r="F84" s="52"/>
      <c r="G84" s="52"/>
    </row>
    <row r="85" spans="1:7" s="11" customFormat="1" ht="15.75" customHeight="1" x14ac:dyDescent="0.25">
      <c r="A85" s="1"/>
      <c r="B85" s="3"/>
      <c r="C85" s="68" t="s">
        <v>1895</v>
      </c>
      <c r="D85" s="45">
        <v>1000</v>
      </c>
      <c r="E85" s="51"/>
      <c r="F85" s="52"/>
      <c r="G85" s="52"/>
    </row>
    <row r="86" spans="1:7" s="9" customFormat="1" ht="15.75" customHeight="1" x14ac:dyDescent="0.25">
      <c r="A86" s="1"/>
      <c r="B86" s="3"/>
      <c r="C86" s="68" t="s">
        <v>1896</v>
      </c>
      <c r="D86" s="45">
        <v>701</v>
      </c>
      <c r="E86" s="51"/>
      <c r="F86" s="52"/>
      <c r="G86" s="52"/>
    </row>
    <row r="87" spans="1:7" s="10" customFormat="1" ht="15.75" customHeight="1" x14ac:dyDescent="0.25">
      <c r="A87" s="1"/>
      <c r="B87" s="3"/>
      <c r="C87" s="68" t="s">
        <v>1897</v>
      </c>
      <c r="D87" s="45">
        <v>366</v>
      </c>
      <c r="E87" s="51"/>
      <c r="F87" s="52"/>
      <c r="G87" s="52"/>
    </row>
    <row r="88" spans="1:7" s="10" customFormat="1" ht="15.75" customHeight="1" x14ac:dyDescent="0.25">
      <c r="A88" s="1"/>
      <c r="B88" s="3"/>
      <c r="C88" s="68" t="s">
        <v>1898</v>
      </c>
      <c r="D88" s="45">
        <v>249</v>
      </c>
      <c r="E88" s="51"/>
      <c r="F88" s="52"/>
      <c r="G88" s="52"/>
    </row>
    <row r="89" spans="1:7" s="10" customFormat="1" ht="15.75" customHeight="1" x14ac:dyDescent="0.25">
      <c r="A89" s="1"/>
      <c r="B89" s="3"/>
      <c r="C89" s="68" t="s">
        <v>70</v>
      </c>
      <c r="D89" s="45">
        <v>1153</v>
      </c>
      <c r="E89" s="51"/>
      <c r="F89" s="52"/>
      <c r="G89" s="52"/>
    </row>
    <row r="90" spans="1:7" s="10" customFormat="1" ht="15.75" customHeight="1" x14ac:dyDescent="0.25">
      <c r="A90" s="1"/>
      <c r="B90" s="3"/>
      <c r="C90" s="68" t="s">
        <v>71</v>
      </c>
      <c r="D90" s="45">
        <v>656</v>
      </c>
      <c r="E90" s="51"/>
      <c r="F90" s="52"/>
      <c r="G90" s="52"/>
    </row>
    <row r="91" spans="1:7" s="10" customFormat="1" ht="15.75" customHeight="1" x14ac:dyDescent="0.25">
      <c r="A91" s="1"/>
      <c r="B91" s="3"/>
      <c r="C91" s="68" t="s">
        <v>1899</v>
      </c>
      <c r="D91" s="45">
        <v>803</v>
      </c>
      <c r="E91" s="51"/>
      <c r="F91" s="52"/>
      <c r="G91" s="52"/>
    </row>
    <row r="92" spans="1:7" s="10" customFormat="1" ht="15.75" customHeight="1" x14ac:dyDescent="0.25">
      <c r="A92" s="1"/>
      <c r="B92" s="3"/>
      <c r="C92" s="68" t="s">
        <v>39</v>
      </c>
      <c r="D92" s="45">
        <v>444</v>
      </c>
      <c r="E92" s="51"/>
      <c r="F92" s="52"/>
      <c r="G92" s="52"/>
    </row>
    <row r="93" spans="1:7" s="10" customFormat="1" ht="15.75" customHeight="1" x14ac:dyDescent="0.25">
      <c r="A93" s="1"/>
      <c r="B93" s="3"/>
      <c r="C93" s="68"/>
      <c r="D93" s="46"/>
      <c r="E93" s="51"/>
      <c r="F93" s="52"/>
      <c r="G93" s="52"/>
    </row>
    <row r="94" spans="1:7" s="10" customFormat="1" ht="15.75" customHeight="1" x14ac:dyDescent="0.25">
      <c r="A94" s="1"/>
      <c r="B94" s="3"/>
      <c r="C94" s="67" t="s">
        <v>1900</v>
      </c>
      <c r="D94" s="57">
        <f>SUM(D95:D109)</f>
        <v>16363</v>
      </c>
      <c r="E94" s="51"/>
      <c r="F94" s="52"/>
      <c r="G94" s="52"/>
    </row>
    <row r="95" spans="1:7" s="10" customFormat="1" ht="15.75" customHeight="1" x14ac:dyDescent="0.25">
      <c r="A95" s="1"/>
      <c r="B95" s="3"/>
      <c r="C95" s="68" t="s">
        <v>1901</v>
      </c>
      <c r="D95" s="45">
        <v>728</v>
      </c>
      <c r="E95" s="51"/>
      <c r="F95" s="52"/>
      <c r="G95" s="52"/>
    </row>
    <row r="96" spans="1:7" s="10" customFormat="1" ht="15.75" customHeight="1" x14ac:dyDescent="0.25">
      <c r="A96" s="1"/>
      <c r="B96" s="3"/>
      <c r="C96" s="68" t="s">
        <v>1902</v>
      </c>
      <c r="D96" s="45">
        <v>461</v>
      </c>
      <c r="E96" s="51"/>
      <c r="F96" s="52"/>
      <c r="G96" s="52"/>
    </row>
    <row r="97" spans="1:7" s="10" customFormat="1" ht="15.75" customHeight="1" x14ac:dyDescent="0.25">
      <c r="A97" s="1"/>
      <c r="B97" s="3"/>
      <c r="C97" s="68" t="s">
        <v>1903</v>
      </c>
      <c r="D97" s="45">
        <v>1301</v>
      </c>
      <c r="E97" s="51"/>
      <c r="F97" s="52"/>
      <c r="G97" s="52"/>
    </row>
    <row r="98" spans="1:7" s="10" customFormat="1" ht="15.75" customHeight="1" x14ac:dyDescent="0.25">
      <c r="A98" s="1"/>
      <c r="B98" s="3"/>
      <c r="C98" s="68" t="s">
        <v>1904</v>
      </c>
      <c r="D98" s="45">
        <v>550</v>
      </c>
      <c r="E98" s="51"/>
      <c r="F98" s="52"/>
      <c r="G98" s="52"/>
    </row>
    <row r="99" spans="1:7" s="10" customFormat="1" ht="15.75" customHeight="1" x14ac:dyDescent="0.25">
      <c r="A99" s="1"/>
      <c r="B99" s="3"/>
      <c r="C99" s="68" t="s">
        <v>1905</v>
      </c>
      <c r="D99" s="45">
        <v>2022</v>
      </c>
      <c r="E99" s="51"/>
      <c r="F99" s="52"/>
      <c r="G99" s="52"/>
    </row>
    <row r="100" spans="1:7" s="10" customFormat="1" ht="15.75" customHeight="1" x14ac:dyDescent="0.25">
      <c r="A100" s="1"/>
      <c r="B100" s="3"/>
      <c r="C100" s="68" t="s">
        <v>1906</v>
      </c>
      <c r="D100" s="45">
        <v>866</v>
      </c>
      <c r="E100" s="51"/>
      <c r="F100" s="52"/>
      <c r="G100" s="52"/>
    </row>
    <row r="101" spans="1:7" s="10" customFormat="1" ht="15.75" customHeight="1" x14ac:dyDescent="0.25">
      <c r="A101" s="1"/>
      <c r="B101" s="3"/>
      <c r="C101" s="68" t="s">
        <v>1907</v>
      </c>
      <c r="D101" s="45">
        <v>1100</v>
      </c>
      <c r="E101" s="51"/>
      <c r="F101" s="52"/>
      <c r="G101" s="52"/>
    </row>
    <row r="102" spans="1:7" s="10" customFormat="1" ht="15.75" customHeight="1" x14ac:dyDescent="0.25">
      <c r="A102" s="1"/>
      <c r="B102" s="3"/>
      <c r="C102" s="68" t="s">
        <v>268</v>
      </c>
      <c r="D102" s="45">
        <v>965</v>
      </c>
      <c r="E102" s="51"/>
      <c r="F102" s="52"/>
      <c r="G102" s="52"/>
    </row>
    <row r="103" spans="1:7" s="10" customFormat="1" ht="15.75" customHeight="1" x14ac:dyDescent="0.25">
      <c r="A103" s="1"/>
      <c r="B103" s="3"/>
      <c r="C103" s="68" t="s">
        <v>1908</v>
      </c>
      <c r="D103" s="45">
        <v>911</v>
      </c>
      <c r="E103" s="51"/>
      <c r="F103" s="52"/>
      <c r="G103" s="52"/>
    </row>
    <row r="104" spans="1:7" s="10" customFormat="1" ht="15.75" customHeight="1" x14ac:dyDescent="0.25">
      <c r="A104" s="1"/>
      <c r="B104" s="3"/>
      <c r="C104" s="68" t="s">
        <v>2</v>
      </c>
      <c r="D104" s="45">
        <v>896</v>
      </c>
      <c r="E104" s="51"/>
      <c r="F104" s="52"/>
      <c r="G104" s="52"/>
    </row>
    <row r="105" spans="1:7" s="10" customFormat="1" ht="15.75" customHeight="1" x14ac:dyDescent="0.25">
      <c r="A105" s="1"/>
      <c r="B105" s="3"/>
      <c r="C105" s="68" t="s">
        <v>1909</v>
      </c>
      <c r="D105" s="45">
        <v>1419</v>
      </c>
      <c r="E105" s="51"/>
      <c r="F105" s="52"/>
      <c r="G105" s="52"/>
    </row>
    <row r="106" spans="1:7" s="10" customFormat="1" ht="15.75" customHeight="1" x14ac:dyDescent="0.25">
      <c r="A106" s="1"/>
      <c r="B106" s="3"/>
      <c r="C106" s="68" t="s">
        <v>1910</v>
      </c>
      <c r="D106" s="45">
        <v>945</v>
      </c>
      <c r="E106" s="51"/>
      <c r="F106" s="52"/>
      <c r="G106" s="52"/>
    </row>
    <row r="107" spans="1:7" s="12" customFormat="1" ht="15.75" customHeight="1" x14ac:dyDescent="0.25">
      <c r="A107" s="1"/>
      <c r="B107" s="3"/>
      <c r="C107" s="68" t="s">
        <v>1911</v>
      </c>
      <c r="D107" s="45">
        <v>1376</v>
      </c>
      <c r="E107" s="51"/>
      <c r="F107" s="52"/>
      <c r="G107" s="52"/>
    </row>
    <row r="108" spans="1:7" s="10" customFormat="1" ht="15.75" customHeight="1" x14ac:dyDescent="0.25">
      <c r="A108" s="1"/>
      <c r="B108" s="3"/>
      <c r="C108" s="68" t="s">
        <v>1912</v>
      </c>
      <c r="D108" s="45">
        <v>1620</v>
      </c>
      <c r="E108" s="51"/>
      <c r="F108" s="52"/>
      <c r="G108" s="52"/>
    </row>
    <row r="109" spans="1:7" s="11" customFormat="1" ht="15.75" customHeight="1" x14ac:dyDescent="0.25">
      <c r="A109" s="1"/>
      <c r="B109" s="3"/>
      <c r="C109" s="68" t="s">
        <v>104</v>
      </c>
      <c r="D109" s="45">
        <v>1203</v>
      </c>
      <c r="E109" s="51"/>
      <c r="F109" s="52"/>
      <c r="G109" s="52"/>
    </row>
    <row r="110" spans="1:7" s="11" customFormat="1" ht="15.75" customHeight="1" x14ac:dyDescent="0.25">
      <c r="A110" s="1"/>
      <c r="B110" s="3"/>
      <c r="C110" s="68"/>
      <c r="D110" s="45"/>
      <c r="E110" s="51"/>
      <c r="F110" s="52"/>
      <c r="G110" s="52"/>
    </row>
    <row r="111" spans="1:7" s="11" customFormat="1" ht="15.75" customHeight="1" x14ac:dyDescent="0.25">
      <c r="A111" s="1"/>
      <c r="B111" s="3"/>
      <c r="C111" s="67" t="s">
        <v>1913</v>
      </c>
      <c r="D111" s="44">
        <f>SUM(D112:D153)</f>
        <v>28915</v>
      </c>
      <c r="E111" s="51"/>
      <c r="F111" s="52"/>
      <c r="G111" s="52"/>
    </row>
    <row r="112" spans="1:7" s="9" customFormat="1" ht="15.75" customHeight="1" x14ac:dyDescent="0.25">
      <c r="A112" s="1"/>
      <c r="B112" s="3"/>
      <c r="C112" s="68" t="s">
        <v>109</v>
      </c>
      <c r="D112" s="45">
        <v>796</v>
      </c>
      <c r="E112" s="51"/>
      <c r="F112" s="52"/>
      <c r="G112" s="52"/>
    </row>
    <row r="113" spans="1:7" s="10" customFormat="1" ht="15.75" customHeight="1" x14ac:dyDescent="0.25">
      <c r="A113" s="1"/>
      <c r="B113" s="3"/>
      <c r="C113" s="68" t="s">
        <v>1914</v>
      </c>
      <c r="D113" s="45">
        <v>272</v>
      </c>
      <c r="E113" s="51"/>
      <c r="F113" s="52"/>
      <c r="G113" s="52"/>
    </row>
    <row r="114" spans="1:7" s="10" customFormat="1" ht="15.75" customHeight="1" x14ac:dyDescent="0.25">
      <c r="A114" s="1"/>
      <c r="B114" s="3"/>
      <c r="C114" s="68" t="s">
        <v>1915</v>
      </c>
      <c r="D114" s="45">
        <v>1210</v>
      </c>
      <c r="E114" s="51"/>
      <c r="F114" s="52"/>
      <c r="G114" s="52"/>
    </row>
    <row r="115" spans="1:7" s="10" customFormat="1" ht="15.75" customHeight="1" x14ac:dyDescent="0.25">
      <c r="A115" s="1"/>
      <c r="B115" s="3"/>
      <c r="C115" s="68" t="s">
        <v>1916</v>
      </c>
      <c r="D115" s="45">
        <v>563</v>
      </c>
      <c r="E115" s="51"/>
      <c r="F115" s="52"/>
      <c r="G115" s="52"/>
    </row>
    <row r="116" spans="1:7" s="10" customFormat="1" ht="15.75" customHeight="1" x14ac:dyDescent="0.25">
      <c r="A116" s="1"/>
      <c r="B116" s="3"/>
      <c r="C116" s="68" t="s">
        <v>1917</v>
      </c>
      <c r="D116" s="45">
        <v>862</v>
      </c>
      <c r="E116" s="51"/>
      <c r="F116" s="52"/>
      <c r="G116" s="52"/>
    </row>
    <row r="117" spans="1:7" s="10" customFormat="1" ht="15.75" customHeight="1" x14ac:dyDescent="0.25">
      <c r="A117" s="1"/>
      <c r="B117" s="3"/>
      <c r="C117" s="68" t="s">
        <v>1918</v>
      </c>
      <c r="D117" s="45">
        <v>400</v>
      </c>
      <c r="E117" s="51"/>
      <c r="F117" s="52"/>
      <c r="G117" s="52"/>
    </row>
    <row r="118" spans="1:7" s="10" customFormat="1" ht="15.75" customHeight="1" x14ac:dyDescent="0.25">
      <c r="A118" s="1"/>
      <c r="B118" s="3"/>
      <c r="C118" s="68" t="s">
        <v>1919</v>
      </c>
      <c r="D118" s="45">
        <v>542</v>
      </c>
      <c r="E118" s="51"/>
      <c r="F118" s="52"/>
      <c r="G118" s="52"/>
    </row>
    <row r="119" spans="1:7" s="10" customFormat="1" ht="15.75" customHeight="1" x14ac:dyDescent="0.25">
      <c r="A119" s="1"/>
      <c r="B119" s="3"/>
      <c r="C119" s="68" t="s">
        <v>1920</v>
      </c>
      <c r="D119" s="45">
        <v>1016</v>
      </c>
      <c r="E119" s="51"/>
      <c r="F119" s="52"/>
      <c r="G119" s="52"/>
    </row>
    <row r="120" spans="1:7" s="10" customFormat="1" ht="15.75" customHeight="1" x14ac:dyDescent="0.25">
      <c r="A120" s="1"/>
      <c r="B120" s="3"/>
      <c r="C120" s="68" t="s">
        <v>1921</v>
      </c>
      <c r="D120" s="45">
        <v>1034</v>
      </c>
      <c r="E120" s="51"/>
      <c r="F120" s="52"/>
      <c r="G120" s="52"/>
    </row>
    <row r="121" spans="1:7" s="10" customFormat="1" ht="15.75" customHeight="1" x14ac:dyDescent="0.25">
      <c r="A121" s="1"/>
      <c r="B121" s="3"/>
      <c r="C121" s="68" t="s">
        <v>1922</v>
      </c>
      <c r="D121" s="45">
        <v>297</v>
      </c>
      <c r="E121" s="51"/>
      <c r="F121" s="52"/>
      <c r="G121" s="52"/>
    </row>
    <row r="122" spans="1:7" s="10" customFormat="1" ht="15.75" customHeight="1" x14ac:dyDescent="0.25">
      <c r="A122" s="1"/>
      <c r="B122" s="3"/>
      <c r="C122" s="68" t="s">
        <v>1923</v>
      </c>
      <c r="D122" s="45">
        <v>994</v>
      </c>
      <c r="E122" s="51"/>
      <c r="F122" s="52"/>
      <c r="G122" s="52"/>
    </row>
    <row r="123" spans="1:7" s="10" customFormat="1" ht="15.75" customHeight="1" x14ac:dyDescent="0.25">
      <c r="A123" s="1"/>
      <c r="B123" s="3"/>
      <c r="C123" s="68" t="s">
        <v>1924</v>
      </c>
      <c r="D123" s="45">
        <v>882</v>
      </c>
      <c r="E123" s="51"/>
      <c r="F123" s="52"/>
      <c r="G123" s="52"/>
    </row>
    <row r="124" spans="1:7" s="10" customFormat="1" ht="15.75" customHeight="1" x14ac:dyDescent="0.25">
      <c r="A124" s="1"/>
      <c r="B124" s="3"/>
      <c r="C124" s="68" t="s">
        <v>1925</v>
      </c>
      <c r="D124" s="45">
        <v>1104</v>
      </c>
      <c r="E124" s="51"/>
      <c r="F124" s="52"/>
      <c r="G124" s="52"/>
    </row>
    <row r="125" spans="1:7" s="10" customFormat="1" ht="15.75" customHeight="1" x14ac:dyDescent="0.25">
      <c r="A125" s="1"/>
      <c r="B125" s="3"/>
      <c r="C125" s="68" t="s">
        <v>1926</v>
      </c>
      <c r="D125" s="45">
        <v>212</v>
      </c>
      <c r="E125" s="51"/>
      <c r="F125" s="52"/>
      <c r="G125" s="52"/>
    </row>
    <row r="126" spans="1:7" s="10" customFormat="1" ht="15.75" customHeight="1" x14ac:dyDescent="0.25">
      <c r="A126" s="1"/>
      <c r="B126" s="3"/>
      <c r="C126" s="68" t="s">
        <v>1927</v>
      </c>
      <c r="D126" s="45">
        <v>186</v>
      </c>
      <c r="E126" s="51"/>
      <c r="F126" s="52"/>
      <c r="G126" s="52"/>
    </row>
    <row r="127" spans="1:7" s="10" customFormat="1" ht="15.75" customHeight="1" x14ac:dyDescent="0.25">
      <c r="A127" s="1"/>
      <c r="B127" s="3"/>
      <c r="C127" s="68" t="s">
        <v>1928</v>
      </c>
      <c r="D127" s="45">
        <v>290</v>
      </c>
      <c r="E127" s="51"/>
      <c r="F127" s="52"/>
      <c r="G127" s="52"/>
    </row>
    <row r="128" spans="1:7" s="10" customFormat="1" ht="15.75" customHeight="1" x14ac:dyDescent="0.25">
      <c r="A128" s="1"/>
      <c r="B128" s="3"/>
      <c r="C128" s="68" t="s">
        <v>1929</v>
      </c>
      <c r="D128" s="45">
        <v>225</v>
      </c>
      <c r="E128" s="51"/>
      <c r="F128" s="52"/>
      <c r="G128" s="52"/>
    </row>
    <row r="129" spans="1:7" s="10" customFormat="1" ht="15.75" customHeight="1" x14ac:dyDescent="0.25">
      <c r="A129" s="1"/>
      <c r="B129" s="3"/>
      <c r="C129" s="68" t="s">
        <v>1930</v>
      </c>
      <c r="D129" s="45">
        <v>234</v>
      </c>
      <c r="E129" s="51"/>
      <c r="F129" s="52"/>
      <c r="G129" s="52"/>
    </row>
    <row r="130" spans="1:7" s="10" customFormat="1" ht="15.75" customHeight="1" x14ac:dyDescent="0.25">
      <c r="A130" s="1"/>
      <c r="B130" s="3"/>
      <c r="C130" s="68" t="s">
        <v>1931</v>
      </c>
      <c r="D130" s="45">
        <v>482</v>
      </c>
      <c r="E130" s="51"/>
      <c r="F130" s="52"/>
      <c r="G130" s="52"/>
    </row>
    <row r="131" spans="1:7" s="11" customFormat="1" ht="15.75" customHeight="1" x14ac:dyDescent="0.25">
      <c r="A131" s="1"/>
      <c r="B131" s="3"/>
      <c r="C131" s="68" t="s">
        <v>1839</v>
      </c>
      <c r="D131" s="45">
        <v>1150</v>
      </c>
      <c r="E131" s="51"/>
      <c r="F131" s="52"/>
      <c r="G131" s="52"/>
    </row>
    <row r="132" spans="1:7" s="9" customFormat="1" ht="15.75" customHeight="1" x14ac:dyDescent="0.25">
      <c r="A132" s="1"/>
      <c r="B132" s="3"/>
      <c r="C132" s="68" t="s">
        <v>1932</v>
      </c>
      <c r="D132" s="45">
        <v>668</v>
      </c>
      <c r="E132" s="51"/>
      <c r="F132" s="52"/>
      <c r="G132" s="52"/>
    </row>
    <row r="133" spans="1:7" s="10" customFormat="1" ht="15.75" customHeight="1" x14ac:dyDescent="0.25">
      <c r="A133" s="1"/>
      <c r="B133" s="3"/>
      <c r="C133" s="68" t="s">
        <v>1319</v>
      </c>
      <c r="D133" s="45">
        <v>299</v>
      </c>
      <c r="E133" s="51"/>
      <c r="F133" s="52"/>
      <c r="G133" s="52"/>
    </row>
    <row r="134" spans="1:7" s="12" customFormat="1" ht="15.75" customHeight="1" x14ac:dyDescent="0.25">
      <c r="A134" s="1"/>
      <c r="B134" s="3"/>
      <c r="C134" s="68" t="s">
        <v>1933</v>
      </c>
      <c r="D134" s="45">
        <v>291</v>
      </c>
      <c r="E134" s="51"/>
      <c r="F134" s="52"/>
      <c r="G134" s="52"/>
    </row>
    <row r="135" spans="1:7" s="10" customFormat="1" ht="15.75" customHeight="1" x14ac:dyDescent="0.25">
      <c r="A135" s="1"/>
      <c r="B135" s="3"/>
      <c r="C135" s="68" t="s">
        <v>150</v>
      </c>
      <c r="D135" s="45">
        <v>734</v>
      </c>
      <c r="E135" s="51"/>
      <c r="F135" s="52"/>
      <c r="G135" s="52"/>
    </row>
    <row r="136" spans="1:7" s="10" customFormat="1" ht="15.75" customHeight="1" x14ac:dyDescent="0.25">
      <c r="A136" s="1"/>
      <c r="B136" s="3"/>
      <c r="C136" s="68" t="s">
        <v>1934</v>
      </c>
      <c r="D136" s="45">
        <v>482</v>
      </c>
      <c r="E136" s="51"/>
      <c r="F136" s="52"/>
      <c r="G136" s="52"/>
    </row>
    <row r="137" spans="1:7" s="10" customFormat="1" ht="15.75" customHeight="1" x14ac:dyDescent="0.25">
      <c r="A137" s="1"/>
      <c r="B137" s="3"/>
      <c r="C137" s="68" t="s">
        <v>1935</v>
      </c>
      <c r="D137" s="45">
        <v>829</v>
      </c>
      <c r="E137" s="51"/>
      <c r="F137" s="52"/>
      <c r="G137" s="52"/>
    </row>
    <row r="138" spans="1:7" s="10" customFormat="1" ht="15.75" customHeight="1" x14ac:dyDescent="0.25">
      <c r="A138" s="1"/>
      <c r="B138" s="3"/>
      <c r="C138" s="68" t="s">
        <v>47</v>
      </c>
      <c r="D138" s="45">
        <v>1767</v>
      </c>
      <c r="E138" s="51"/>
      <c r="F138" s="52"/>
      <c r="G138" s="52"/>
    </row>
    <row r="139" spans="1:7" s="10" customFormat="1" ht="15.75" customHeight="1" x14ac:dyDescent="0.25">
      <c r="A139" s="1"/>
      <c r="B139" s="3"/>
      <c r="C139" s="68" t="s">
        <v>1936</v>
      </c>
      <c r="D139" s="45">
        <v>270</v>
      </c>
      <c r="E139" s="51"/>
      <c r="F139" s="52"/>
      <c r="G139" s="52"/>
    </row>
    <row r="140" spans="1:7" s="10" customFormat="1" ht="15.75" customHeight="1" x14ac:dyDescent="0.25">
      <c r="A140" s="1"/>
      <c r="B140" s="3"/>
      <c r="C140" s="68" t="s">
        <v>1937</v>
      </c>
      <c r="D140" s="45">
        <v>1258</v>
      </c>
      <c r="E140" s="51"/>
      <c r="F140" s="52"/>
      <c r="G140" s="52"/>
    </row>
    <row r="141" spans="1:7" s="10" customFormat="1" ht="15.75" customHeight="1" x14ac:dyDescent="0.25">
      <c r="A141" s="1"/>
      <c r="B141" s="3"/>
      <c r="C141" s="68" t="s">
        <v>44</v>
      </c>
      <c r="D141" s="45">
        <v>437</v>
      </c>
      <c r="E141" s="51"/>
      <c r="F141" s="52"/>
      <c r="G141" s="52"/>
    </row>
    <row r="142" spans="1:7" s="10" customFormat="1" ht="15.75" customHeight="1" x14ac:dyDescent="0.25">
      <c r="A142" s="1"/>
      <c r="B142" s="3"/>
      <c r="C142" s="68" t="s">
        <v>2</v>
      </c>
      <c r="D142" s="45">
        <v>1471</v>
      </c>
      <c r="E142" s="51"/>
      <c r="F142" s="52"/>
      <c r="G142" s="52"/>
    </row>
    <row r="143" spans="1:7" s="10" customFormat="1" ht="15.75" customHeight="1" x14ac:dyDescent="0.25">
      <c r="A143" s="1"/>
      <c r="B143" s="3"/>
      <c r="C143" s="68" t="s">
        <v>1938</v>
      </c>
      <c r="D143" s="45">
        <v>908</v>
      </c>
      <c r="E143" s="51"/>
      <c r="F143" s="52"/>
      <c r="G143" s="52"/>
    </row>
    <row r="144" spans="1:7" s="10" customFormat="1" ht="15.75" customHeight="1" x14ac:dyDescent="0.25">
      <c r="A144" s="1"/>
      <c r="B144" s="3"/>
      <c r="C144" s="68" t="s">
        <v>257</v>
      </c>
      <c r="D144" s="45">
        <v>881</v>
      </c>
      <c r="E144" s="51"/>
      <c r="F144" s="52"/>
      <c r="G144" s="52"/>
    </row>
    <row r="145" spans="1:7" s="10" customFormat="1" ht="15.75" customHeight="1" x14ac:dyDescent="0.25">
      <c r="A145" s="1"/>
      <c r="B145" s="3"/>
      <c r="C145" s="68" t="s">
        <v>2408</v>
      </c>
      <c r="D145" s="45">
        <v>521</v>
      </c>
      <c r="E145" s="51"/>
      <c r="F145" s="52"/>
      <c r="G145" s="52"/>
    </row>
    <row r="146" spans="1:7" s="10" customFormat="1" ht="15.75" customHeight="1" x14ac:dyDescent="0.25">
      <c r="A146" s="1"/>
      <c r="B146" s="3"/>
      <c r="C146" s="68" t="s">
        <v>3</v>
      </c>
      <c r="D146" s="45">
        <v>753</v>
      </c>
      <c r="E146" s="51"/>
      <c r="F146" s="52"/>
      <c r="G146" s="52"/>
    </row>
    <row r="147" spans="1:7" s="10" customFormat="1" ht="15.75" customHeight="1" x14ac:dyDescent="0.25">
      <c r="A147" s="1"/>
      <c r="B147" s="3"/>
      <c r="C147" s="68" t="s">
        <v>532</v>
      </c>
      <c r="D147" s="45">
        <v>302</v>
      </c>
      <c r="E147" s="51"/>
      <c r="F147" s="52"/>
      <c r="G147" s="52"/>
    </row>
    <row r="148" spans="1:7" s="10" customFormat="1" ht="15.75" customHeight="1" x14ac:dyDescent="0.25">
      <c r="A148" s="1"/>
      <c r="B148" s="3"/>
      <c r="C148" s="68" t="s">
        <v>1939</v>
      </c>
      <c r="D148" s="45">
        <v>565</v>
      </c>
      <c r="E148" s="51"/>
      <c r="F148" s="52"/>
      <c r="G148" s="52"/>
    </row>
    <row r="149" spans="1:7" s="10" customFormat="1" ht="15.75" customHeight="1" x14ac:dyDescent="0.25">
      <c r="A149" s="1"/>
      <c r="B149" s="3"/>
      <c r="C149" s="68" t="s">
        <v>1940</v>
      </c>
      <c r="D149" s="45">
        <v>693</v>
      </c>
      <c r="E149" s="51"/>
      <c r="F149" s="52"/>
      <c r="G149" s="52"/>
    </row>
    <row r="150" spans="1:7" s="10" customFormat="1" ht="15.75" customHeight="1" x14ac:dyDescent="0.25">
      <c r="A150" s="1"/>
      <c r="B150" s="3"/>
      <c r="C150" s="68" t="s">
        <v>1911</v>
      </c>
      <c r="D150" s="45">
        <v>762</v>
      </c>
      <c r="E150" s="51"/>
      <c r="F150" s="52"/>
      <c r="G150" s="52"/>
    </row>
    <row r="151" spans="1:7" s="10" customFormat="1" ht="15.75" customHeight="1" x14ac:dyDescent="0.25">
      <c r="A151" s="1"/>
      <c r="B151" s="3"/>
      <c r="C151" s="68" t="s">
        <v>1941</v>
      </c>
      <c r="D151" s="45">
        <v>222</v>
      </c>
      <c r="E151" s="51"/>
      <c r="F151" s="52"/>
      <c r="G151" s="52"/>
    </row>
    <row r="152" spans="1:7" s="10" customFormat="1" ht="15.75" customHeight="1" x14ac:dyDescent="0.25">
      <c r="A152" s="1"/>
      <c r="B152" s="3"/>
      <c r="C152" s="68" t="s">
        <v>533</v>
      </c>
      <c r="D152" s="45">
        <v>1235</v>
      </c>
      <c r="E152" s="51"/>
      <c r="F152" s="52"/>
      <c r="G152" s="52"/>
    </row>
    <row r="153" spans="1:7" s="10" customFormat="1" ht="15.75" customHeight="1" x14ac:dyDescent="0.25">
      <c r="A153" s="1"/>
      <c r="B153" s="3"/>
      <c r="C153" s="68" t="s">
        <v>1942</v>
      </c>
      <c r="D153" s="45">
        <v>816</v>
      </c>
      <c r="E153" s="51"/>
      <c r="F153" s="52"/>
      <c r="G153" s="52"/>
    </row>
    <row r="154" spans="1:7" s="10" customFormat="1" ht="15.75" customHeight="1" x14ac:dyDescent="0.25">
      <c r="A154" s="1"/>
      <c r="B154" s="3"/>
      <c r="C154" s="69"/>
      <c r="D154" s="25"/>
      <c r="E154" s="51"/>
      <c r="F154" s="52"/>
      <c r="G154" s="52"/>
    </row>
    <row r="155" spans="1:7" ht="15.75" customHeight="1" x14ac:dyDescent="0.25">
      <c r="A155" s="1"/>
      <c r="B155" s="3"/>
      <c r="C155" s="38"/>
      <c r="E155" s="51"/>
      <c r="F155" s="52"/>
      <c r="G155" s="52"/>
    </row>
    <row r="156" spans="1:7" ht="15.75" customHeight="1" x14ac:dyDescent="0.25">
      <c r="A156" s="1"/>
      <c r="B156" s="3"/>
      <c r="C156" s="26" t="s">
        <v>1974</v>
      </c>
      <c r="E156" s="51"/>
      <c r="F156" s="52"/>
      <c r="G156" s="52"/>
    </row>
    <row r="157" spans="1:7" ht="15.75" customHeight="1" x14ac:dyDescent="0.25">
      <c r="A157" s="1"/>
      <c r="B157" s="3"/>
      <c r="C157" s="28" t="s">
        <v>1978</v>
      </c>
      <c r="E157" s="51"/>
      <c r="F157" s="52"/>
      <c r="G157" s="52"/>
    </row>
    <row r="158" spans="1:7" ht="15.75" customHeight="1" x14ac:dyDescent="0.25">
      <c r="F158" s="52"/>
      <c r="G158" s="52"/>
    </row>
  </sheetData>
  <mergeCells count="2">
    <mergeCell ref="C1:D1"/>
    <mergeCell ref="C2:D2"/>
  </mergeCells>
  <printOptions horizontalCentered="1"/>
  <pageMargins left="0.98425196850393704" right="0.98425196850393704" top="0.98425196850393704" bottom="0.98425196850393704" header="0.51181102362204722" footer="0.51181102362204722"/>
  <pageSetup firstPageNumber="96" orientation="portrait" useFirstPageNumber="1" r:id="rId1"/>
  <headerFooter differentOddEven="1">
    <oddHeader>&amp;L&amp;"Arial,Bold Italic"&amp;10Siquijor&amp;R&amp;"Arial,Bold Italic"&amp;10 2020 Census of Population and Housing</oddHeader>
    <oddFooter>&amp;L&amp;"Arial,Bold"&amp;10&amp;P&amp;R&amp;"Arial,Bold Italic"&amp;10Philippine Statistics Authority</oddFooter>
    <evenHeader>&amp;L&amp;"Arial,Bold Italic"&amp;10 2020 Census of Population and Housing&amp;R&amp;"Arial,Bold Italic"&amp;10Siquijor</evenHeader>
    <evenFooter>&amp;L&amp;"Arial,Bold Italic"&amp;10Philippine Statistics Authority&amp;R&amp;"Arial,Bold"&amp;10&amp;P</even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16</vt:i4>
      </vt:variant>
    </vt:vector>
  </HeadingPairs>
  <TitlesOfParts>
    <vt:vector size="24" baseType="lpstr">
      <vt:lpstr>reg07</vt:lpstr>
      <vt:lpstr>bohol</vt:lpstr>
      <vt:lpstr>cebu</vt:lpstr>
      <vt:lpstr>city of cebu</vt:lpstr>
      <vt:lpstr>city of lapu lapu</vt:lpstr>
      <vt:lpstr>city of mandaue</vt:lpstr>
      <vt:lpstr>neg or</vt:lpstr>
      <vt:lpstr>siquijor</vt:lpstr>
      <vt:lpstr>bohol!Print_Area</vt:lpstr>
      <vt:lpstr>cebu!Print_Area</vt:lpstr>
      <vt:lpstr>'city of cebu'!Print_Area</vt:lpstr>
      <vt:lpstr>'city of lapu lapu'!Print_Area</vt:lpstr>
      <vt:lpstr>'city of mandaue'!Print_Area</vt:lpstr>
      <vt:lpstr>'neg or'!Print_Area</vt:lpstr>
      <vt:lpstr>'reg07'!Print_Area</vt:lpstr>
      <vt:lpstr>siquijor!Print_Area</vt:lpstr>
      <vt:lpstr>bohol!Print_Titles</vt:lpstr>
      <vt:lpstr>cebu!Print_Titles</vt:lpstr>
      <vt:lpstr>'city of cebu'!Print_Titles</vt:lpstr>
      <vt:lpstr>'city of lapu lapu'!Print_Titles</vt:lpstr>
      <vt:lpstr>'city of mandaue'!Print_Titles</vt:lpstr>
      <vt:lpstr>'neg or'!Print_Titles</vt:lpstr>
      <vt:lpstr>'reg07'!Print_Titles</vt:lpstr>
      <vt:lpstr>siquijor!Print_Titles</vt:lpstr>
    </vt:vector>
  </TitlesOfParts>
  <Company>Acer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2021-05-20T16:50:55Z</cp:lastPrinted>
  <dcterms:created xsi:type="dcterms:W3CDTF">2010-11-22T08:57:42Z</dcterms:created>
  <dcterms:modified xsi:type="dcterms:W3CDTF">2021-07-06T23:27:08Z</dcterms:modified>
</cp:coreProperties>
</file>